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OW93790\Documents\Maths\"/>
    </mc:Choice>
  </mc:AlternateContent>
  <bookViews>
    <workbookView xWindow="240" yWindow="80" windowWidth="17240" windowHeight="10550" activeTab="3"/>
  </bookViews>
  <sheets>
    <sheet name="Refined Compare" sheetId="6" r:id="rId1"/>
    <sheet name="All Mons Stats" sheetId="2" r:id="rId2"/>
    <sheet name="All Stats" sheetId="4" r:id="rId3"/>
    <sheet name="Stats by Type (Updated Gen 6)" sheetId="7" r:id="rId4"/>
  </sheets>
  <definedNames>
    <definedName name="_xlnm._FilterDatabase" localSheetId="1" hidden="1">'All Mons Stats'!$B$1:$AV$818</definedName>
    <definedName name="_xlnm._FilterDatabase" localSheetId="2" hidden="1">'All Stats'!$A$1:$H$903</definedName>
    <definedName name="_xlnm._FilterDatabase" localSheetId="0" hidden="1">'Refined Compare'!$P$1:$AD$799</definedName>
    <definedName name="_xlnm._FilterDatabase" localSheetId="3" hidden="1">'Stats by Type (Updated Gen 6)'!$T$1:$AC$40</definedName>
  </definedNames>
  <calcPr calcId="171027"/>
</workbook>
</file>

<file path=xl/calcChain.xml><?xml version="1.0" encoding="utf-8"?>
<calcChain xmlns="http://schemas.openxmlformats.org/spreadsheetml/2006/main">
  <c r="AD902" i="6" l="1"/>
  <c r="AD885" i="6"/>
  <c r="AD886" i="6"/>
  <c r="AD887" i="6"/>
  <c r="AD888" i="6"/>
  <c r="AD889" i="6"/>
  <c r="AD890" i="6"/>
  <c r="AD891" i="6"/>
  <c r="AD892" i="6"/>
  <c r="AD893" i="6"/>
  <c r="AD894" i="6"/>
  <c r="AD895" i="6"/>
  <c r="AD896" i="6"/>
  <c r="AD897" i="6"/>
  <c r="AD898" i="6"/>
  <c r="AD899" i="6"/>
  <c r="AD900" i="6"/>
  <c r="AD901" i="6"/>
  <c r="AX2" i="2"/>
  <c r="AY2" i="2"/>
  <c r="AX3" i="2"/>
  <c r="AY3" i="2"/>
  <c r="AX4" i="2"/>
  <c r="AY4" i="2"/>
  <c r="AX5" i="2"/>
  <c r="AY5" i="2"/>
  <c r="AX6" i="2"/>
  <c r="AY6" i="2"/>
  <c r="AX7" i="2"/>
  <c r="AY7" i="2"/>
  <c r="AX8" i="2"/>
  <c r="AY8" i="2"/>
  <c r="AX9" i="2"/>
  <c r="AY9" i="2"/>
  <c r="AX10" i="2"/>
  <c r="AY10" i="2"/>
  <c r="AX11" i="2"/>
  <c r="AY11" i="2"/>
  <c r="AX12" i="2"/>
  <c r="AY12" i="2"/>
  <c r="AX13" i="2"/>
  <c r="AY13" i="2"/>
  <c r="AX14" i="2"/>
  <c r="AY14" i="2"/>
  <c r="AX15" i="2"/>
  <c r="AY15" i="2"/>
  <c r="AX16" i="2"/>
  <c r="AY16" i="2"/>
  <c r="AX17" i="2"/>
  <c r="AY17" i="2"/>
  <c r="AX18" i="2"/>
  <c r="AY18" i="2"/>
  <c r="AX19" i="2"/>
  <c r="AY19" i="2"/>
  <c r="AX20" i="2"/>
  <c r="AY20" i="2"/>
  <c r="AX21" i="2"/>
  <c r="AY21" i="2"/>
  <c r="AX22" i="2"/>
  <c r="AY22" i="2"/>
  <c r="AX23" i="2"/>
  <c r="AY23" i="2"/>
  <c r="AX24" i="2"/>
  <c r="AY24" i="2"/>
  <c r="AX25" i="2"/>
  <c r="AY25" i="2"/>
  <c r="AX26" i="2"/>
  <c r="AY26" i="2"/>
  <c r="AX27" i="2"/>
  <c r="AY27" i="2"/>
  <c r="AX28" i="2"/>
  <c r="AY28" i="2"/>
  <c r="AX29" i="2"/>
  <c r="AY29" i="2"/>
  <c r="AX30" i="2"/>
  <c r="AY30" i="2"/>
  <c r="AX31" i="2"/>
  <c r="AY31" i="2"/>
  <c r="AX32" i="2"/>
  <c r="AY32" i="2"/>
  <c r="AX33" i="2"/>
  <c r="AY33" i="2"/>
  <c r="AX34" i="2"/>
  <c r="AY34" i="2"/>
  <c r="AX35" i="2"/>
  <c r="AY35" i="2"/>
  <c r="AX36" i="2"/>
  <c r="AY36" i="2"/>
  <c r="AX37" i="2"/>
  <c r="AY37" i="2"/>
  <c r="AX38" i="2"/>
  <c r="AY38" i="2"/>
  <c r="AX39" i="2"/>
  <c r="AY39" i="2"/>
  <c r="AX40" i="2"/>
  <c r="AY40" i="2"/>
  <c r="AX41" i="2"/>
  <c r="AY41" i="2"/>
  <c r="AX42" i="2"/>
  <c r="AY42" i="2"/>
  <c r="AX43" i="2"/>
  <c r="AY43" i="2"/>
  <c r="AX44" i="2"/>
  <c r="AY44" i="2"/>
  <c r="AX45" i="2"/>
  <c r="AY45" i="2"/>
  <c r="AX46" i="2"/>
  <c r="AY46" i="2"/>
  <c r="AX47" i="2"/>
  <c r="AY47" i="2"/>
  <c r="AX48" i="2"/>
  <c r="AY48" i="2"/>
  <c r="AX49" i="2"/>
  <c r="AY49" i="2"/>
  <c r="AX50" i="2"/>
  <c r="AY50" i="2"/>
  <c r="AX51" i="2"/>
  <c r="AY51" i="2"/>
  <c r="AX52" i="2"/>
  <c r="AY52" i="2"/>
  <c r="AX53" i="2"/>
  <c r="AY53" i="2"/>
  <c r="AX54" i="2"/>
  <c r="AY54" i="2"/>
  <c r="AX55" i="2"/>
  <c r="AY55" i="2"/>
  <c r="AX56" i="2"/>
  <c r="AY56" i="2"/>
  <c r="AX57" i="2"/>
  <c r="AY57" i="2"/>
  <c r="AX58" i="2"/>
  <c r="AY58" i="2"/>
  <c r="AX59" i="2"/>
  <c r="AY59" i="2"/>
  <c r="AX60" i="2"/>
  <c r="AY60" i="2"/>
  <c r="AX61" i="2"/>
  <c r="AY61" i="2"/>
  <c r="AX62" i="2"/>
  <c r="AY62" i="2"/>
  <c r="AX63" i="2"/>
  <c r="AY63" i="2"/>
  <c r="AX64" i="2"/>
  <c r="AY64" i="2"/>
  <c r="AX65" i="2"/>
  <c r="AY65" i="2"/>
  <c r="AX66" i="2"/>
  <c r="AY66" i="2"/>
  <c r="AX67" i="2"/>
  <c r="AY67" i="2"/>
  <c r="AX68" i="2"/>
  <c r="AY68" i="2"/>
  <c r="AX69" i="2"/>
  <c r="AY69" i="2"/>
  <c r="AX70" i="2"/>
  <c r="AY70" i="2"/>
  <c r="AX71" i="2"/>
  <c r="AY71" i="2"/>
  <c r="AX72" i="2"/>
  <c r="AY72" i="2"/>
  <c r="AX73" i="2"/>
  <c r="AY73" i="2"/>
  <c r="AX74" i="2"/>
  <c r="AY74" i="2"/>
  <c r="AX75" i="2"/>
  <c r="AY75" i="2"/>
  <c r="AX76" i="2"/>
  <c r="AY76" i="2"/>
  <c r="AX77" i="2"/>
  <c r="AY77" i="2"/>
  <c r="AX78" i="2"/>
  <c r="AY78" i="2"/>
  <c r="AX79" i="2"/>
  <c r="AY79" i="2"/>
  <c r="AX80" i="2"/>
  <c r="AY80" i="2"/>
  <c r="AX81" i="2"/>
  <c r="AY81" i="2"/>
  <c r="AX82" i="2"/>
  <c r="AY82" i="2"/>
  <c r="AX83" i="2"/>
  <c r="AY83" i="2"/>
  <c r="AX84" i="2"/>
  <c r="AY84" i="2"/>
  <c r="AX85" i="2"/>
  <c r="AY85" i="2"/>
  <c r="AX86" i="2"/>
  <c r="AY86" i="2"/>
  <c r="AX87" i="2"/>
  <c r="AY87" i="2"/>
  <c r="AX88" i="2"/>
  <c r="AY88" i="2"/>
  <c r="AX89" i="2"/>
  <c r="AY89" i="2"/>
  <c r="AX90" i="2"/>
  <c r="AY90" i="2"/>
  <c r="AX91" i="2"/>
  <c r="AY91" i="2"/>
  <c r="AX92" i="2"/>
  <c r="AY92" i="2"/>
  <c r="AX93" i="2"/>
  <c r="AY93" i="2"/>
  <c r="AX94" i="2"/>
  <c r="AY94" i="2"/>
  <c r="AX95" i="2"/>
  <c r="AY95" i="2"/>
  <c r="AX96" i="2"/>
  <c r="AY96" i="2"/>
  <c r="AX97" i="2"/>
  <c r="AY97" i="2"/>
  <c r="AX98" i="2"/>
  <c r="AY98" i="2"/>
  <c r="AX99" i="2"/>
  <c r="AY99" i="2"/>
  <c r="AX100" i="2"/>
  <c r="AY100" i="2"/>
  <c r="AX101" i="2"/>
  <c r="AY101" i="2"/>
  <c r="AX102" i="2"/>
  <c r="AY102" i="2"/>
  <c r="AX103" i="2"/>
  <c r="AY103" i="2"/>
  <c r="AX104" i="2"/>
  <c r="AY104" i="2"/>
  <c r="AX105" i="2"/>
  <c r="AY105" i="2"/>
  <c r="AX106" i="2"/>
  <c r="AY106" i="2"/>
  <c r="AX107" i="2"/>
  <c r="AY107" i="2"/>
  <c r="AX108" i="2"/>
  <c r="AY108" i="2"/>
  <c r="AX109" i="2"/>
  <c r="AY109" i="2"/>
  <c r="AX110" i="2"/>
  <c r="AY110" i="2"/>
  <c r="AX111" i="2"/>
  <c r="AY111" i="2"/>
  <c r="AX112" i="2"/>
  <c r="AY112" i="2"/>
  <c r="AX113" i="2"/>
  <c r="AY113" i="2"/>
  <c r="AX114" i="2"/>
  <c r="AY114" i="2"/>
  <c r="AX115" i="2"/>
  <c r="AY115" i="2"/>
  <c r="AX116" i="2"/>
  <c r="AY116" i="2"/>
  <c r="AX117" i="2"/>
  <c r="AY117" i="2"/>
  <c r="AX118" i="2"/>
  <c r="AY118" i="2"/>
  <c r="AX119" i="2"/>
  <c r="AY119" i="2"/>
  <c r="AX120" i="2"/>
  <c r="AY120" i="2"/>
  <c r="AX121" i="2"/>
  <c r="AY121" i="2"/>
  <c r="AX122" i="2"/>
  <c r="AY122" i="2"/>
  <c r="AX123" i="2"/>
  <c r="AY123" i="2"/>
  <c r="AX124" i="2"/>
  <c r="AY124" i="2"/>
  <c r="AX125" i="2"/>
  <c r="AY125" i="2"/>
  <c r="AX126" i="2"/>
  <c r="AY126" i="2"/>
  <c r="AX127" i="2"/>
  <c r="AY127" i="2"/>
  <c r="AX128" i="2"/>
  <c r="AY128" i="2"/>
  <c r="AX129" i="2"/>
  <c r="AY129" i="2"/>
  <c r="AX130" i="2"/>
  <c r="AY130" i="2"/>
  <c r="AX131" i="2"/>
  <c r="AY131" i="2"/>
  <c r="AX132" i="2"/>
  <c r="AY132" i="2"/>
  <c r="AX133" i="2"/>
  <c r="AY133" i="2"/>
  <c r="AX134" i="2"/>
  <c r="AY134" i="2"/>
  <c r="AX135" i="2"/>
  <c r="AY135" i="2"/>
  <c r="AX136" i="2"/>
  <c r="AY136" i="2"/>
  <c r="AX137" i="2"/>
  <c r="AY137" i="2"/>
  <c r="AX138" i="2"/>
  <c r="AY138" i="2"/>
  <c r="AX139" i="2"/>
  <c r="AY139" i="2"/>
  <c r="AX140" i="2"/>
  <c r="AY140" i="2"/>
  <c r="AX141" i="2"/>
  <c r="AY141" i="2"/>
  <c r="AX142" i="2"/>
  <c r="AY142" i="2"/>
  <c r="AX143" i="2"/>
  <c r="AY143" i="2"/>
  <c r="AX144" i="2"/>
  <c r="AY144" i="2"/>
  <c r="AX145" i="2"/>
  <c r="AY145" i="2"/>
  <c r="AX146" i="2"/>
  <c r="AY146" i="2"/>
  <c r="AX147" i="2"/>
  <c r="AY147" i="2"/>
  <c r="AX148" i="2"/>
  <c r="AY148" i="2"/>
  <c r="AX149" i="2"/>
  <c r="AY149" i="2"/>
  <c r="AX150" i="2"/>
  <c r="AY150" i="2"/>
  <c r="AX151" i="2"/>
  <c r="AY151" i="2"/>
  <c r="AX152" i="2"/>
  <c r="AY152" i="2"/>
  <c r="AX153" i="2"/>
  <c r="AY153" i="2"/>
  <c r="AX154" i="2"/>
  <c r="AY154" i="2"/>
  <c r="AX155" i="2"/>
  <c r="AY155" i="2"/>
  <c r="AX156" i="2"/>
  <c r="AY156" i="2"/>
  <c r="AX157" i="2"/>
  <c r="AY157" i="2"/>
  <c r="AX158" i="2"/>
  <c r="AY158" i="2"/>
  <c r="AX159" i="2"/>
  <c r="AY159" i="2"/>
  <c r="AX160" i="2"/>
  <c r="AY160" i="2"/>
  <c r="AX161" i="2"/>
  <c r="AY161" i="2"/>
  <c r="AX162" i="2"/>
  <c r="AY162" i="2"/>
  <c r="AX163" i="2"/>
  <c r="AY163" i="2"/>
  <c r="AX164" i="2"/>
  <c r="AY164" i="2"/>
  <c r="AX165" i="2"/>
  <c r="AY165" i="2"/>
  <c r="AX166" i="2"/>
  <c r="AY166" i="2"/>
  <c r="AX167" i="2"/>
  <c r="AY167" i="2"/>
  <c r="AX168" i="2"/>
  <c r="AY168" i="2"/>
  <c r="AX169" i="2"/>
  <c r="AY169" i="2"/>
  <c r="AX170" i="2"/>
  <c r="AY170" i="2"/>
  <c r="AX171" i="2"/>
  <c r="AY171" i="2"/>
  <c r="AX172" i="2"/>
  <c r="AY172" i="2"/>
  <c r="AX173" i="2"/>
  <c r="AY173" i="2"/>
  <c r="AX174" i="2"/>
  <c r="AY174" i="2"/>
  <c r="AX175" i="2"/>
  <c r="AY175" i="2"/>
  <c r="AX176" i="2"/>
  <c r="AY176" i="2"/>
  <c r="AX177" i="2"/>
  <c r="AY177" i="2"/>
  <c r="AX178" i="2"/>
  <c r="AY178" i="2"/>
  <c r="AX179" i="2"/>
  <c r="AY179" i="2"/>
  <c r="AX180" i="2"/>
  <c r="AY180" i="2"/>
  <c r="AX181" i="2"/>
  <c r="AY181" i="2"/>
  <c r="AX182" i="2"/>
  <c r="AY182" i="2"/>
  <c r="AX183" i="2"/>
  <c r="AY183" i="2"/>
  <c r="AX184" i="2"/>
  <c r="AY184" i="2"/>
  <c r="AX185" i="2"/>
  <c r="AY185" i="2"/>
  <c r="AX186" i="2"/>
  <c r="AY186" i="2"/>
  <c r="AX187" i="2"/>
  <c r="AY187" i="2"/>
  <c r="AX188" i="2"/>
  <c r="AY188" i="2"/>
  <c r="AX189" i="2"/>
  <c r="AY189" i="2"/>
  <c r="AX190" i="2"/>
  <c r="AY190" i="2"/>
  <c r="AX191" i="2"/>
  <c r="AY191" i="2"/>
  <c r="AX192" i="2"/>
  <c r="AY192" i="2"/>
  <c r="AX193" i="2"/>
  <c r="AY193" i="2"/>
  <c r="AX194" i="2"/>
  <c r="AY194" i="2"/>
  <c r="AX195" i="2"/>
  <c r="AY195" i="2"/>
  <c r="AX196" i="2"/>
  <c r="AY196" i="2"/>
  <c r="AX197" i="2"/>
  <c r="AY197" i="2"/>
  <c r="AX198" i="2"/>
  <c r="AY198" i="2"/>
  <c r="AX199" i="2"/>
  <c r="AY199" i="2"/>
  <c r="AX200" i="2"/>
  <c r="AY200" i="2"/>
  <c r="AX201" i="2"/>
  <c r="AY201" i="2"/>
  <c r="AX202" i="2"/>
  <c r="AY202" i="2"/>
  <c r="AX203" i="2"/>
  <c r="AY203" i="2"/>
  <c r="AX204" i="2"/>
  <c r="AY204" i="2"/>
  <c r="AX205" i="2"/>
  <c r="AY205" i="2"/>
  <c r="AX206" i="2"/>
  <c r="AY206" i="2"/>
  <c r="AX207" i="2"/>
  <c r="AY207" i="2"/>
  <c r="AX208" i="2"/>
  <c r="AY208" i="2"/>
  <c r="AX209" i="2"/>
  <c r="AY209" i="2"/>
  <c r="AX210" i="2"/>
  <c r="AY210" i="2"/>
  <c r="AX211" i="2"/>
  <c r="AY211" i="2"/>
  <c r="AX212" i="2"/>
  <c r="AY212" i="2"/>
  <c r="AX213" i="2"/>
  <c r="AY213" i="2"/>
  <c r="AX214" i="2"/>
  <c r="AY214" i="2"/>
  <c r="AX215" i="2"/>
  <c r="AY215" i="2"/>
  <c r="AX216" i="2"/>
  <c r="AY216" i="2"/>
  <c r="AX217" i="2"/>
  <c r="AY217" i="2"/>
  <c r="AX218" i="2"/>
  <c r="AY218" i="2"/>
  <c r="AX219" i="2"/>
  <c r="AY219" i="2"/>
  <c r="AX220" i="2"/>
  <c r="AY220" i="2"/>
  <c r="AX221" i="2"/>
  <c r="AY221" i="2"/>
  <c r="AX222" i="2"/>
  <c r="AY222" i="2"/>
  <c r="AX223" i="2"/>
  <c r="AY223" i="2"/>
  <c r="AX224" i="2"/>
  <c r="AY224" i="2"/>
  <c r="AX225" i="2"/>
  <c r="AY225" i="2"/>
  <c r="AX226" i="2"/>
  <c r="AY226" i="2"/>
  <c r="AX227" i="2"/>
  <c r="AY227" i="2"/>
  <c r="AX228" i="2"/>
  <c r="AY228" i="2"/>
  <c r="AX229" i="2"/>
  <c r="AY229" i="2"/>
  <c r="AX230" i="2"/>
  <c r="AY230" i="2"/>
  <c r="AX231" i="2"/>
  <c r="AY231" i="2"/>
  <c r="AX232" i="2"/>
  <c r="AY232" i="2"/>
  <c r="AX233" i="2"/>
  <c r="AY233" i="2"/>
  <c r="AX234" i="2"/>
  <c r="AY234" i="2"/>
  <c r="AX235" i="2"/>
  <c r="AY235" i="2"/>
  <c r="AX236" i="2"/>
  <c r="AY236" i="2"/>
  <c r="AX237" i="2"/>
  <c r="AY237" i="2"/>
  <c r="AX238" i="2"/>
  <c r="AY238" i="2"/>
  <c r="AX239" i="2"/>
  <c r="AY239" i="2"/>
  <c r="AX240" i="2"/>
  <c r="AY240" i="2"/>
  <c r="AX241" i="2"/>
  <c r="AY241" i="2"/>
  <c r="AX242" i="2"/>
  <c r="AY242" i="2"/>
  <c r="AX243" i="2"/>
  <c r="AY243" i="2"/>
  <c r="AX244" i="2"/>
  <c r="AY244" i="2"/>
  <c r="AX245" i="2"/>
  <c r="AY245" i="2"/>
  <c r="AX246" i="2"/>
  <c r="AY246" i="2"/>
  <c r="AX247" i="2"/>
  <c r="AY247" i="2"/>
  <c r="AX248" i="2"/>
  <c r="AY248" i="2"/>
  <c r="AX249" i="2"/>
  <c r="AY249" i="2"/>
  <c r="AX250" i="2"/>
  <c r="AY250" i="2"/>
  <c r="AX251" i="2"/>
  <c r="AY251" i="2"/>
  <c r="AX252" i="2"/>
  <c r="AY252" i="2"/>
  <c r="AX253" i="2"/>
  <c r="AY253" i="2"/>
  <c r="AX254" i="2"/>
  <c r="AY254" i="2"/>
  <c r="AX255" i="2"/>
  <c r="AY255" i="2"/>
  <c r="AX256" i="2"/>
  <c r="AY256" i="2"/>
  <c r="AX257" i="2"/>
  <c r="AY257" i="2"/>
  <c r="AX258" i="2"/>
  <c r="AY258" i="2"/>
  <c r="AX259" i="2"/>
  <c r="AY259" i="2"/>
  <c r="AX260" i="2"/>
  <c r="AY260" i="2"/>
  <c r="AX261" i="2"/>
  <c r="AY261" i="2"/>
  <c r="AX262" i="2"/>
  <c r="AY262" i="2"/>
  <c r="AX263" i="2"/>
  <c r="AY263" i="2"/>
  <c r="AX264" i="2"/>
  <c r="AY264" i="2"/>
  <c r="AX265" i="2"/>
  <c r="AY265" i="2"/>
  <c r="AX266" i="2"/>
  <c r="AY266" i="2"/>
  <c r="AX267" i="2"/>
  <c r="AY267" i="2"/>
  <c r="AX268" i="2"/>
  <c r="AY268" i="2"/>
  <c r="AX269" i="2"/>
  <c r="AY269" i="2"/>
  <c r="AX270" i="2"/>
  <c r="AY270" i="2"/>
  <c r="AX271" i="2"/>
  <c r="AY271" i="2"/>
  <c r="AX272" i="2"/>
  <c r="AY272" i="2"/>
  <c r="AX273" i="2"/>
  <c r="AY273" i="2"/>
  <c r="AX274" i="2"/>
  <c r="AY274" i="2"/>
  <c r="AX275" i="2"/>
  <c r="AY275" i="2"/>
  <c r="AX276" i="2"/>
  <c r="AY276" i="2"/>
  <c r="AX277" i="2"/>
  <c r="AY277" i="2"/>
  <c r="AX278" i="2"/>
  <c r="AY278" i="2"/>
  <c r="AX279" i="2"/>
  <c r="AY279" i="2"/>
  <c r="AX280" i="2"/>
  <c r="AY280" i="2"/>
  <c r="AX281" i="2"/>
  <c r="AY281" i="2"/>
  <c r="AX282" i="2"/>
  <c r="AY282" i="2"/>
  <c r="AX283" i="2"/>
  <c r="AY283" i="2"/>
  <c r="AX284" i="2"/>
  <c r="AY284" i="2"/>
  <c r="AX285" i="2"/>
  <c r="AY285" i="2"/>
  <c r="AX286" i="2"/>
  <c r="AY286" i="2"/>
  <c r="AX287" i="2"/>
  <c r="AY287" i="2"/>
  <c r="AX288" i="2"/>
  <c r="AY288" i="2"/>
  <c r="AX289" i="2"/>
  <c r="AY289" i="2"/>
  <c r="AX290" i="2"/>
  <c r="AY290" i="2"/>
  <c r="AX291" i="2"/>
  <c r="AY291" i="2"/>
  <c r="AX292" i="2"/>
  <c r="AY292" i="2"/>
  <c r="AX293" i="2"/>
  <c r="AY293" i="2"/>
  <c r="AX294" i="2"/>
  <c r="AY294" i="2"/>
  <c r="AX295" i="2"/>
  <c r="AY295" i="2"/>
  <c r="AX296" i="2"/>
  <c r="AY296" i="2"/>
  <c r="AX297" i="2"/>
  <c r="AY297" i="2"/>
  <c r="AX298" i="2"/>
  <c r="AY298" i="2"/>
  <c r="AX299" i="2"/>
  <c r="AY299" i="2"/>
  <c r="AX300" i="2"/>
  <c r="AY300" i="2"/>
  <c r="AX301" i="2"/>
  <c r="AY301" i="2"/>
  <c r="AX302" i="2"/>
  <c r="AY302" i="2"/>
  <c r="AX303" i="2"/>
  <c r="AY303" i="2"/>
  <c r="AX304" i="2"/>
  <c r="AY304" i="2"/>
  <c r="AX305" i="2"/>
  <c r="AY305" i="2"/>
  <c r="AX306" i="2"/>
  <c r="AY306" i="2"/>
  <c r="AX307" i="2"/>
  <c r="AY307" i="2"/>
  <c r="AX308" i="2"/>
  <c r="AY308" i="2"/>
  <c r="AX309" i="2"/>
  <c r="AY309" i="2"/>
  <c r="AX310" i="2"/>
  <c r="AY310" i="2"/>
  <c r="AX311" i="2"/>
  <c r="AY311" i="2"/>
  <c r="AX312" i="2"/>
  <c r="AY312" i="2"/>
  <c r="AX313" i="2"/>
  <c r="AY313" i="2"/>
  <c r="AX314" i="2"/>
  <c r="AY314" i="2"/>
  <c r="AX315" i="2"/>
  <c r="AY315" i="2"/>
  <c r="AX316" i="2"/>
  <c r="AY316" i="2"/>
  <c r="AX317" i="2"/>
  <c r="AY317" i="2"/>
  <c r="AX318" i="2"/>
  <c r="AY318" i="2"/>
  <c r="AX319" i="2"/>
  <c r="AY319" i="2"/>
  <c r="AX320" i="2"/>
  <c r="AY320" i="2"/>
  <c r="AX321" i="2"/>
  <c r="AY321" i="2"/>
  <c r="AX322" i="2"/>
  <c r="AY322" i="2"/>
  <c r="AX323" i="2"/>
  <c r="AY323" i="2"/>
  <c r="AX324" i="2"/>
  <c r="AY324" i="2"/>
  <c r="AX325" i="2"/>
  <c r="AY325" i="2"/>
  <c r="AX326" i="2"/>
  <c r="AY326" i="2"/>
  <c r="AX327" i="2"/>
  <c r="AY327" i="2"/>
  <c r="AX328" i="2"/>
  <c r="AY328" i="2"/>
  <c r="AX329" i="2"/>
  <c r="AY329" i="2"/>
  <c r="AX330" i="2"/>
  <c r="AY330" i="2"/>
  <c r="AX331" i="2"/>
  <c r="AY331" i="2"/>
  <c r="AX332" i="2"/>
  <c r="AY332" i="2"/>
  <c r="AX333" i="2"/>
  <c r="AY333" i="2"/>
  <c r="AX334" i="2"/>
  <c r="AY334" i="2"/>
  <c r="AX335" i="2"/>
  <c r="AY335" i="2"/>
  <c r="AX336" i="2"/>
  <c r="AY336" i="2"/>
  <c r="AX337" i="2"/>
  <c r="AY337" i="2"/>
  <c r="AX338" i="2"/>
  <c r="AY338" i="2"/>
  <c r="AX339" i="2"/>
  <c r="AY339" i="2"/>
  <c r="AX340" i="2"/>
  <c r="AY340" i="2"/>
  <c r="AX341" i="2"/>
  <c r="AY341" i="2"/>
  <c r="AX342" i="2"/>
  <c r="AY342" i="2"/>
  <c r="AX343" i="2"/>
  <c r="AY343" i="2"/>
  <c r="AX344" i="2"/>
  <c r="AY344" i="2"/>
  <c r="AX345" i="2"/>
  <c r="AY345" i="2"/>
  <c r="AX346" i="2"/>
  <c r="AY346" i="2"/>
  <c r="AX347" i="2"/>
  <c r="AY347" i="2"/>
  <c r="AX348" i="2"/>
  <c r="AY348" i="2"/>
  <c r="AX349" i="2"/>
  <c r="AY349" i="2"/>
  <c r="AX350" i="2"/>
  <c r="AY350" i="2"/>
  <c r="AX351" i="2"/>
  <c r="AY351" i="2"/>
  <c r="AX352" i="2"/>
  <c r="AY352" i="2"/>
  <c r="AX353" i="2"/>
  <c r="AY353" i="2"/>
  <c r="AX354" i="2"/>
  <c r="AY354" i="2"/>
  <c r="AX355" i="2"/>
  <c r="AY355" i="2"/>
  <c r="AX356" i="2"/>
  <c r="AY356" i="2"/>
  <c r="AX357" i="2"/>
  <c r="AY357" i="2"/>
  <c r="AX358" i="2"/>
  <c r="AY358" i="2"/>
  <c r="AX359" i="2"/>
  <c r="AY359" i="2"/>
  <c r="AX360" i="2"/>
  <c r="AY360" i="2"/>
  <c r="AX361" i="2"/>
  <c r="AY361" i="2"/>
  <c r="AX362" i="2"/>
  <c r="AY362" i="2"/>
  <c r="AX363" i="2"/>
  <c r="AY363" i="2"/>
  <c r="AX364" i="2"/>
  <c r="AY364" i="2"/>
  <c r="AX365" i="2"/>
  <c r="AY365" i="2"/>
  <c r="AX366" i="2"/>
  <c r="AY366" i="2"/>
  <c r="AX367" i="2"/>
  <c r="AY367" i="2"/>
  <c r="AX368" i="2"/>
  <c r="AY368" i="2"/>
  <c r="AX369" i="2"/>
  <c r="AY369" i="2"/>
  <c r="AX370" i="2"/>
  <c r="AY370" i="2"/>
  <c r="AX371" i="2"/>
  <c r="AY371" i="2"/>
  <c r="AX372" i="2"/>
  <c r="AY372" i="2"/>
  <c r="AX373" i="2"/>
  <c r="AY373" i="2"/>
  <c r="AX374" i="2"/>
  <c r="AY374" i="2"/>
  <c r="AX375" i="2"/>
  <c r="AY375" i="2"/>
  <c r="AX376" i="2"/>
  <c r="AY376" i="2"/>
  <c r="AX377" i="2"/>
  <c r="AY377" i="2"/>
  <c r="AX378" i="2"/>
  <c r="AY378" i="2"/>
  <c r="AX379" i="2"/>
  <c r="AY379" i="2"/>
  <c r="AX380" i="2"/>
  <c r="AY380" i="2"/>
  <c r="AX381" i="2"/>
  <c r="AY381" i="2"/>
  <c r="AX382" i="2"/>
  <c r="AY382" i="2"/>
  <c r="AX383" i="2"/>
  <c r="AY383" i="2"/>
  <c r="AX384" i="2"/>
  <c r="AY384" i="2"/>
  <c r="AX385" i="2"/>
  <c r="AY385" i="2"/>
  <c r="AX386" i="2"/>
  <c r="AY386" i="2"/>
  <c r="AX387" i="2"/>
  <c r="AY387" i="2"/>
  <c r="AX388" i="2"/>
  <c r="AY388" i="2"/>
  <c r="AX389" i="2"/>
  <c r="AY389" i="2"/>
  <c r="AX390" i="2"/>
  <c r="AY390" i="2"/>
  <c r="AX391" i="2"/>
  <c r="AY391" i="2"/>
  <c r="AX392" i="2"/>
  <c r="AY392" i="2"/>
  <c r="AX393" i="2"/>
  <c r="AY393" i="2"/>
  <c r="AX394" i="2"/>
  <c r="AY394" i="2"/>
  <c r="AX395" i="2"/>
  <c r="AY395" i="2"/>
  <c r="AX396" i="2"/>
  <c r="AY396" i="2"/>
  <c r="AX397" i="2"/>
  <c r="AY397" i="2"/>
  <c r="AX398" i="2"/>
  <c r="AY398" i="2"/>
  <c r="AX399" i="2"/>
  <c r="AY399" i="2"/>
  <c r="AX400" i="2"/>
  <c r="AY400" i="2"/>
  <c r="AX401" i="2"/>
  <c r="AY401" i="2"/>
  <c r="AX402" i="2"/>
  <c r="AY402" i="2"/>
  <c r="AX403" i="2"/>
  <c r="AY403" i="2"/>
  <c r="AX404" i="2"/>
  <c r="AY404" i="2"/>
  <c r="AX405" i="2"/>
  <c r="AY405" i="2"/>
  <c r="AX406" i="2"/>
  <c r="AY406" i="2"/>
  <c r="AX407" i="2"/>
  <c r="AY407" i="2"/>
  <c r="AX408" i="2"/>
  <c r="AY408" i="2"/>
  <c r="AX409" i="2"/>
  <c r="AY409" i="2"/>
  <c r="AX410" i="2"/>
  <c r="AY410" i="2"/>
  <c r="AX411" i="2"/>
  <c r="AY411" i="2"/>
  <c r="AX412" i="2"/>
  <c r="AY412" i="2"/>
  <c r="AX413" i="2"/>
  <c r="AY413" i="2"/>
  <c r="AX414" i="2"/>
  <c r="AY414" i="2"/>
  <c r="AX415" i="2"/>
  <c r="AY415" i="2"/>
  <c r="AX416" i="2"/>
  <c r="AY416" i="2"/>
  <c r="AX417" i="2"/>
  <c r="AY417" i="2"/>
  <c r="AX418" i="2"/>
  <c r="AY418" i="2"/>
  <c r="AX419" i="2"/>
  <c r="AY419" i="2"/>
  <c r="AX420" i="2"/>
  <c r="AY420" i="2"/>
  <c r="AX421" i="2"/>
  <c r="AY421" i="2"/>
  <c r="AX422" i="2"/>
  <c r="AY422" i="2"/>
  <c r="AX423" i="2"/>
  <c r="AY423" i="2"/>
  <c r="AX424" i="2"/>
  <c r="AY424" i="2"/>
  <c r="AX425" i="2"/>
  <c r="AY425" i="2"/>
  <c r="AX426" i="2"/>
  <c r="AY426" i="2"/>
  <c r="AX427" i="2"/>
  <c r="AY427" i="2"/>
  <c r="AX428" i="2"/>
  <c r="AY428" i="2"/>
  <c r="AX429" i="2"/>
  <c r="AY429" i="2"/>
  <c r="AX430" i="2"/>
  <c r="AY430" i="2"/>
  <c r="AX431" i="2"/>
  <c r="AY431" i="2"/>
  <c r="AX432" i="2"/>
  <c r="AY432" i="2"/>
  <c r="AX433" i="2"/>
  <c r="AY433" i="2"/>
  <c r="AX434" i="2"/>
  <c r="AY434" i="2"/>
  <c r="AX435" i="2"/>
  <c r="AY435" i="2"/>
  <c r="AX436" i="2"/>
  <c r="AY436" i="2"/>
  <c r="AX437" i="2"/>
  <c r="AY437" i="2"/>
  <c r="AX438" i="2"/>
  <c r="AY438" i="2"/>
  <c r="AX439" i="2"/>
  <c r="AY439" i="2"/>
  <c r="AX440" i="2"/>
  <c r="AY440" i="2"/>
  <c r="AX441" i="2"/>
  <c r="AY441" i="2"/>
  <c r="AX442" i="2"/>
  <c r="AY442" i="2"/>
  <c r="AX443" i="2"/>
  <c r="AY443" i="2"/>
  <c r="AX444" i="2"/>
  <c r="AY444" i="2"/>
  <c r="AX445" i="2"/>
  <c r="AY445" i="2"/>
  <c r="AX446" i="2"/>
  <c r="AY446" i="2"/>
  <c r="AX447" i="2"/>
  <c r="AY447" i="2"/>
  <c r="AX448" i="2"/>
  <c r="AY448" i="2"/>
  <c r="AX449" i="2"/>
  <c r="AY449" i="2"/>
  <c r="AX450" i="2"/>
  <c r="AY450" i="2"/>
  <c r="AX451" i="2"/>
  <c r="AY451" i="2"/>
  <c r="AX452" i="2"/>
  <c r="AY452" i="2"/>
  <c r="AX453" i="2"/>
  <c r="AY453" i="2"/>
  <c r="AX454" i="2"/>
  <c r="AY454" i="2"/>
  <c r="AX455" i="2"/>
  <c r="AY455" i="2"/>
  <c r="AX456" i="2"/>
  <c r="AY456" i="2"/>
  <c r="AX457" i="2"/>
  <c r="AY457" i="2"/>
  <c r="AX458" i="2"/>
  <c r="AY458" i="2"/>
  <c r="AX459" i="2"/>
  <c r="AY459" i="2"/>
  <c r="AX460" i="2"/>
  <c r="AY460" i="2"/>
  <c r="AX461" i="2"/>
  <c r="AY461" i="2"/>
  <c r="AX462" i="2"/>
  <c r="AY462" i="2"/>
  <c r="AX463" i="2"/>
  <c r="AY463" i="2"/>
  <c r="AX464" i="2"/>
  <c r="AY464" i="2"/>
  <c r="AX465" i="2"/>
  <c r="AY465" i="2"/>
  <c r="AX466" i="2"/>
  <c r="AY466" i="2"/>
  <c r="AX467" i="2"/>
  <c r="AY467" i="2"/>
  <c r="AX468" i="2"/>
  <c r="AY468" i="2"/>
  <c r="AX469" i="2"/>
  <c r="AY469" i="2"/>
  <c r="AX470" i="2"/>
  <c r="AY470" i="2"/>
  <c r="AX471" i="2"/>
  <c r="AY471" i="2"/>
  <c r="AX472" i="2"/>
  <c r="AY472" i="2"/>
  <c r="AX473" i="2"/>
  <c r="AY473" i="2"/>
  <c r="AX474" i="2"/>
  <c r="AY474" i="2"/>
  <c r="AX475" i="2"/>
  <c r="AY475" i="2"/>
  <c r="AX476" i="2"/>
  <c r="AY476" i="2"/>
  <c r="AX477" i="2"/>
  <c r="AY477" i="2"/>
  <c r="AX478" i="2"/>
  <c r="AY478" i="2"/>
  <c r="AX479" i="2"/>
  <c r="AY479" i="2"/>
  <c r="AX480" i="2"/>
  <c r="AY480" i="2"/>
  <c r="AX481" i="2"/>
  <c r="AY481" i="2"/>
  <c r="AX482" i="2"/>
  <c r="AY482" i="2"/>
  <c r="AX483" i="2"/>
  <c r="AY483" i="2"/>
  <c r="AX484" i="2"/>
  <c r="AY484" i="2"/>
  <c r="AX485" i="2"/>
  <c r="AY485" i="2"/>
  <c r="AX486" i="2"/>
  <c r="AY486" i="2"/>
  <c r="AX487" i="2"/>
  <c r="AY487" i="2"/>
  <c r="AX488" i="2"/>
  <c r="AY488" i="2"/>
  <c r="AX489" i="2"/>
  <c r="AY489" i="2"/>
  <c r="AX490" i="2"/>
  <c r="AY490" i="2"/>
  <c r="AX491" i="2"/>
  <c r="AY491" i="2"/>
  <c r="AX492" i="2"/>
  <c r="AY492" i="2"/>
  <c r="AX493" i="2"/>
  <c r="AY493" i="2"/>
  <c r="AX494" i="2"/>
  <c r="AY494" i="2"/>
  <c r="AX495" i="2"/>
  <c r="AY495" i="2"/>
  <c r="AX496" i="2"/>
  <c r="AY496" i="2"/>
  <c r="AX497" i="2"/>
  <c r="AY497" i="2"/>
  <c r="AX498" i="2"/>
  <c r="AY498" i="2"/>
  <c r="AX499" i="2"/>
  <c r="AY499" i="2"/>
  <c r="AX500" i="2"/>
  <c r="AY500" i="2"/>
  <c r="AX501" i="2"/>
  <c r="AY501" i="2"/>
  <c r="AX502" i="2"/>
  <c r="AY502" i="2"/>
  <c r="AX503" i="2"/>
  <c r="AY503" i="2"/>
  <c r="AX504" i="2"/>
  <c r="AY504" i="2"/>
  <c r="AX505" i="2"/>
  <c r="AY505" i="2"/>
  <c r="AX506" i="2"/>
  <c r="AY506" i="2"/>
  <c r="AX507" i="2"/>
  <c r="AY507" i="2"/>
  <c r="AX508" i="2"/>
  <c r="AY508" i="2"/>
  <c r="AX509" i="2"/>
  <c r="AY509" i="2"/>
  <c r="AX510" i="2"/>
  <c r="AY510" i="2"/>
  <c r="AX511" i="2"/>
  <c r="AY511" i="2"/>
  <c r="AX512" i="2"/>
  <c r="AY512" i="2"/>
  <c r="AX513" i="2"/>
  <c r="AY513" i="2"/>
  <c r="AX514" i="2"/>
  <c r="AY514" i="2"/>
  <c r="AX515" i="2"/>
  <c r="AY515" i="2"/>
  <c r="AX516" i="2"/>
  <c r="AY516" i="2"/>
  <c r="AX517" i="2"/>
  <c r="AY517" i="2"/>
  <c r="AX518" i="2"/>
  <c r="AY518" i="2"/>
  <c r="AX519" i="2"/>
  <c r="AY519" i="2"/>
  <c r="AX520" i="2"/>
  <c r="AY520" i="2"/>
  <c r="AX521" i="2"/>
  <c r="AY521" i="2"/>
  <c r="AX522" i="2"/>
  <c r="AY522" i="2"/>
  <c r="AX523" i="2"/>
  <c r="AY523" i="2"/>
  <c r="AX524" i="2"/>
  <c r="AY524" i="2"/>
  <c r="AX525" i="2"/>
  <c r="AY525" i="2"/>
  <c r="AX526" i="2"/>
  <c r="AY526" i="2"/>
  <c r="AX527" i="2"/>
  <c r="AY527" i="2"/>
  <c r="AX528" i="2"/>
  <c r="AY528" i="2"/>
  <c r="AX529" i="2"/>
  <c r="AY529" i="2"/>
  <c r="AX530" i="2"/>
  <c r="AY530" i="2"/>
  <c r="AX531" i="2"/>
  <c r="AY531" i="2"/>
  <c r="AX532" i="2"/>
  <c r="AY532" i="2"/>
  <c r="AX533" i="2"/>
  <c r="AY533" i="2"/>
  <c r="AX534" i="2"/>
  <c r="AY534" i="2"/>
  <c r="AX535" i="2"/>
  <c r="AY535" i="2"/>
  <c r="AX536" i="2"/>
  <c r="AY536" i="2"/>
  <c r="AX537" i="2"/>
  <c r="AY537" i="2"/>
  <c r="AX538" i="2"/>
  <c r="AY538" i="2"/>
  <c r="AX539" i="2"/>
  <c r="AY539" i="2"/>
  <c r="AX540" i="2"/>
  <c r="AY540" i="2"/>
  <c r="AX541" i="2"/>
  <c r="AY541" i="2"/>
  <c r="AX542" i="2"/>
  <c r="AY542" i="2"/>
  <c r="AX543" i="2"/>
  <c r="AY543" i="2"/>
  <c r="AX544" i="2"/>
  <c r="AY544" i="2"/>
  <c r="AX545" i="2"/>
  <c r="AY545" i="2"/>
  <c r="AX546" i="2"/>
  <c r="AY546" i="2"/>
  <c r="AX547" i="2"/>
  <c r="AY547" i="2"/>
  <c r="AX548" i="2"/>
  <c r="AY548" i="2"/>
  <c r="AX549" i="2"/>
  <c r="AY549" i="2"/>
  <c r="AX550" i="2"/>
  <c r="AY550" i="2"/>
  <c r="AX551" i="2"/>
  <c r="AY551" i="2"/>
  <c r="AX552" i="2"/>
  <c r="AY552" i="2"/>
  <c r="AX553" i="2"/>
  <c r="AY553" i="2"/>
  <c r="AX554" i="2"/>
  <c r="AY554" i="2"/>
  <c r="AX555" i="2"/>
  <c r="AY555" i="2"/>
  <c r="AX556" i="2"/>
  <c r="AY556" i="2"/>
  <c r="AX557" i="2"/>
  <c r="AY557" i="2"/>
  <c r="AX558" i="2"/>
  <c r="AY558" i="2"/>
  <c r="AX559" i="2"/>
  <c r="AY559" i="2"/>
  <c r="AX560" i="2"/>
  <c r="AY560" i="2"/>
  <c r="AX561" i="2"/>
  <c r="AY561" i="2"/>
  <c r="AX562" i="2"/>
  <c r="AY562" i="2"/>
  <c r="AX563" i="2"/>
  <c r="AY563" i="2"/>
  <c r="AX564" i="2"/>
  <c r="AY564" i="2"/>
  <c r="AX565" i="2"/>
  <c r="AY565" i="2"/>
  <c r="AX566" i="2"/>
  <c r="AY566" i="2"/>
  <c r="AX567" i="2"/>
  <c r="AY567" i="2"/>
  <c r="AX568" i="2"/>
  <c r="AY568" i="2"/>
  <c r="AX569" i="2"/>
  <c r="AY569" i="2"/>
  <c r="AX570" i="2"/>
  <c r="AY570" i="2"/>
  <c r="AX571" i="2"/>
  <c r="AY571" i="2"/>
  <c r="AX572" i="2"/>
  <c r="AY572" i="2"/>
  <c r="AX573" i="2"/>
  <c r="AY573" i="2"/>
  <c r="AX574" i="2"/>
  <c r="AY574" i="2"/>
  <c r="AX575" i="2"/>
  <c r="AY575" i="2"/>
  <c r="AX576" i="2"/>
  <c r="AY576" i="2"/>
  <c r="AX577" i="2"/>
  <c r="AY577" i="2"/>
  <c r="AX578" i="2"/>
  <c r="AY578" i="2"/>
  <c r="AX579" i="2"/>
  <c r="AY579" i="2"/>
  <c r="AX580" i="2"/>
  <c r="AY580" i="2"/>
  <c r="AX581" i="2"/>
  <c r="AY581" i="2"/>
  <c r="AX582" i="2"/>
  <c r="AY582" i="2"/>
  <c r="AX583" i="2"/>
  <c r="AY583" i="2"/>
  <c r="AX584" i="2"/>
  <c r="AY584" i="2"/>
  <c r="AX585" i="2"/>
  <c r="AY585" i="2"/>
  <c r="AX586" i="2"/>
  <c r="AY586" i="2"/>
  <c r="AX587" i="2"/>
  <c r="AY587" i="2"/>
  <c r="AX588" i="2"/>
  <c r="AY588" i="2"/>
  <c r="AX589" i="2"/>
  <c r="AY589" i="2"/>
  <c r="AX590" i="2"/>
  <c r="AY590" i="2"/>
  <c r="AX591" i="2"/>
  <c r="AY591" i="2"/>
  <c r="AX592" i="2"/>
  <c r="AY592" i="2"/>
  <c r="AX593" i="2"/>
  <c r="AY593" i="2"/>
  <c r="AX594" i="2"/>
  <c r="AY594" i="2"/>
  <c r="AX595" i="2"/>
  <c r="AY595" i="2"/>
  <c r="AX596" i="2"/>
  <c r="AY596" i="2"/>
  <c r="AX597" i="2"/>
  <c r="AY597" i="2"/>
  <c r="AX598" i="2"/>
  <c r="AY598" i="2"/>
  <c r="AX599" i="2"/>
  <c r="AY599" i="2"/>
  <c r="AX600" i="2"/>
  <c r="AY600" i="2"/>
  <c r="AX601" i="2"/>
  <c r="AY601" i="2"/>
  <c r="AX602" i="2"/>
  <c r="AY602" i="2"/>
  <c r="AX603" i="2"/>
  <c r="AY603" i="2"/>
  <c r="AX604" i="2"/>
  <c r="AY604" i="2"/>
  <c r="AX605" i="2"/>
  <c r="AY605" i="2"/>
  <c r="AX606" i="2"/>
  <c r="AY606" i="2"/>
  <c r="AX607" i="2"/>
  <c r="AY607" i="2"/>
  <c r="AX608" i="2"/>
  <c r="AY608" i="2"/>
  <c r="AX609" i="2"/>
  <c r="AY609" i="2"/>
  <c r="AX610" i="2"/>
  <c r="AY610" i="2"/>
  <c r="AX611" i="2"/>
  <c r="AY611" i="2"/>
  <c r="AX612" i="2"/>
  <c r="AY612" i="2"/>
  <c r="AX613" i="2"/>
  <c r="AY613" i="2"/>
  <c r="AX614" i="2"/>
  <c r="AY614" i="2"/>
  <c r="AX615" i="2"/>
  <c r="AY615" i="2"/>
  <c r="AX616" i="2"/>
  <c r="AY616" i="2"/>
  <c r="AX617" i="2"/>
  <c r="AY617" i="2"/>
  <c r="AX618" i="2"/>
  <c r="AY618" i="2"/>
  <c r="AX619" i="2"/>
  <c r="AY619" i="2"/>
  <c r="AX620" i="2"/>
  <c r="AY620" i="2"/>
  <c r="AX621" i="2"/>
  <c r="AY621" i="2"/>
  <c r="AX622" i="2"/>
  <c r="AY622" i="2"/>
  <c r="AX623" i="2"/>
  <c r="AY623" i="2"/>
  <c r="AX624" i="2"/>
  <c r="AY624" i="2"/>
  <c r="AX625" i="2"/>
  <c r="AY625" i="2"/>
  <c r="AX626" i="2"/>
  <c r="AY626" i="2"/>
  <c r="AX627" i="2"/>
  <c r="AY627" i="2"/>
  <c r="AX628" i="2"/>
  <c r="AY628" i="2"/>
  <c r="AX629" i="2"/>
  <c r="AY629" i="2"/>
  <c r="AX630" i="2"/>
  <c r="AY630" i="2"/>
  <c r="AX631" i="2"/>
  <c r="AY631" i="2"/>
  <c r="AX632" i="2"/>
  <c r="AY632" i="2"/>
  <c r="AX633" i="2"/>
  <c r="AY633" i="2"/>
  <c r="AX634" i="2"/>
  <c r="AY634" i="2"/>
  <c r="AX635" i="2"/>
  <c r="AY635" i="2"/>
  <c r="AX636" i="2"/>
  <c r="AY636" i="2"/>
  <c r="AX637" i="2"/>
  <c r="AY637" i="2"/>
  <c r="AX638" i="2"/>
  <c r="AY638" i="2"/>
  <c r="AX639" i="2"/>
  <c r="AY639" i="2"/>
  <c r="AX640" i="2"/>
  <c r="AY640" i="2"/>
  <c r="AX641" i="2"/>
  <c r="AY641" i="2"/>
  <c r="AX642" i="2"/>
  <c r="AY642" i="2"/>
  <c r="AX643" i="2"/>
  <c r="AY643" i="2"/>
  <c r="AX644" i="2"/>
  <c r="AY644" i="2"/>
  <c r="AX645" i="2"/>
  <c r="AY645" i="2"/>
  <c r="AX646" i="2"/>
  <c r="AY646" i="2"/>
  <c r="AX647" i="2"/>
  <c r="AY647" i="2"/>
  <c r="AX648" i="2"/>
  <c r="AY648" i="2"/>
  <c r="AX649" i="2"/>
  <c r="AY649" i="2"/>
  <c r="AX650" i="2"/>
  <c r="AY650" i="2"/>
  <c r="AX651" i="2"/>
  <c r="AY651" i="2"/>
  <c r="AX652" i="2"/>
  <c r="AY652" i="2"/>
  <c r="AX653" i="2"/>
  <c r="AY653" i="2"/>
  <c r="AX654" i="2"/>
  <c r="AY654" i="2"/>
  <c r="AX655" i="2"/>
  <c r="AY655" i="2"/>
  <c r="AX656" i="2"/>
  <c r="AY656" i="2"/>
  <c r="AX657" i="2"/>
  <c r="AY657" i="2"/>
  <c r="AX658" i="2"/>
  <c r="AY658" i="2"/>
  <c r="AX659" i="2"/>
  <c r="AY659" i="2"/>
  <c r="AX660" i="2"/>
  <c r="AY660" i="2"/>
  <c r="AX661" i="2"/>
  <c r="AY661" i="2"/>
  <c r="AX662" i="2"/>
  <c r="AY662" i="2"/>
  <c r="AX663" i="2"/>
  <c r="AY663" i="2"/>
  <c r="AX664" i="2"/>
  <c r="AY664" i="2"/>
  <c r="AX665" i="2"/>
  <c r="AY665" i="2"/>
  <c r="AX666" i="2"/>
  <c r="AY666" i="2"/>
  <c r="AX667" i="2"/>
  <c r="AY667" i="2"/>
  <c r="AX668" i="2"/>
  <c r="AY668" i="2"/>
  <c r="AX669" i="2"/>
  <c r="AY669" i="2"/>
  <c r="AX670" i="2"/>
  <c r="AY670" i="2"/>
  <c r="AX671" i="2"/>
  <c r="AY671" i="2"/>
  <c r="AX672" i="2"/>
  <c r="AY672" i="2"/>
  <c r="AX673" i="2"/>
  <c r="AY673" i="2"/>
  <c r="AX674" i="2"/>
  <c r="AY674" i="2"/>
  <c r="AX675" i="2"/>
  <c r="AY675" i="2"/>
  <c r="AX676" i="2"/>
  <c r="AY676" i="2"/>
  <c r="AX677" i="2"/>
  <c r="AY677" i="2"/>
  <c r="AX678" i="2"/>
  <c r="AY678" i="2"/>
  <c r="AX679" i="2"/>
  <c r="AY679" i="2"/>
  <c r="AX680" i="2"/>
  <c r="AY680" i="2"/>
  <c r="AX681" i="2"/>
  <c r="AY681" i="2"/>
  <c r="AX682" i="2"/>
  <c r="AY682" i="2"/>
  <c r="AX683" i="2"/>
  <c r="AY683" i="2"/>
  <c r="AX684" i="2"/>
  <c r="AY684" i="2"/>
  <c r="AX685" i="2"/>
  <c r="AY685" i="2"/>
  <c r="AX686" i="2"/>
  <c r="AY686" i="2"/>
  <c r="AX687" i="2"/>
  <c r="AY687" i="2"/>
  <c r="AX688" i="2"/>
  <c r="AY688" i="2"/>
  <c r="AX689" i="2"/>
  <c r="AY689" i="2"/>
  <c r="AX690" i="2"/>
  <c r="AY690" i="2"/>
  <c r="AX691" i="2"/>
  <c r="AY691" i="2"/>
  <c r="AX692" i="2"/>
  <c r="AY692" i="2"/>
  <c r="AX693" i="2"/>
  <c r="AY693" i="2"/>
  <c r="AX694" i="2"/>
  <c r="AY694" i="2"/>
  <c r="AX695" i="2"/>
  <c r="AY695" i="2"/>
  <c r="AX696" i="2"/>
  <c r="AY696" i="2"/>
  <c r="AX697" i="2"/>
  <c r="AY697" i="2"/>
  <c r="AX698" i="2"/>
  <c r="AY698" i="2"/>
  <c r="AX699" i="2"/>
  <c r="AY699" i="2"/>
  <c r="AX700" i="2"/>
  <c r="AY700" i="2"/>
  <c r="AX701" i="2"/>
  <c r="AY701" i="2"/>
  <c r="AX702" i="2"/>
  <c r="AY702" i="2"/>
  <c r="AX703" i="2"/>
  <c r="AY703" i="2"/>
  <c r="AX704" i="2"/>
  <c r="AY704" i="2"/>
  <c r="AX705" i="2"/>
  <c r="AY705" i="2"/>
  <c r="AX706" i="2"/>
  <c r="AY706" i="2"/>
  <c r="AX707" i="2"/>
  <c r="AY707" i="2"/>
  <c r="AX708" i="2"/>
  <c r="AY708" i="2"/>
  <c r="AX709" i="2"/>
  <c r="AY709" i="2"/>
  <c r="AX710" i="2"/>
  <c r="AY710" i="2"/>
  <c r="AX711" i="2"/>
  <c r="AY711" i="2"/>
  <c r="AX712" i="2"/>
  <c r="AY712" i="2"/>
  <c r="AX713" i="2"/>
  <c r="AY713" i="2"/>
  <c r="AX714" i="2"/>
  <c r="AY714" i="2"/>
  <c r="AX715" i="2"/>
  <c r="AY715" i="2"/>
  <c r="AX716" i="2"/>
  <c r="AY716" i="2"/>
  <c r="AX717" i="2"/>
  <c r="AY717" i="2"/>
  <c r="AX718" i="2"/>
  <c r="AY718" i="2"/>
  <c r="AX719" i="2"/>
  <c r="AY719" i="2"/>
  <c r="AX720" i="2"/>
  <c r="AY720" i="2"/>
  <c r="AX721" i="2"/>
  <c r="AY721" i="2"/>
  <c r="AX722" i="2"/>
  <c r="AY722" i="2"/>
  <c r="AX723" i="2"/>
  <c r="AY723" i="2"/>
  <c r="AX724" i="2"/>
  <c r="AY724" i="2"/>
  <c r="AX725" i="2"/>
  <c r="AY725" i="2"/>
  <c r="AX726" i="2"/>
  <c r="AY726" i="2"/>
  <c r="AX727" i="2"/>
  <c r="AY727" i="2"/>
  <c r="AX728" i="2"/>
  <c r="AY728" i="2"/>
  <c r="AX729" i="2"/>
  <c r="AY729" i="2"/>
  <c r="AX730" i="2"/>
  <c r="AY730" i="2"/>
  <c r="AX731" i="2"/>
  <c r="AY731" i="2"/>
  <c r="AX732" i="2"/>
  <c r="AY732" i="2"/>
  <c r="AX733" i="2"/>
  <c r="AY733" i="2"/>
  <c r="AX734" i="2"/>
  <c r="AY734" i="2"/>
  <c r="AX735" i="2"/>
  <c r="AY735" i="2"/>
  <c r="AX736" i="2"/>
  <c r="AY736" i="2"/>
  <c r="AX737" i="2"/>
  <c r="AY737" i="2"/>
  <c r="AX738" i="2"/>
  <c r="AY738" i="2"/>
  <c r="AX739" i="2"/>
  <c r="AY739" i="2"/>
  <c r="AX740" i="2"/>
  <c r="AY740" i="2"/>
  <c r="AX741" i="2"/>
  <c r="AY741" i="2"/>
  <c r="AX742" i="2"/>
  <c r="AY742" i="2"/>
  <c r="AX743" i="2"/>
  <c r="AY743" i="2"/>
  <c r="AX744" i="2"/>
  <c r="AY744" i="2"/>
  <c r="AX745" i="2"/>
  <c r="AY745" i="2"/>
  <c r="AX746" i="2"/>
  <c r="AY746" i="2"/>
  <c r="AX747" i="2"/>
  <c r="AY747" i="2"/>
  <c r="AX748" i="2"/>
  <c r="AY748" i="2"/>
  <c r="AX749" i="2"/>
  <c r="AY749" i="2"/>
  <c r="AX750" i="2"/>
  <c r="AY750" i="2"/>
  <c r="AX751" i="2"/>
  <c r="AY751" i="2"/>
  <c r="AX752" i="2"/>
  <c r="AY752" i="2"/>
  <c r="AX753" i="2"/>
  <c r="AY753" i="2"/>
  <c r="AX754" i="2"/>
  <c r="AY754" i="2"/>
  <c r="AX755" i="2"/>
  <c r="AY755" i="2"/>
  <c r="AX756" i="2"/>
  <c r="AY756" i="2"/>
  <c r="AX757" i="2"/>
  <c r="AY757" i="2"/>
  <c r="AX758" i="2"/>
  <c r="AY758" i="2"/>
  <c r="AX759" i="2"/>
  <c r="AY759" i="2"/>
  <c r="AX760" i="2"/>
  <c r="AY760" i="2"/>
  <c r="AX761" i="2"/>
  <c r="AY761" i="2"/>
  <c r="AX762" i="2"/>
  <c r="AY762" i="2"/>
  <c r="AX763" i="2"/>
  <c r="AY763" i="2"/>
  <c r="AX764" i="2"/>
  <c r="AY764" i="2"/>
  <c r="AX765" i="2"/>
  <c r="AY765" i="2"/>
  <c r="AX766" i="2"/>
  <c r="AY766" i="2"/>
  <c r="AX767" i="2"/>
  <c r="AY767" i="2"/>
  <c r="AX768" i="2"/>
  <c r="AY768" i="2"/>
  <c r="AX769" i="2"/>
  <c r="AY769" i="2"/>
  <c r="AX770" i="2"/>
  <c r="AY770" i="2"/>
  <c r="AX771" i="2"/>
  <c r="AY771" i="2"/>
  <c r="AX772" i="2"/>
  <c r="AY772" i="2"/>
  <c r="AX773" i="2"/>
  <c r="AY773" i="2"/>
  <c r="AX774" i="2"/>
  <c r="AY774" i="2"/>
  <c r="AX775" i="2"/>
  <c r="AY775" i="2"/>
  <c r="AX776" i="2"/>
  <c r="AY776" i="2"/>
  <c r="AX777" i="2"/>
  <c r="AY777" i="2"/>
  <c r="AX778" i="2"/>
  <c r="AY778" i="2"/>
  <c r="AX779" i="2"/>
  <c r="AY779" i="2"/>
  <c r="AX780" i="2"/>
  <c r="AY780" i="2"/>
  <c r="AX781" i="2"/>
  <c r="AY781" i="2"/>
  <c r="AX782" i="2"/>
  <c r="AY782" i="2"/>
  <c r="AX783" i="2"/>
  <c r="AY783" i="2"/>
  <c r="AX784" i="2"/>
  <c r="AY784" i="2"/>
  <c r="AX785" i="2"/>
  <c r="AY785" i="2"/>
  <c r="AX786" i="2"/>
  <c r="AY786" i="2"/>
  <c r="AX787" i="2"/>
  <c r="AY787" i="2"/>
  <c r="AX788" i="2"/>
  <c r="AY788" i="2"/>
  <c r="AX789" i="2"/>
  <c r="AY789" i="2"/>
  <c r="AX790" i="2"/>
  <c r="AY790" i="2"/>
  <c r="AX791" i="2"/>
  <c r="AY791" i="2"/>
  <c r="AX792" i="2"/>
  <c r="AY792" i="2"/>
  <c r="AX793" i="2"/>
  <c r="AY793" i="2"/>
  <c r="AX794" i="2"/>
  <c r="AY794" i="2"/>
  <c r="AX795" i="2"/>
  <c r="AY795" i="2"/>
  <c r="AX796" i="2"/>
  <c r="AY796" i="2"/>
  <c r="AX797" i="2"/>
  <c r="AY797" i="2"/>
  <c r="AX798" i="2"/>
  <c r="AY798" i="2"/>
  <c r="AX799" i="2"/>
  <c r="AY799" i="2"/>
  <c r="AX800" i="2"/>
  <c r="AY800" i="2"/>
  <c r="AX801" i="2"/>
  <c r="AY801" i="2"/>
  <c r="AX802" i="2"/>
  <c r="AY802" i="2"/>
  <c r="AX803" i="2"/>
  <c r="AY803" i="2"/>
  <c r="AX804" i="2"/>
  <c r="AY804" i="2"/>
  <c r="AX805" i="2"/>
  <c r="AY805" i="2"/>
  <c r="AX806" i="2"/>
  <c r="AY806" i="2"/>
  <c r="AX807" i="2"/>
  <c r="AY807" i="2"/>
  <c r="AX808" i="2"/>
  <c r="AY808" i="2"/>
  <c r="AX809" i="2"/>
  <c r="AY809" i="2"/>
  <c r="AX810" i="2"/>
  <c r="AY810" i="2"/>
  <c r="AX811" i="2"/>
  <c r="AY811" i="2"/>
  <c r="AX812" i="2"/>
  <c r="AY812" i="2"/>
  <c r="AX813" i="2"/>
  <c r="AY813" i="2"/>
  <c r="AX814" i="2"/>
  <c r="AY814" i="2"/>
  <c r="AX815" i="2"/>
  <c r="AY815" i="2"/>
  <c r="AX816" i="2"/>
  <c r="AY816" i="2"/>
  <c r="AX817" i="2"/>
  <c r="AY817" i="2"/>
  <c r="AX818" i="2"/>
  <c r="AY818" i="2"/>
  <c r="AX819" i="2"/>
  <c r="AY819" i="2"/>
  <c r="AX820" i="2"/>
  <c r="AY820" i="2"/>
  <c r="AX821" i="2"/>
  <c r="AY821" i="2"/>
  <c r="AX822" i="2"/>
  <c r="AY822" i="2"/>
  <c r="AX823" i="2"/>
  <c r="AY823" i="2"/>
  <c r="AX824" i="2"/>
  <c r="AY824" i="2"/>
  <c r="AX825" i="2"/>
  <c r="AY825" i="2"/>
  <c r="AX826" i="2"/>
  <c r="AY826" i="2"/>
  <c r="AX827" i="2"/>
  <c r="AY827" i="2"/>
  <c r="AX828" i="2"/>
  <c r="AY828" i="2"/>
  <c r="AX829" i="2"/>
  <c r="AY829" i="2"/>
  <c r="AX830" i="2"/>
  <c r="AY830" i="2"/>
  <c r="AX831" i="2"/>
  <c r="AY831" i="2"/>
  <c r="AX832" i="2"/>
  <c r="AY832" i="2"/>
  <c r="AX833" i="2"/>
  <c r="AY833" i="2"/>
  <c r="AX834" i="2"/>
  <c r="AY834" i="2"/>
  <c r="AX835" i="2"/>
  <c r="AY835" i="2"/>
  <c r="AX836" i="2"/>
  <c r="AY836" i="2"/>
  <c r="AX837" i="2"/>
  <c r="AY837" i="2"/>
  <c r="AX838" i="2"/>
  <c r="AY838" i="2"/>
  <c r="AX839" i="2"/>
  <c r="AY839" i="2"/>
  <c r="AX840" i="2"/>
  <c r="AY840" i="2"/>
  <c r="AX841" i="2"/>
  <c r="AY841" i="2"/>
  <c r="AX842" i="2"/>
  <c r="AY842" i="2"/>
  <c r="AX843" i="2"/>
  <c r="AY843" i="2"/>
  <c r="AX844" i="2"/>
  <c r="AY844" i="2"/>
  <c r="AX845" i="2"/>
  <c r="AY845" i="2"/>
  <c r="AX846" i="2"/>
  <c r="AY846" i="2"/>
  <c r="AX847" i="2"/>
  <c r="AY847" i="2"/>
  <c r="AX848" i="2"/>
  <c r="AY848" i="2"/>
  <c r="AX849" i="2"/>
  <c r="AY849" i="2"/>
  <c r="AX850" i="2"/>
  <c r="AY850" i="2"/>
  <c r="AX851" i="2"/>
  <c r="AY851" i="2"/>
  <c r="AX852" i="2"/>
  <c r="AY852" i="2"/>
  <c r="AX853" i="2"/>
  <c r="AY853" i="2"/>
  <c r="AX854" i="2"/>
  <c r="AY854" i="2"/>
  <c r="AX855" i="2"/>
  <c r="AY855" i="2"/>
  <c r="AX856" i="2"/>
  <c r="AY856" i="2"/>
  <c r="AX857" i="2"/>
  <c r="AY857" i="2"/>
  <c r="AX858" i="2"/>
  <c r="AY858" i="2"/>
  <c r="AX859" i="2"/>
  <c r="AY859" i="2"/>
  <c r="AX860" i="2"/>
  <c r="AY860" i="2"/>
  <c r="AX861" i="2"/>
  <c r="AY861" i="2"/>
  <c r="AX862" i="2"/>
  <c r="AY862" i="2"/>
  <c r="AX863" i="2"/>
  <c r="AY863" i="2"/>
  <c r="AX864" i="2"/>
  <c r="AY864" i="2"/>
  <c r="AX865" i="2"/>
  <c r="AY865" i="2"/>
  <c r="AX866" i="2"/>
  <c r="AY866" i="2"/>
  <c r="AX867" i="2"/>
  <c r="AY867" i="2"/>
  <c r="AX868" i="2"/>
  <c r="AY868" i="2"/>
  <c r="AX869" i="2"/>
  <c r="AY869" i="2"/>
  <c r="AX870" i="2"/>
  <c r="AY870" i="2"/>
  <c r="AX871" i="2"/>
  <c r="AY871" i="2"/>
  <c r="AX872" i="2"/>
  <c r="AY872" i="2"/>
  <c r="AX873" i="2"/>
  <c r="AY873" i="2"/>
  <c r="AX874" i="2"/>
  <c r="AY874" i="2"/>
  <c r="AX875" i="2"/>
  <c r="AY875" i="2"/>
  <c r="AX876" i="2"/>
  <c r="AY876" i="2"/>
  <c r="AX877" i="2"/>
  <c r="AY877" i="2"/>
  <c r="AX878" i="2"/>
  <c r="AY878" i="2"/>
  <c r="AX879" i="2"/>
  <c r="AY879" i="2"/>
  <c r="AX880" i="2"/>
  <c r="AY880" i="2"/>
  <c r="AX881" i="2"/>
  <c r="AY881" i="2"/>
  <c r="AX882" i="2"/>
  <c r="AY882" i="2"/>
  <c r="AX883" i="2"/>
  <c r="AY883" i="2"/>
  <c r="AX884" i="2"/>
  <c r="AY884" i="2"/>
  <c r="AX885" i="2"/>
  <c r="AY885" i="2"/>
  <c r="AX886" i="2"/>
  <c r="AY886" i="2"/>
  <c r="AX887" i="2"/>
  <c r="AY887" i="2"/>
  <c r="AX888" i="2"/>
  <c r="AY888" i="2"/>
  <c r="AX889" i="2"/>
  <c r="AY889" i="2"/>
  <c r="AX890" i="2"/>
  <c r="AY890" i="2"/>
  <c r="AX891" i="2"/>
  <c r="AY891" i="2"/>
  <c r="AX892" i="2"/>
  <c r="AY892" i="2"/>
  <c r="AX893" i="2"/>
  <c r="AY893" i="2"/>
  <c r="AX894" i="2"/>
  <c r="AY894" i="2"/>
  <c r="AX895" i="2"/>
  <c r="AY895" i="2"/>
  <c r="AX896" i="2"/>
  <c r="AY896" i="2"/>
  <c r="AX897" i="2"/>
  <c r="AY897" i="2"/>
  <c r="AX898" i="2"/>
  <c r="AY898" i="2"/>
  <c r="AX899" i="2"/>
  <c r="AY899" i="2"/>
  <c r="AX900" i="2"/>
  <c r="AY900" i="2"/>
  <c r="AX901" i="2"/>
  <c r="AY901" i="2"/>
  <c r="W130" i="2"/>
  <c r="X130" i="2"/>
  <c r="W74" i="2"/>
  <c r="W77" i="2"/>
  <c r="X78" i="2"/>
  <c r="X79" i="2"/>
  <c r="W81" i="2"/>
  <c r="W85" i="2"/>
  <c r="X86" i="2"/>
  <c r="X87" i="2"/>
  <c r="W89" i="2"/>
  <c r="W93" i="2"/>
  <c r="W97" i="2"/>
  <c r="X98" i="2"/>
  <c r="W99" i="2"/>
  <c r="W100" i="2"/>
  <c r="W101" i="2"/>
  <c r="W105" i="2"/>
  <c r="W106" i="2"/>
  <c r="W107" i="2"/>
  <c r="X108" i="2"/>
  <c r="W109" i="2"/>
  <c r="X111" i="2"/>
  <c r="W116" i="2"/>
  <c r="W117" i="2"/>
  <c r="X118" i="2"/>
  <c r="X119" i="2"/>
  <c r="W121" i="2"/>
  <c r="X124" i="2"/>
  <c r="W125" i="2"/>
  <c r="X126" i="2"/>
  <c r="W128" i="2"/>
  <c r="W129" i="2"/>
  <c r="W132" i="2"/>
  <c r="W133" i="2"/>
  <c r="W134" i="2"/>
  <c r="X137" i="2"/>
  <c r="W138" i="2"/>
  <c r="W140" i="2"/>
  <c r="X141" i="2"/>
  <c r="W142" i="2"/>
  <c r="W145" i="2"/>
  <c r="W146" i="2"/>
  <c r="W148" i="2"/>
  <c r="W149" i="2"/>
  <c r="W150" i="2"/>
  <c r="W154" i="2"/>
  <c r="W156" i="2"/>
  <c r="X157" i="2"/>
  <c r="W158" i="2"/>
  <c r="W161" i="2"/>
  <c r="W162" i="2"/>
  <c r="W164" i="2"/>
  <c r="W165" i="2"/>
  <c r="W166" i="2"/>
  <c r="W170" i="2"/>
  <c r="W172" i="2"/>
  <c r="X173" i="2"/>
  <c r="W174" i="2"/>
  <c r="W177" i="2"/>
  <c r="W178" i="2"/>
  <c r="W182" i="2"/>
  <c r="X185" i="2"/>
  <c r="W186" i="2"/>
  <c r="W184" i="2"/>
  <c r="W29" i="2"/>
  <c r="W30" i="2"/>
  <c r="X30" i="2"/>
  <c r="W31" i="2"/>
  <c r="X31" i="2"/>
  <c r="W32" i="2"/>
  <c r="X32" i="2"/>
  <c r="W33" i="2"/>
  <c r="X33" i="2"/>
  <c r="W34" i="2"/>
  <c r="X34" i="2"/>
  <c r="W37" i="2"/>
  <c r="W38" i="2"/>
  <c r="X38" i="2"/>
  <c r="W39" i="2"/>
  <c r="X39" i="2"/>
  <c r="W40" i="2"/>
  <c r="X40" i="2"/>
  <c r="W41" i="2"/>
  <c r="W42" i="2"/>
  <c r="W45" i="2"/>
  <c r="W46" i="2"/>
  <c r="X46" i="2"/>
  <c r="W47" i="2"/>
  <c r="X47" i="2"/>
  <c r="W48" i="2"/>
  <c r="X48" i="2"/>
  <c r="W49" i="2"/>
  <c r="W50" i="2"/>
  <c r="W53" i="2"/>
  <c r="W54" i="2"/>
  <c r="X54" i="2"/>
  <c r="W55" i="2"/>
  <c r="X55" i="2"/>
  <c r="W56" i="2"/>
  <c r="X56" i="2"/>
  <c r="W57" i="2"/>
  <c r="X57" i="2"/>
  <c r="W58" i="2"/>
  <c r="X58" i="2"/>
  <c r="W61" i="2"/>
  <c r="W62" i="2"/>
  <c r="X62" i="2"/>
  <c r="W63" i="2"/>
  <c r="X63" i="2"/>
  <c r="W64" i="2"/>
  <c r="X64" i="2"/>
  <c r="W76" i="2"/>
  <c r="X76" i="2"/>
  <c r="W80" i="2"/>
  <c r="W88" i="2"/>
  <c r="X88" i="2"/>
  <c r="W96" i="2"/>
  <c r="W104" i="2"/>
  <c r="X104" i="2"/>
  <c r="W108" i="2"/>
  <c r="W137" i="2"/>
  <c r="W169" i="2"/>
  <c r="X169" i="2"/>
  <c r="W173" i="2"/>
  <c r="W181" i="2"/>
  <c r="W192" i="2"/>
  <c r="W196" i="2"/>
  <c r="X298" i="2"/>
  <c r="X299" i="2"/>
  <c r="X300" i="2"/>
  <c r="W301" i="2"/>
  <c r="X306" i="2"/>
  <c r="X307" i="2"/>
  <c r="X308" i="2"/>
  <c r="W309" i="2"/>
  <c r="X314" i="2"/>
  <c r="X315" i="2"/>
  <c r="X316" i="2"/>
  <c r="W317" i="2"/>
  <c r="X322" i="2"/>
  <c r="X323" i="2"/>
  <c r="X324" i="2"/>
  <c r="W325" i="2"/>
  <c r="X330" i="2"/>
  <c r="X331" i="2"/>
  <c r="X332" i="2"/>
  <c r="W333" i="2"/>
  <c r="X338" i="2"/>
  <c r="X339" i="2"/>
  <c r="X340" i="2"/>
  <c r="W341" i="2"/>
  <c r="X346" i="2"/>
  <c r="X347" i="2"/>
  <c r="X348" i="2"/>
  <c r="W349" i="2"/>
  <c r="X353" i="2"/>
  <c r="X354" i="2"/>
  <c r="X355" i="2"/>
  <c r="X356" i="2"/>
  <c r="W357" i="2"/>
  <c r="X361" i="2"/>
  <c r="X362" i="2"/>
  <c r="X363" i="2"/>
  <c r="X364" i="2"/>
  <c r="W365" i="2"/>
  <c r="X369" i="2"/>
  <c r="X370" i="2"/>
  <c r="X371" i="2"/>
  <c r="X372" i="2"/>
  <c r="W373" i="2"/>
  <c r="X377" i="2"/>
  <c r="X378" i="2"/>
  <c r="X379" i="2"/>
  <c r="X380" i="2"/>
  <c r="W381" i="2"/>
  <c r="X385" i="2"/>
  <c r="X386" i="2"/>
  <c r="X387" i="2"/>
  <c r="X388" i="2"/>
  <c r="W389" i="2"/>
  <c r="X393" i="2"/>
  <c r="X394" i="2"/>
  <c r="X395" i="2"/>
  <c r="X396" i="2"/>
  <c r="W397" i="2"/>
  <c r="X401" i="2"/>
  <c r="X402" i="2"/>
  <c r="X403" i="2"/>
  <c r="X404" i="2"/>
  <c r="W405" i="2"/>
  <c r="X409" i="2"/>
  <c r="X410" i="2"/>
  <c r="X411" i="2"/>
  <c r="X412" i="2"/>
  <c r="W413" i="2"/>
  <c r="X414" i="2"/>
  <c r="X417" i="2"/>
  <c r="X418" i="2"/>
  <c r="X419" i="2"/>
  <c r="X420" i="2"/>
  <c r="W421" i="2"/>
  <c r="X425" i="2"/>
  <c r="X426" i="2"/>
  <c r="X427" i="2"/>
  <c r="X428" i="2"/>
  <c r="W429" i="2"/>
  <c r="X433" i="2"/>
  <c r="X435" i="2"/>
  <c r="X436" i="2"/>
  <c r="W437" i="2"/>
  <c r="X438" i="2"/>
  <c r="W439" i="2"/>
  <c r="X439" i="2"/>
  <c r="W440" i="2"/>
  <c r="X440" i="2"/>
  <c r="W441" i="2"/>
  <c r="X441" i="2"/>
  <c r="W442" i="2"/>
  <c r="X442" i="2"/>
  <c r="W443" i="2"/>
  <c r="X443" i="2"/>
  <c r="W444" i="2"/>
  <c r="X444" i="2"/>
  <c r="W445" i="2"/>
  <c r="X445" i="2"/>
  <c r="W446" i="2"/>
  <c r="X446" i="2"/>
  <c r="W447" i="2"/>
  <c r="X447" i="2"/>
  <c r="W448" i="2"/>
  <c r="X448" i="2"/>
  <c r="W449" i="2"/>
  <c r="X449" i="2"/>
  <c r="W450" i="2"/>
  <c r="X450" i="2"/>
  <c r="W451" i="2"/>
  <c r="X451" i="2"/>
  <c r="W452" i="2"/>
  <c r="X452" i="2"/>
  <c r="W453" i="2"/>
  <c r="X453" i="2"/>
  <c r="W454" i="2"/>
  <c r="X454" i="2"/>
  <c r="W455" i="2"/>
  <c r="X455" i="2"/>
  <c r="W456" i="2"/>
  <c r="X456" i="2"/>
  <c r="W457" i="2"/>
  <c r="X457" i="2"/>
  <c r="W458" i="2"/>
  <c r="X458" i="2"/>
  <c r="W459" i="2"/>
  <c r="X459" i="2"/>
  <c r="W460" i="2"/>
  <c r="X460" i="2"/>
  <c r="W461" i="2"/>
  <c r="X461" i="2"/>
  <c r="W462" i="2"/>
  <c r="X462" i="2"/>
  <c r="W463" i="2"/>
  <c r="X463" i="2"/>
  <c r="W464" i="2"/>
  <c r="X464" i="2"/>
  <c r="W465" i="2"/>
  <c r="X465" i="2"/>
  <c r="W466" i="2"/>
  <c r="X466" i="2"/>
  <c r="W467" i="2"/>
  <c r="X467" i="2"/>
  <c r="W468" i="2"/>
  <c r="X468" i="2"/>
  <c r="W469" i="2"/>
  <c r="X469" i="2"/>
  <c r="W470" i="2"/>
  <c r="X470" i="2"/>
  <c r="W471" i="2"/>
  <c r="X471" i="2"/>
  <c r="W472" i="2"/>
  <c r="X472" i="2"/>
  <c r="W473" i="2"/>
  <c r="X473" i="2"/>
  <c r="W474" i="2"/>
  <c r="X474" i="2"/>
  <c r="W475" i="2"/>
  <c r="X475" i="2"/>
  <c r="W476" i="2"/>
  <c r="X476" i="2"/>
  <c r="W477" i="2"/>
  <c r="X477" i="2"/>
  <c r="W478" i="2"/>
  <c r="X478" i="2"/>
  <c r="W479" i="2"/>
  <c r="X479" i="2"/>
  <c r="W480" i="2"/>
  <c r="X480" i="2"/>
  <c r="W481" i="2"/>
  <c r="X481" i="2"/>
  <c r="W482" i="2"/>
  <c r="X482" i="2"/>
  <c r="W483" i="2"/>
  <c r="X483" i="2"/>
  <c r="W484" i="2"/>
  <c r="X484" i="2"/>
  <c r="W485" i="2"/>
  <c r="X485" i="2"/>
  <c r="W486" i="2"/>
  <c r="X486" i="2"/>
  <c r="W487" i="2"/>
  <c r="X487" i="2"/>
  <c r="AD802" i="6"/>
  <c r="AD803" i="6"/>
  <c r="AD804" i="6"/>
  <c r="AD805" i="6"/>
  <c r="AD806" i="6"/>
  <c r="AD807" i="6"/>
  <c r="AD808" i="6"/>
  <c r="AD809" i="6"/>
  <c r="AD810" i="6"/>
  <c r="AD811" i="6"/>
  <c r="AD812" i="6"/>
  <c r="AD813" i="6"/>
  <c r="AD814" i="6"/>
  <c r="AD815" i="6"/>
  <c r="AD816" i="6"/>
  <c r="AD817" i="6"/>
  <c r="AD818" i="6"/>
  <c r="AD819" i="6"/>
  <c r="AD820" i="6"/>
  <c r="AD821" i="6"/>
  <c r="AD822" i="6"/>
  <c r="AD823" i="6"/>
  <c r="AD824" i="6"/>
  <c r="AD825" i="6"/>
  <c r="AD826" i="6"/>
  <c r="AD827" i="6"/>
  <c r="AD828" i="6"/>
  <c r="AD829" i="6"/>
  <c r="AD830" i="6"/>
  <c r="AD831" i="6"/>
  <c r="AD832" i="6"/>
  <c r="AD833" i="6"/>
  <c r="AD834" i="6"/>
  <c r="AD835" i="6"/>
  <c r="AD836" i="6"/>
  <c r="AD837" i="6"/>
  <c r="AD838" i="6"/>
  <c r="AD839" i="6"/>
  <c r="AD840" i="6"/>
  <c r="AD841" i="6"/>
  <c r="AD842" i="6"/>
  <c r="AD843" i="6"/>
  <c r="AD844" i="6"/>
  <c r="AD845" i="6"/>
  <c r="AD846" i="6"/>
  <c r="AD847" i="6"/>
  <c r="AD848" i="6"/>
  <c r="AD849" i="6"/>
  <c r="AD850" i="6"/>
  <c r="AD851" i="6"/>
  <c r="AD852" i="6"/>
  <c r="AD853" i="6"/>
  <c r="AD854" i="6"/>
  <c r="AD855" i="6"/>
  <c r="AD856" i="6"/>
  <c r="AD857" i="6"/>
  <c r="AD858" i="6"/>
  <c r="AD859" i="6"/>
  <c r="AD860" i="6"/>
  <c r="AD861" i="6"/>
  <c r="AD862" i="6"/>
  <c r="AD863" i="6"/>
  <c r="AD864" i="6"/>
  <c r="AD865" i="6"/>
  <c r="AD866" i="6"/>
  <c r="AD867" i="6"/>
  <c r="AD868" i="6"/>
  <c r="AD869" i="6"/>
  <c r="AD870" i="6"/>
  <c r="AD871" i="6"/>
  <c r="AD872" i="6"/>
  <c r="AD873" i="6"/>
  <c r="AD874" i="6"/>
  <c r="AD875" i="6"/>
  <c r="AD876" i="6"/>
  <c r="AD877" i="6"/>
  <c r="AD878" i="6"/>
  <c r="AD879" i="6"/>
  <c r="AD880" i="6"/>
  <c r="AD881" i="6"/>
  <c r="AD882" i="6"/>
  <c r="AD883" i="6"/>
  <c r="AD884" i="6"/>
  <c r="AD801" i="6"/>
  <c r="AD800" i="6"/>
  <c r="AD2" i="6"/>
  <c r="AX902" i="2"/>
  <c r="AY902" i="2"/>
  <c r="W846" i="2"/>
  <c r="X846" i="2"/>
  <c r="X133" i="2" l="1"/>
  <c r="W422" i="2"/>
  <c r="W406" i="2"/>
  <c r="W334" i="2"/>
  <c r="W326" i="2"/>
  <c r="W318" i="2"/>
  <c r="W310" i="2"/>
  <c r="W302" i="2"/>
  <c r="W295" i="2"/>
  <c r="X295" i="2"/>
  <c r="W291" i="2"/>
  <c r="X291" i="2"/>
  <c r="W287" i="2"/>
  <c r="X287" i="2"/>
  <c r="W283" i="2"/>
  <c r="X283" i="2"/>
  <c r="W279" i="2"/>
  <c r="X279" i="2"/>
  <c r="W275" i="2"/>
  <c r="X275" i="2"/>
  <c r="W271" i="2"/>
  <c r="X271" i="2"/>
  <c r="W267" i="2"/>
  <c r="X267" i="2"/>
  <c r="W263" i="2"/>
  <c r="X263" i="2"/>
  <c r="W259" i="2"/>
  <c r="X259" i="2"/>
  <c r="W255" i="2"/>
  <c r="X255" i="2"/>
  <c r="W251" i="2"/>
  <c r="X251" i="2"/>
  <c r="X65" i="2"/>
  <c r="W65" i="2"/>
  <c r="W36" i="2"/>
  <c r="X36" i="2"/>
  <c r="X437" i="2"/>
  <c r="W431" i="2"/>
  <c r="X429" i="2"/>
  <c r="W423" i="2"/>
  <c r="X421" i="2"/>
  <c r="W415" i="2"/>
  <c r="X413" i="2"/>
  <c r="W407" i="2"/>
  <c r="X405" i="2"/>
  <c r="W399" i="2"/>
  <c r="X397" i="2"/>
  <c r="W391" i="2"/>
  <c r="X389" i="2"/>
  <c r="W383" i="2"/>
  <c r="X381" i="2"/>
  <c r="W375" i="2"/>
  <c r="X373" i="2"/>
  <c r="W367" i="2"/>
  <c r="X365" i="2"/>
  <c r="W359" i="2"/>
  <c r="X357" i="2"/>
  <c r="W351" i="2"/>
  <c r="X349" i="2"/>
  <c r="W343" i="2"/>
  <c r="X341" i="2"/>
  <c r="W335" i="2"/>
  <c r="X333" i="2"/>
  <c r="W327" i="2"/>
  <c r="X325" i="2"/>
  <c r="W319" i="2"/>
  <c r="X317" i="2"/>
  <c r="W311" i="2"/>
  <c r="X309" i="2"/>
  <c r="W303" i="2"/>
  <c r="X301" i="2"/>
  <c r="W60" i="2"/>
  <c r="X60" i="2"/>
  <c r="W43" i="2"/>
  <c r="X43" i="2"/>
  <c r="X41" i="2"/>
  <c r="W398" i="2"/>
  <c r="W390" i="2"/>
  <c r="W382" i="2"/>
  <c r="W374" i="2"/>
  <c r="W366" i="2"/>
  <c r="W358" i="2"/>
  <c r="W350" i="2"/>
  <c r="W342" i="2"/>
  <c r="W416" i="2"/>
  <c r="W384" i="2"/>
  <c r="X382" i="2"/>
  <c r="W368" i="2"/>
  <c r="X366" i="2"/>
  <c r="W360" i="2"/>
  <c r="X358" i="2"/>
  <c r="W344" i="2"/>
  <c r="X342" i="2"/>
  <c r="W336" i="2"/>
  <c r="X334" i="2"/>
  <c r="W328" i="2"/>
  <c r="X326" i="2"/>
  <c r="W430" i="2"/>
  <c r="W414" i="2"/>
  <c r="W432" i="2"/>
  <c r="X430" i="2"/>
  <c r="W424" i="2"/>
  <c r="X422" i="2"/>
  <c r="W408" i="2"/>
  <c r="X406" i="2"/>
  <c r="W400" i="2"/>
  <c r="X398" i="2"/>
  <c r="W392" i="2"/>
  <c r="X390" i="2"/>
  <c r="W376" i="2"/>
  <c r="X374" i="2"/>
  <c r="W352" i="2"/>
  <c r="X350" i="2"/>
  <c r="W320" i="2"/>
  <c r="X318" i="2"/>
  <c r="W312" i="2"/>
  <c r="X310" i="2"/>
  <c r="W304" i="2"/>
  <c r="X302" i="2"/>
  <c r="W296" i="2"/>
  <c r="W292" i="2"/>
  <c r="X292" i="2"/>
  <c r="W288" i="2"/>
  <c r="X288" i="2"/>
  <c r="W284" i="2"/>
  <c r="X284" i="2"/>
  <c r="W280" i="2"/>
  <c r="X280" i="2"/>
  <c r="W276" i="2"/>
  <c r="X276" i="2"/>
  <c r="W272" i="2"/>
  <c r="X272" i="2"/>
  <c r="W268" i="2"/>
  <c r="X268" i="2"/>
  <c r="W264" i="2"/>
  <c r="X264" i="2"/>
  <c r="W260" i="2"/>
  <c r="X260" i="2"/>
  <c r="W256" i="2"/>
  <c r="X256" i="2"/>
  <c r="W252" i="2"/>
  <c r="X252" i="2"/>
  <c r="W248" i="2"/>
  <c r="X248" i="2"/>
  <c r="W244" i="2"/>
  <c r="X244" i="2"/>
  <c r="W240" i="2"/>
  <c r="X240" i="2"/>
  <c r="W236" i="2"/>
  <c r="X236" i="2"/>
  <c r="W232" i="2"/>
  <c r="X232" i="2"/>
  <c r="W228" i="2"/>
  <c r="X228" i="2"/>
  <c r="W224" i="2"/>
  <c r="X224" i="2"/>
  <c r="W220" i="2"/>
  <c r="X220" i="2"/>
  <c r="W216" i="2"/>
  <c r="X216" i="2"/>
  <c r="W212" i="2"/>
  <c r="X212" i="2"/>
  <c r="W208" i="2"/>
  <c r="X208" i="2"/>
  <c r="W204" i="2"/>
  <c r="X204" i="2"/>
  <c r="W200" i="2"/>
  <c r="X200" i="2"/>
  <c r="W66" i="2"/>
  <c r="X66" i="2"/>
  <c r="X42" i="2"/>
  <c r="W433" i="2"/>
  <c r="X431" i="2"/>
  <c r="W425" i="2"/>
  <c r="X423" i="2"/>
  <c r="W417" i="2"/>
  <c r="X415" i="2"/>
  <c r="W409" i="2"/>
  <c r="X407" i="2"/>
  <c r="W401" i="2"/>
  <c r="X399" i="2"/>
  <c r="W393" i="2"/>
  <c r="X391" i="2"/>
  <c r="W385" i="2"/>
  <c r="X383" i="2"/>
  <c r="W377" i="2"/>
  <c r="X375" i="2"/>
  <c r="W369" i="2"/>
  <c r="X367" i="2"/>
  <c r="W361" i="2"/>
  <c r="X359" i="2"/>
  <c r="W353" i="2"/>
  <c r="X351" i="2"/>
  <c r="W345" i="2"/>
  <c r="X343" i="2"/>
  <c r="W337" i="2"/>
  <c r="X335" i="2"/>
  <c r="W329" i="2"/>
  <c r="X327" i="2"/>
  <c r="W321" i="2"/>
  <c r="X319" i="2"/>
  <c r="W313" i="2"/>
  <c r="X311" i="2"/>
  <c r="W305" i="2"/>
  <c r="X303" i="2"/>
  <c r="W297" i="2"/>
  <c r="W44" i="2"/>
  <c r="X44" i="2"/>
  <c r="W27" i="2"/>
  <c r="X27" i="2"/>
  <c r="W434" i="2"/>
  <c r="X432" i="2"/>
  <c r="W426" i="2"/>
  <c r="X424" i="2"/>
  <c r="W418" i="2"/>
  <c r="X416" i="2"/>
  <c r="W410" i="2"/>
  <c r="X408" i="2"/>
  <c r="W402" i="2"/>
  <c r="X400" i="2"/>
  <c r="W394" i="2"/>
  <c r="X392" i="2"/>
  <c r="W386" i="2"/>
  <c r="X384" i="2"/>
  <c r="W378" i="2"/>
  <c r="X376" i="2"/>
  <c r="W370" i="2"/>
  <c r="X368" i="2"/>
  <c r="W362" i="2"/>
  <c r="X360" i="2"/>
  <c r="W354" i="2"/>
  <c r="X352" i="2"/>
  <c r="W346" i="2"/>
  <c r="X344" i="2"/>
  <c r="W338" i="2"/>
  <c r="X336" i="2"/>
  <c r="W330" i="2"/>
  <c r="X328" i="2"/>
  <c r="W322" i="2"/>
  <c r="X320" i="2"/>
  <c r="W314" i="2"/>
  <c r="X312" i="2"/>
  <c r="W306" i="2"/>
  <c r="X304" i="2"/>
  <c r="W298" i="2"/>
  <c r="X296" i="2"/>
  <c r="W51" i="2"/>
  <c r="X51" i="2"/>
  <c r="X49" i="2"/>
  <c r="W435" i="2"/>
  <c r="W427" i="2"/>
  <c r="W419" i="2"/>
  <c r="W411" i="2"/>
  <c r="W403" i="2"/>
  <c r="W395" i="2"/>
  <c r="W387" i="2"/>
  <c r="W379" i="2"/>
  <c r="W371" i="2"/>
  <c r="W363" i="2"/>
  <c r="W355" i="2"/>
  <c r="W347" i="2"/>
  <c r="X345" i="2"/>
  <c r="W339" i="2"/>
  <c r="X337" i="2"/>
  <c r="W331" i="2"/>
  <c r="X329" i="2"/>
  <c r="W323" i="2"/>
  <c r="X321" i="2"/>
  <c r="W315" i="2"/>
  <c r="X313" i="2"/>
  <c r="W307" i="2"/>
  <c r="X305" i="2"/>
  <c r="W299" i="2"/>
  <c r="X297" i="2"/>
  <c r="X50" i="2"/>
  <c r="W28" i="2"/>
  <c r="X28" i="2"/>
  <c r="W59" i="2"/>
  <c r="X59" i="2"/>
  <c r="W438" i="2"/>
  <c r="W436" i="2"/>
  <c r="X434" i="2"/>
  <c r="W428" i="2"/>
  <c r="W420" i="2"/>
  <c r="W412" i="2"/>
  <c r="W404" i="2"/>
  <c r="W396" i="2"/>
  <c r="W388" i="2"/>
  <c r="W380" i="2"/>
  <c r="W372" i="2"/>
  <c r="W364" i="2"/>
  <c r="W356" i="2"/>
  <c r="W348" i="2"/>
  <c r="W340" i="2"/>
  <c r="W332" i="2"/>
  <c r="W324" i="2"/>
  <c r="W316" i="2"/>
  <c r="W308" i="2"/>
  <c r="W300" i="2"/>
  <c r="W52" i="2"/>
  <c r="X52" i="2"/>
  <c r="W35" i="2"/>
  <c r="X35" i="2"/>
  <c r="W293" i="2"/>
  <c r="X293" i="2"/>
  <c r="W289" i="2"/>
  <c r="X289" i="2"/>
  <c r="W285" i="2"/>
  <c r="X285" i="2"/>
  <c r="W281" i="2"/>
  <c r="X281" i="2"/>
  <c r="W277" i="2"/>
  <c r="X277" i="2"/>
  <c r="W273" i="2"/>
  <c r="X273" i="2"/>
  <c r="W269" i="2"/>
  <c r="X269" i="2"/>
  <c r="W265" i="2"/>
  <c r="X265" i="2"/>
  <c r="W261" i="2"/>
  <c r="X261" i="2"/>
  <c r="W257" i="2"/>
  <c r="X257" i="2"/>
  <c r="W253" i="2"/>
  <c r="X253" i="2"/>
  <c r="W249" i="2"/>
  <c r="X249" i="2"/>
  <c r="W245" i="2"/>
  <c r="X245" i="2"/>
  <c r="W241" i="2"/>
  <c r="X241" i="2"/>
  <c r="W237" i="2"/>
  <c r="X237" i="2"/>
  <c r="W233" i="2"/>
  <c r="X233" i="2"/>
  <c r="W229" i="2"/>
  <c r="X229" i="2"/>
  <c r="W225" i="2"/>
  <c r="X225" i="2"/>
  <c r="W221" i="2"/>
  <c r="X221" i="2"/>
  <c r="W217" i="2"/>
  <c r="X217" i="2"/>
  <c r="W213" i="2"/>
  <c r="X213" i="2"/>
  <c r="W209" i="2"/>
  <c r="X209" i="2"/>
  <c r="W205" i="2"/>
  <c r="X205" i="2"/>
  <c r="W201" i="2"/>
  <c r="X201" i="2"/>
  <c r="W197" i="2"/>
  <c r="W193" i="2"/>
  <c r="W189" i="2"/>
  <c r="W294" i="2"/>
  <c r="X294" i="2"/>
  <c r="W290" i="2"/>
  <c r="X290" i="2"/>
  <c r="W286" i="2"/>
  <c r="X286" i="2"/>
  <c r="W282" i="2"/>
  <c r="X282" i="2"/>
  <c r="W278" i="2"/>
  <c r="X278" i="2"/>
  <c r="W274" i="2"/>
  <c r="X274" i="2"/>
  <c r="W270" i="2"/>
  <c r="X270" i="2"/>
  <c r="W266" i="2"/>
  <c r="X266" i="2"/>
  <c r="W262" i="2"/>
  <c r="X262" i="2"/>
  <c r="W258" i="2"/>
  <c r="X258" i="2"/>
  <c r="W254" i="2"/>
  <c r="X254" i="2"/>
  <c r="X61" i="2"/>
  <c r="X53" i="2"/>
  <c r="X45" i="2"/>
  <c r="X37" i="2"/>
  <c r="X29" i="2"/>
  <c r="W250" i="2"/>
  <c r="X250" i="2"/>
  <c r="W246" i="2"/>
  <c r="X246" i="2"/>
  <c r="W242" i="2"/>
  <c r="X242" i="2"/>
  <c r="W238" i="2"/>
  <c r="X238" i="2"/>
  <c r="W234" i="2"/>
  <c r="X234" i="2"/>
  <c r="W230" i="2"/>
  <c r="X230" i="2"/>
  <c r="W226" i="2"/>
  <c r="X226" i="2"/>
  <c r="W222" i="2"/>
  <c r="X222" i="2"/>
  <c r="W218" i="2"/>
  <c r="X218" i="2"/>
  <c r="W214" i="2"/>
  <c r="X214" i="2"/>
  <c r="W210" i="2"/>
  <c r="X210" i="2"/>
  <c r="W206" i="2"/>
  <c r="X206" i="2"/>
  <c r="W202" i="2"/>
  <c r="X202" i="2"/>
  <c r="W198" i="2"/>
  <c r="X198" i="2"/>
  <c r="W194" i="2"/>
  <c r="W190" i="2"/>
  <c r="X180" i="2"/>
  <c r="X177" i="2"/>
  <c r="X171" i="2"/>
  <c r="X165" i="2"/>
  <c r="W163" i="2"/>
  <c r="X155" i="2"/>
  <c r="X149" i="2"/>
  <c r="X147" i="2"/>
  <c r="X139" i="2"/>
  <c r="X131" i="2"/>
  <c r="X123" i="2"/>
  <c r="W118" i="2"/>
  <c r="X116" i="2"/>
  <c r="W111" i="2"/>
  <c r="X100" i="2"/>
  <c r="W188" i="2"/>
  <c r="W187" i="2"/>
  <c r="X184" i="2"/>
  <c r="W180" i="2"/>
  <c r="X179" i="2"/>
  <c r="W176" i="2"/>
  <c r="W175" i="2"/>
  <c r="W168" i="2"/>
  <c r="X167" i="2"/>
  <c r="W160" i="2"/>
  <c r="X159" i="2"/>
  <c r="W152" i="2"/>
  <c r="W151" i="2"/>
  <c r="W144" i="2"/>
  <c r="X143" i="2"/>
  <c r="W136" i="2"/>
  <c r="W135" i="2"/>
  <c r="W131" i="2"/>
  <c r="W127" i="2"/>
  <c r="W123" i="2"/>
  <c r="W122" i="2"/>
  <c r="W115" i="2"/>
  <c r="W110" i="2"/>
  <c r="X107" i="2"/>
  <c r="W103" i="2"/>
  <c r="W102" i="2"/>
  <c r="W95" i="2"/>
  <c r="X92" i="2"/>
  <c r="W92" i="2"/>
  <c r="W91" i="2"/>
  <c r="W90" i="2"/>
  <c r="W247" i="2"/>
  <c r="X247" i="2"/>
  <c r="W243" i="2"/>
  <c r="X243" i="2"/>
  <c r="W239" i="2"/>
  <c r="X239" i="2"/>
  <c r="W235" i="2"/>
  <c r="X235" i="2"/>
  <c r="W231" i="2"/>
  <c r="X231" i="2"/>
  <c r="W227" i="2"/>
  <c r="X227" i="2"/>
  <c r="W223" i="2"/>
  <c r="X223" i="2"/>
  <c r="W219" i="2"/>
  <c r="X219" i="2"/>
  <c r="W215" i="2"/>
  <c r="X215" i="2"/>
  <c r="W211" i="2"/>
  <c r="X211" i="2"/>
  <c r="W207" i="2"/>
  <c r="X207" i="2"/>
  <c r="W203" i="2"/>
  <c r="X203" i="2"/>
  <c r="W199" i="2"/>
  <c r="X199" i="2"/>
  <c r="W195" i="2"/>
  <c r="W191" i="2"/>
  <c r="W185" i="2"/>
  <c r="X181" i="2"/>
  <c r="W157" i="2"/>
  <c r="W153" i="2"/>
  <c r="X153" i="2"/>
  <c r="W141" i="2"/>
  <c r="W124" i="2"/>
  <c r="W120" i="2"/>
  <c r="X120" i="2"/>
  <c r="X112" i="2"/>
  <c r="X96" i="2"/>
  <c r="W70" i="2"/>
  <c r="W112" i="2"/>
  <c r="X197" i="2"/>
  <c r="X196" i="2"/>
  <c r="X195" i="2"/>
  <c r="X194" i="2"/>
  <c r="X193" i="2"/>
  <c r="X192" i="2"/>
  <c r="X191" i="2"/>
  <c r="X190" i="2"/>
  <c r="X189" i="2"/>
  <c r="X183" i="2"/>
  <c r="X172" i="2"/>
  <c r="X164" i="2"/>
  <c r="X156" i="2"/>
  <c r="X148" i="2"/>
  <c r="X140" i="2"/>
  <c r="X132" i="2"/>
  <c r="W126" i="2"/>
  <c r="W119" i="2"/>
  <c r="X106" i="2"/>
  <c r="X99" i="2"/>
  <c r="W87" i="2"/>
  <c r="W79" i="2"/>
  <c r="W73" i="2"/>
  <c r="X68" i="2"/>
  <c r="X91" i="2"/>
  <c r="W86" i="2"/>
  <c r="X84" i="2"/>
  <c r="W78" i="2"/>
  <c r="X72" i="2"/>
  <c r="W84" i="2"/>
  <c r="W83" i="2"/>
  <c r="W82" i="2"/>
  <c r="X80" i="2"/>
  <c r="W75" i="2"/>
  <c r="X74" i="2"/>
  <c r="W72" i="2"/>
  <c r="W114" i="2"/>
  <c r="X114" i="2"/>
  <c r="W113" i="2"/>
  <c r="W98" i="2"/>
  <c r="W94" i="2"/>
  <c r="X94" i="2"/>
  <c r="W71" i="2"/>
  <c r="W69" i="2"/>
  <c r="X67" i="2"/>
  <c r="X71" i="2"/>
  <c r="X188" i="2"/>
  <c r="X110" i="2"/>
  <c r="X103" i="2"/>
  <c r="X70" i="2"/>
  <c r="X187" i="2"/>
  <c r="X176" i="2"/>
  <c r="X161" i="2"/>
  <c r="X145" i="2"/>
  <c r="X128" i="2"/>
  <c r="X83" i="2"/>
  <c r="W68" i="2"/>
  <c r="X168" i="2"/>
  <c r="X160" i="2"/>
  <c r="X152" i="2"/>
  <c r="X144" i="2"/>
  <c r="X136" i="2"/>
  <c r="X122" i="2"/>
  <c r="X115" i="2"/>
  <c r="X90" i="2"/>
  <c r="X82" i="2"/>
  <c r="X75" i="2"/>
  <c r="X127" i="2"/>
  <c r="X102" i="2"/>
  <c r="X95" i="2"/>
  <c r="X175" i="2"/>
  <c r="X163" i="2"/>
  <c r="X151" i="2"/>
  <c r="X135" i="2"/>
  <c r="W183" i="2"/>
  <c r="W179" i="2"/>
  <c r="W171" i="2"/>
  <c r="W167" i="2"/>
  <c r="W159" i="2"/>
  <c r="W155" i="2"/>
  <c r="W147" i="2"/>
  <c r="W143" i="2"/>
  <c r="W139" i="2"/>
  <c r="X186" i="2"/>
  <c r="X182" i="2"/>
  <c r="X178" i="2"/>
  <c r="X174" i="2"/>
  <c r="X170" i="2"/>
  <c r="X166" i="2"/>
  <c r="X162" i="2"/>
  <c r="X158" i="2"/>
  <c r="X154" i="2"/>
  <c r="X150" i="2"/>
  <c r="X146" i="2"/>
  <c r="X142" i="2"/>
  <c r="X138" i="2"/>
  <c r="X134" i="2"/>
  <c r="X129" i="2"/>
  <c r="X125" i="2"/>
  <c r="X121" i="2"/>
  <c r="X117" i="2"/>
  <c r="X113" i="2"/>
  <c r="X109" i="2"/>
  <c r="X105" i="2"/>
  <c r="X101" i="2"/>
  <c r="X97" i="2"/>
  <c r="X93" i="2"/>
  <c r="X89" i="2"/>
  <c r="X85" i="2"/>
  <c r="X81" i="2"/>
  <c r="X77" i="2"/>
  <c r="X73" i="2"/>
  <c r="X69" i="2"/>
  <c r="W67" i="2"/>
  <c r="W833" i="2"/>
  <c r="W891" i="2"/>
  <c r="W857" i="2"/>
  <c r="W834" i="2"/>
  <c r="W854" i="2"/>
  <c r="X876" i="2"/>
  <c r="W868" i="2"/>
  <c r="W862" i="2"/>
  <c r="W858" i="2"/>
  <c r="W888" i="2"/>
  <c r="W884" i="2"/>
  <c r="W876" i="2"/>
  <c r="W880" i="2"/>
  <c r="X891" i="2"/>
  <c r="W830" i="2"/>
  <c r="X884" i="2"/>
  <c r="W866" i="2"/>
  <c r="W850" i="2"/>
  <c r="W821" i="2"/>
  <c r="W829" i="2"/>
  <c r="W825" i="2"/>
  <c r="W817" i="2"/>
  <c r="W864" i="2"/>
  <c r="W841" i="2"/>
  <c r="W818" i="2"/>
  <c r="X868" i="2"/>
  <c r="W872" i="2"/>
  <c r="W882" i="2"/>
  <c r="X878" i="2"/>
  <c r="W844" i="2"/>
  <c r="W886" i="2"/>
  <c r="W861" i="2"/>
  <c r="W874" i="2"/>
  <c r="W870" i="2"/>
  <c r="W853" i="2"/>
  <c r="W849" i="2"/>
  <c r="X870" i="2"/>
  <c r="W894" i="2"/>
  <c r="X889" i="2"/>
  <c r="W890" i="2"/>
  <c r="X888" i="2"/>
  <c r="X880" i="2"/>
  <c r="X872" i="2"/>
  <c r="X864" i="2"/>
  <c r="W878" i="2"/>
  <c r="W899" i="2"/>
  <c r="X882" i="2"/>
  <c r="X874" i="2"/>
  <c r="X866" i="2"/>
  <c r="W826" i="2"/>
  <c r="W893" i="2"/>
  <c r="W822" i="2"/>
  <c r="X886" i="2"/>
  <c r="W845" i="2"/>
  <c r="W895" i="2"/>
  <c r="X895" i="2"/>
  <c r="W883" i="2"/>
  <c r="X883" i="2"/>
  <c r="W881" i="2"/>
  <c r="X881" i="2"/>
  <c r="W900" i="2"/>
  <c r="W867" i="2"/>
  <c r="X867" i="2"/>
  <c r="W865" i="2"/>
  <c r="X865" i="2"/>
  <c r="W898" i="2"/>
  <c r="W897" i="2"/>
  <c r="X894" i="2"/>
  <c r="W887" i="2"/>
  <c r="X887" i="2"/>
  <c r="W879" i="2"/>
  <c r="X879" i="2"/>
  <c r="W871" i="2"/>
  <c r="X871" i="2"/>
  <c r="W863" i="2"/>
  <c r="X863" i="2"/>
  <c r="W824" i="2"/>
  <c r="W875" i="2"/>
  <c r="X875" i="2"/>
  <c r="W889" i="2"/>
  <c r="W873" i="2"/>
  <c r="X873" i="2"/>
  <c r="W892" i="2"/>
  <c r="X892" i="2"/>
  <c r="W820" i="2"/>
  <c r="W902" i="2"/>
  <c r="X893" i="2"/>
  <c r="W901" i="2"/>
  <c r="X896" i="2"/>
  <c r="W896" i="2"/>
  <c r="W885" i="2"/>
  <c r="X885" i="2"/>
  <c r="W877" i="2"/>
  <c r="X877" i="2"/>
  <c r="W869" i="2"/>
  <c r="X869" i="2"/>
  <c r="X859" i="2"/>
  <c r="W859" i="2"/>
  <c r="X855" i="2"/>
  <c r="W855" i="2"/>
  <c r="X851" i="2"/>
  <c r="W851" i="2"/>
  <c r="X847" i="2"/>
  <c r="W847" i="2"/>
  <c r="X842" i="2"/>
  <c r="W842" i="2"/>
  <c r="X835" i="2"/>
  <c r="W835" i="2"/>
  <c r="X831" i="2"/>
  <c r="W831" i="2"/>
  <c r="X827" i="2"/>
  <c r="W827" i="2"/>
  <c r="X823" i="2"/>
  <c r="W823" i="2"/>
  <c r="X819" i="2"/>
  <c r="W819" i="2"/>
  <c r="X902" i="2"/>
  <c r="X901" i="2"/>
  <c r="X900" i="2"/>
  <c r="X899" i="2"/>
  <c r="X898" i="2"/>
  <c r="X897" i="2"/>
  <c r="X890" i="2"/>
  <c r="X862" i="2"/>
  <c r="X858" i="2"/>
  <c r="X854" i="2"/>
  <c r="X850" i="2"/>
  <c r="X845" i="2"/>
  <c r="X841" i="2"/>
  <c r="X826" i="2"/>
  <c r="X822" i="2"/>
  <c r="X818" i="2"/>
  <c r="X834" i="2"/>
  <c r="X830" i="2"/>
  <c r="X860" i="2"/>
  <c r="X856" i="2"/>
  <c r="X852" i="2"/>
  <c r="X848" i="2"/>
  <c r="X843" i="2"/>
  <c r="X836" i="2"/>
  <c r="X832" i="2"/>
  <c r="X828" i="2"/>
  <c r="X824" i="2"/>
  <c r="X820" i="2"/>
  <c r="X861" i="2"/>
  <c r="W860" i="2"/>
  <c r="X857" i="2"/>
  <c r="W856" i="2"/>
  <c r="X853" i="2"/>
  <c r="W852" i="2"/>
  <c r="X849" i="2"/>
  <c r="W848" i="2"/>
  <c r="X844" i="2"/>
  <c r="W843" i="2"/>
  <c r="W836" i="2"/>
  <c r="X833" i="2"/>
  <c r="W832" i="2"/>
  <c r="X829" i="2"/>
  <c r="W828" i="2"/>
  <c r="X825" i="2"/>
  <c r="X821" i="2"/>
  <c r="X817" i="2"/>
  <c r="X722" i="2" l="1"/>
  <c r="W7" i="2"/>
  <c r="W779" i="2"/>
  <c r="X711" i="2"/>
  <c r="W625" i="2"/>
  <c r="W516" i="2"/>
  <c r="W492" i="2"/>
  <c r="W762" i="2"/>
  <c r="W726" i="2"/>
  <c r="W707" i="2"/>
  <c r="W623" i="2"/>
  <c r="W603" i="2"/>
  <c r="W684" i="2"/>
  <c r="W541" i="2"/>
  <c r="W489" i="2"/>
  <c r="W11" i="2"/>
  <c r="W686" i="2"/>
  <c r="W666" i="2"/>
  <c r="W662" i="2"/>
  <c r="W740" i="2"/>
  <c r="W604" i="2"/>
  <c r="W562" i="2"/>
  <c r="W558" i="2"/>
  <c r="W514" i="2"/>
  <c r="X494" i="2"/>
  <c r="W761" i="2"/>
  <c r="X558" i="2"/>
  <c r="X816" i="2"/>
  <c r="X812" i="2"/>
  <c r="W812" i="2"/>
  <c r="X808" i="2"/>
  <c r="W808" i="2"/>
  <c r="W804" i="2"/>
  <c r="X804" i="2"/>
  <c r="X800" i="2"/>
  <c r="W800" i="2"/>
  <c r="X796" i="2"/>
  <c r="W796" i="2"/>
  <c r="X792" i="2"/>
  <c r="W792" i="2"/>
  <c r="X788" i="2"/>
  <c r="W788" i="2"/>
  <c r="X784" i="2"/>
  <c r="W784" i="2"/>
  <c r="X780" i="2"/>
  <c r="W776" i="2"/>
  <c r="X776" i="2"/>
  <c r="W772" i="2"/>
  <c r="X772" i="2"/>
  <c r="W768" i="2"/>
  <c r="X768" i="2"/>
  <c r="X764" i="2"/>
  <c r="W764" i="2"/>
  <c r="X760" i="2"/>
  <c r="W760" i="2"/>
  <c r="X756" i="2"/>
  <c r="W756" i="2"/>
  <c r="X752" i="2"/>
  <c r="W752" i="2"/>
  <c r="X748" i="2"/>
  <c r="W748" i="2"/>
  <c r="X744" i="2"/>
  <c r="W744" i="2"/>
  <c r="X740" i="2"/>
  <c r="W736" i="2"/>
  <c r="X736" i="2"/>
  <c r="X732" i="2"/>
  <c r="W732" i="2"/>
  <c r="W728" i="2"/>
  <c r="X728" i="2"/>
  <c r="X724" i="2"/>
  <c r="W724" i="2"/>
  <c r="X720" i="2"/>
  <c r="W720" i="2"/>
  <c r="X716" i="2"/>
  <c r="W716" i="2"/>
  <c r="W712" i="2"/>
  <c r="W708" i="2"/>
  <c r="X708" i="2"/>
  <c r="W704" i="2"/>
  <c r="X704" i="2"/>
  <c r="X700" i="2"/>
  <c r="W700" i="2"/>
  <c r="X696" i="2"/>
  <c r="W696" i="2"/>
  <c r="X692" i="2"/>
  <c r="W692" i="2"/>
  <c r="X688" i="2"/>
  <c r="W688" i="2"/>
  <c r="X684" i="2"/>
  <c r="X680" i="2"/>
  <c r="W680" i="2"/>
  <c r="X676" i="2"/>
  <c r="W676" i="2"/>
  <c r="W672" i="2"/>
  <c r="X672" i="2"/>
  <c r="W668" i="2"/>
  <c r="X668" i="2"/>
  <c r="W664" i="2"/>
  <c r="X664" i="2"/>
  <c r="X660" i="2"/>
  <c r="W660" i="2"/>
  <c r="X656" i="2"/>
  <c r="W656" i="2"/>
  <c r="X652" i="2"/>
  <c r="W652" i="2"/>
  <c r="W648" i="2"/>
  <c r="X648" i="2"/>
  <c r="X644" i="2"/>
  <c r="W644" i="2"/>
  <c r="W640" i="2"/>
  <c r="W636" i="2"/>
  <c r="X636" i="2"/>
  <c r="X632" i="2"/>
  <c r="W632" i="2"/>
  <c r="X628" i="2"/>
  <c r="W628" i="2"/>
  <c r="X624" i="2"/>
  <c r="W624" i="2"/>
  <c r="W621" i="2"/>
  <c r="X620" i="2"/>
  <c r="W620" i="2"/>
  <c r="W581" i="2"/>
  <c r="W561" i="2"/>
  <c r="W540" i="2"/>
  <c r="W538" i="2"/>
  <c r="W517" i="2"/>
  <c r="X493" i="2"/>
  <c r="W645" i="2"/>
  <c r="X813" i="2"/>
  <c r="W813" i="2"/>
  <c r="X809" i="2"/>
  <c r="W809" i="2"/>
  <c r="X805" i="2"/>
  <c r="W805" i="2"/>
  <c r="X801" i="2"/>
  <c r="W801" i="2"/>
  <c r="W797" i="2"/>
  <c r="X797" i="2"/>
  <c r="X793" i="2"/>
  <c r="W793" i="2"/>
  <c r="W789" i="2"/>
  <c r="X789" i="2"/>
  <c r="X785" i="2"/>
  <c r="W785" i="2"/>
  <c r="X781" i="2"/>
  <c r="W781" i="2"/>
  <c r="X777" i="2"/>
  <c r="W777" i="2"/>
  <c r="X773" i="2"/>
  <c r="W773" i="2"/>
  <c r="X769" i="2"/>
  <c r="W769" i="2"/>
  <c r="X765" i="2"/>
  <c r="W765" i="2"/>
  <c r="X761" i="2"/>
  <c r="X757" i="2"/>
  <c r="W757" i="2"/>
  <c r="X753" i="2"/>
  <c r="W753" i="2"/>
  <c r="X749" i="2"/>
  <c r="W749" i="2"/>
  <c r="X745" i="2"/>
  <c r="W745" i="2"/>
  <c r="X741" i="2"/>
  <c r="W741" i="2"/>
  <c r="X737" i="2"/>
  <c r="W737" i="2"/>
  <c r="X733" i="2"/>
  <c r="W733" i="2"/>
  <c r="W705" i="2"/>
  <c r="W697" i="2"/>
  <c r="W685" i="2"/>
  <c r="X677" i="2"/>
  <c r="W657" i="2"/>
  <c r="W613" i="2"/>
  <c r="W593" i="2"/>
  <c r="X712" i="2"/>
  <c r="X814" i="2"/>
  <c r="X810" i="2"/>
  <c r="W810" i="2"/>
  <c r="X806" i="2"/>
  <c r="W806" i="2"/>
  <c r="X802" i="2"/>
  <c r="W802" i="2"/>
  <c r="X798" i="2"/>
  <c r="W798" i="2"/>
  <c r="X794" i="2"/>
  <c r="W794" i="2"/>
  <c r="X790" i="2"/>
  <c r="W790" i="2"/>
  <c r="X786" i="2"/>
  <c r="W786" i="2"/>
  <c r="X782" i="2"/>
  <c r="W782" i="2"/>
  <c r="X778" i="2"/>
  <c r="W778" i="2"/>
  <c r="X774" i="2"/>
  <c r="W774" i="2"/>
  <c r="X770" i="2"/>
  <c r="W770" i="2"/>
  <c r="X766" i="2"/>
  <c r="W766" i="2"/>
  <c r="X762" i="2"/>
  <c r="X758" i="2"/>
  <c r="W758" i="2"/>
  <c r="X754" i="2"/>
  <c r="W754" i="2"/>
  <c r="X750" i="2"/>
  <c r="W750" i="2"/>
  <c r="X746" i="2"/>
  <c r="W746" i="2"/>
  <c r="X742" i="2"/>
  <c r="W742" i="2"/>
  <c r="X738" i="2"/>
  <c r="W738" i="2"/>
  <c r="X734" i="2"/>
  <c r="W734" i="2"/>
  <c r="X730" i="2"/>
  <c r="W730" i="2"/>
  <c r="X726" i="2"/>
  <c r="X718" i="2"/>
  <c r="W718" i="2"/>
  <c r="X714" i="2"/>
  <c r="W714" i="2"/>
  <c r="W816" i="2"/>
  <c r="W722" i="2"/>
  <c r="X2" i="2"/>
  <c r="W2" i="2"/>
  <c r="W814" i="2"/>
  <c r="X640" i="2"/>
  <c r="X815" i="2"/>
  <c r="W815" i="2"/>
  <c r="X811" i="2"/>
  <c r="W811" i="2"/>
  <c r="X807" i="2"/>
  <c r="W807" i="2"/>
  <c r="W803" i="2"/>
  <c r="X803" i="2"/>
  <c r="X799" i="2"/>
  <c r="W799" i="2"/>
  <c r="X795" i="2"/>
  <c r="W795" i="2"/>
  <c r="W791" i="2"/>
  <c r="X791" i="2"/>
  <c r="X787" i="2"/>
  <c r="W787" i="2"/>
  <c r="X783" i="2"/>
  <c r="W783" i="2"/>
  <c r="X779" i="2"/>
  <c r="W775" i="2"/>
  <c r="X775" i="2"/>
  <c r="X771" i="2"/>
  <c r="W771" i="2"/>
  <c r="X767" i="2"/>
  <c r="W767" i="2"/>
  <c r="X763" i="2"/>
  <c r="W763" i="2"/>
  <c r="X759" i="2"/>
  <c r="W759" i="2"/>
  <c r="X755" i="2"/>
  <c r="W755" i="2"/>
  <c r="X751" i="2"/>
  <c r="W751" i="2"/>
  <c r="X747" i="2"/>
  <c r="W747" i="2"/>
  <c r="X743" i="2"/>
  <c r="W743" i="2"/>
  <c r="X739" i="2"/>
  <c r="W739" i="2"/>
  <c r="X735" i="2"/>
  <c r="W735" i="2"/>
  <c r="X731" i="2"/>
  <c r="W731" i="2"/>
  <c r="W727" i="2"/>
  <c r="X727" i="2"/>
  <c r="X723" i="2"/>
  <c r="W723" i="2"/>
  <c r="X719" i="2"/>
  <c r="W719" i="2"/>
  <c r="X715" i="2"/>
  <c r="W715" i="2"/>
  <c r="W711" i="2"/>
  <c r="X707" i="2"/>
  <c r="X703" i="2"/>
  <c r="W703" i="2"/>
  <c r="X699" i="2"/>
  <c r="W699" i="2"/>
  <c r="X695" i="2"/>
  <c r="W695" i="2"/>
  <c r="X691" i="2"/>
  <c r="W691" i="2"/>
  <c r="X687" i="2"/>
  <c r="W687" i="2"/>
  <c r="X683" i="2"/>
  <c r="W683" i="2"/>
  <c r="X679" i="2"/>
  <c r="W679" i="2"/>
  <c r="X675" i="2"/>
  <c r="W675" i="2"/>
  <c r="X671" i="2"/>
  <c r="W671" i="2"/>
  <c r="X667" i="2"/>
  <c r="W667" i="2"/>
  <c r="X663" i="2"/>
  <c r="W663" i="2"/>
  <c r="W659" i="2"/>
  <c r="X659" i="2"/>
  <c r="X655" i="2"/>
  <c r="W655" i="2"/>
  <c r="X651" i="2"/>
  <c r="W651" i="2"/>
  <c r="X647" i="2"/>
  <c r="W647" i="2"/>
  <c r="X643" i="2"/>
  <c r="W643" i="2"/>
  <c r="W639" i="2"/>
  <c r="X635" i="2"/>
  <c r="W635" i="2"/>
  <c r="W631" i="2"/>
  <c r="X631" i="2"/>
  <c r="X627" i="2"/>
  <c r="W627" i="2"/>
  <c r="X623" i="2"/>
  <c r="X619" i="2"/>
  <c r="W619" i="2"/>
  <c r="X615" i="2"/>
  <c r="W615" i="2"/>
  <c r="X611" i="2"/>
  <c r="W611" i="2"/>
  <c r="X607" i="2"/>
  <c r="W607" i="2"/>
  <c r="X603" i="2"/>
  <c r="X599" i="2"/>
  <c r="W599" i="2"/>
  <c r="W595" i="2"/>
  <c r="X595" i="2"/>
  <c r="X591" i="2"/>
  <c r="W591" i="2"/>
  <c r="X587" i="2"/>
  <c r="W587" i="2"/>
  <c r="X583" i="2"/>
  <c r="W583" i="2"/>
  <c r="X579" i="2"/>
  <c r="X575" i="2"/>
  <c r="W575" i="2"/>
  <c r="X571" i="2"/>
  <c r="W571" i="2"/>
  <c r="W567" i="2"/>
  <c r="X567" i="2"/>
  <c r="W563" i="2"/>
  <c r="X563" i="2"/>
  <c r="X559" i="2"/>
  <c r="W559" i="2"/>
  <c r="X555" i="2"/>
  <c r="W555" i="2"/>
  <c r="X551" i="2"/>
  <c r="W551" i="2"/>
  <c r="X547" i="2"/>
  <c r="W547" i="2"/>
  <c r="X543" i="2"/>
  <c r="W543" i="2"/>
  <c r="X539" i="2"/>
  <c r="W539" i="2"/>
  <c r="X535" i="2"/>
  <c r="W535" i="2"/>
  <c r="W531" i="2"/>
  <c r="X531" i="2"/>
  <c r="X527" i="2"/>
  <c r="W527" i="2"/>
  <c r="X523" i="2"/>
  <c r="W523" i="2"/>
  <c r="X519" i="2"/>
  <c r="W519" i="2"/>
  <c r="X515" i="2"/>
  <c r="W515" i="2"/>
  <c r="X511" i="2"/>
  <c r="W511" i="2"/>
  <c r="X507" i="2"/>
  <c r="W507" i="2"/>
  <c r="W503" i="2"/>
  <c r="X503" i="2"/>
  <c r="X499" i="2"/>
  <c r="W499" i="2"/>
  <c r="X495" i="2"/>
  <c r="W495" i="2"/>
  <c r="X491" i="2"/>
  <c r="W491" i="2"/>
  <c r="W780" i="2"/>
  <c r="W579" i="2"/>
  <c r="X639" i="2"/>
  <c r="X710" i="2"/>
  <c r="W710" i="2"/>
  <c r="X706" i="2"/>
  <c r="X702" i="2"/>
  <c r="W702" i="2"/>
  <c r="X698" i="2"/>
  <c r="W698" i="2"/>
  <c r="X694" i="2"/>
  <c r="W694" i="2"/>
  <c r="X690" i="2"/>
  <c r="W690" i="2"/>
  <c r="X686" i="2"/>
  <c r="X682" i="2"/>
  <c r="W682" i="2"/>
  <c r="X678" i="2"/>
  <c r="W678" i="2"/>
  <c r="X674" i="2"/>
  <c r="W674" i="2"/>
  <c r="X670" i="2"/>
  <c r="W670" i="2"/>
  <c r="X666" i="2"/>
  <c r="X662" i="2"/>
  <c r="W658" i="2"/>
  <c r="X658" i="2"/>
  <c r="X654" i="2"/>
  <c r="W654" i="2"/>
  <c r="X650" i="2"/>
  <c r="W650" i="2"/>
  <c r="X646" i="2"/>
  <c r="W646" i="2"/>
  <c r="X642" i="2"/>
  <c r="X638" i="2"/>
  <c r="W638" i="2"/>
  <c r="X634" i="2"/>
  <c r="W634" i="2"/>
  <c r="X630" i="2"/>
  <c r="W630" i="2"/>
  <c r="X626" i="2"/>
  <c r="W626" i="2"/>
  <c r="X622" i="2"/>
  <c r="W622" i="2"/>
  <c r="X618" i="2"/>
  <c r="W618" i="2"/>
  <c r="X614" i="2"/>
  <c r="W614" i="2"/>
  <c r="X610" i="2"/>
  <c r="W610" i="2"/>
  <c r="X606" i="2"/>
  <c r="W606" i="2"/>
  <c r="X602" i="2"/>
  <c r="W602" i="2"/>
  <c r="X598" i="2"/>
  <c r="W598" i="2"/>
  <c r="X594" i="2"/>
  <c r="W594" i="2"/>
  <c r="X590" i="2"/>
  <c r="W590" i="2"/>
  <c r="W586" i="2"/>
  <c r="X586" i="2"/>
  <c r="X582" i="2"/>
  <c r="W582" i="2"/>
  <c r="X578" i="2"/>
  <c r="W578" i="2"/>
  <c r="X574" i="2"/>
  <c r="W574" i="2"/>
  <c r="X570" i="2"/>
  <c r="W570" i="2"/>
  <c r="W566" i="2"/>
  <c r="X562" i="2"/>
  <c r="W554" i="2"/>
  <c r="W534" i="2"/>
  <c r="W510" i="2"/>
  <c r="W498" i="2"/>
  <c r="W20" i="2"/>
  <c r="W493" i="2"/>
  <c r="W706" i="2"/>
  <c r="X616" i="2"/>
  <c r="W616" i="2"/>
  <c r="X612" i="2"/>
  <c r="W612" i="2"/>
  <c r="W608" i="2"/>
  <c r="X608" i="2"/>
  <c r="X604" i="2"/>
  <c r="W600" i="2"/>
  <c r="X600" i="2"/>
  <c r="X596" i="2"/>
  <c r="W596" i="2"/>
  <c r="X592" i="2"/>
  <c r="W592" i="2"/>
  <c r="X588" i="2"/>
  <c r="W588" i="2"/>
  <c r="W584" i="2"/>
  <c r="X584" i="2"/>
  <c r="X580" i="2"/>
  <c r="W580" i="2"/>
  <c r="W576" i="2"/>
  <c r="X576" i="2"/>
  <c r="X572" i="2"/>
  <c r="W572" i="2"/>
  <c r="X568" i="2"/>
  <c r="W568" i="2"/>
  <c r="X564" i="2"/>
  <c r="W564" i="2"/>
  <c r="X560" i="2"/>
  <c r="W560" i="2"/>
  <c r="X556" i="2"/>
  <c r="W556" i="2"/>
  <c r="X552" i="2"/>
  <c r="W552" i="2"/>
  <c r="W550" i="2"/>
  <c r="W549" i="2"/>
  <c r="X548" i="2"/>
  <c r="W548" i="2"/>
  <c r="W544" i="2"/>
  <c r="X544" i="2"/>
  <c r="X540" i="2"/>
  <c r="W536" i="2"/>
  <c r="X536" i="2"/>
  <c r="X532" i="2"/>
  <c r="W532" i="2"/>
  <c r="X530" i="2"/>
  <c r="W530" i="2"/>
  <c r="W529" i="2"/>
  <c r="X528" i="2"/>
  <c r="W528" i="2"/>
  <c r="X526" i="2"/>
  <c r="W526" i="2"/>
  <c r="W525" i="2"/>
  <c r="X524" i="2"/>
  <c r="W524" i="2"/>
  <c r="X522" i="2"/>
  <c r="W520" i="2"/>
  <c r="X520" i="2"/>
  <c r="X516" i="2"/>
  <c r="W512" i="2"/>
  <c r="X512" i="2"/>
  <c r="X508" i="2"/>
  <c r="W508" i="2"/>
  <c r="W506" i="2"/>
  <c r="W505" i="2"/>
  <c r="X504" i="2"/>
  <c r="W504" i="2"/>
  <c r="W502" i="2"/>
  <c r="W501" i="2"/>
  <c r="X500" i="2"/>
  <c r="W500" i="2"/>
  <c r="X496" i="2"/>
  <c r="W496" i="2"/>
  <c r="X492" i="2"/>
  <c r="X490" i="2"/>
  <c r="W490" i="2"/>
  <c r="X488" i="2"/>
  <c r="W488" i="2"/>
  <c r="W24" i="2"/>
  <c r="W569" i="2"/>
  <c r="W642" i="2"/>
  <c r="X566" i="2"/>
  <c r="W25" i="2"/>
  <c r="X25" i="2"/>
  <c r="X21" i="2"/>
  <c r="W21" i="2"/>
  <c r="W17" i="2"/>
  <c r="X17" i="2"/>
  <c r="W13" i="2"/>
  <c r="X13" i="2"/>
  <c r="W9" i="2"/>
  <c r="X9" i="2"/>
  <c r="X5" i="2"/>
  <c r="W5" i="2"/>
  <c r="X26" i="2"/>
  <c r="W26" i="2"/>
  <c r="X22" i="2"/>
  <c r="W22" i="2"/>
  <c r="X18" i="2"/>
  <c r="W18" i="2"/>
  <c r="X14" i="2"/>
  <c r="W14" i="2"/>
  <c r="X10" i="2"/>
  <c r="W10" i="2"/>
  <c r="X6" i="2"/>
  <c r="W6" i="2"/>
  <c r="W677" i="2"/>
  <c r="X729" i="2"/>
  <c r="W729" i="2"/>
  <c r="X725" i="2"/>
  <c r="W725" i="2"/>
  <c r="X721" i="2"/>
  <c r="W721" i="2"/>
  <c r="X717" i="2"/>
  <c r="W717" i="2"/>
  <c r="X713" i="2"/>
  <c r="X709" i="2"/>
  <c r="W709" i="2"/>
  <c r="X705" i="2"/>
  <c r="X701" i="2"/>
  <c r="W701" i="2"/>
  <c r="X697" i="2"/>
  <c r="X693" i="2"/>
  <c r="W693" i="2"/>
  <c r="X689" i="2"/>
  <c r="W689" i="2"/>
  <c r="X685" i="2"/>
  <c r="X681" i="2"/>
  <c r="W681" i="2"/>
  <c r="X673" i="2"/>
  <c r="X669" i="2"/>
  <c r="W669" i="2"/>
  <c r="X665" i="2"/>
  <c r="W665" i="2"/>
  <c r="X661" i="2"/>
  <c r="W661" i="2"/>
  <c r="X657" i="2"/>
  <c r="X653" i="2"/>
  <c r="X649" i="2"/>
  <c r="W649" i="2"/>
  <c r="X645" i="2"/>
  <c r="X641" i="2"/>
  <c r="W641" i="2"/>
  <c r="X637" i="2"/>
  <c r="W637" i="2"/>
  <c r="X633" i="2"/>
  <c r="X629" i="2"/>
  <c r="W629" i="2"/>
  <c r="X625" i="2"/>
  <c r="X621" i="2"/>
  <c r="X617" i="2"/>
  <c r="W617" i="2"/>
  <c r="X613" i="2"/>
  <c r="X609" i="2"/>
  <c r="W609" i="2"/>
  <c r="X605" i="2"/>
  <c r="W605" i="2"/>
  <c r="X601" i="2"/>
  <c r="W601" i="2"/>
  <c r="X597" i="2"/>
  <c r="W597" i="2"/>
  <c r="X593" i="2"/>
  <c r="X589" i="2"/>
  <c r="X585" i="2"/>
  <c r="W585" i="2"/>
  <c r="X581" i="2"/>
  <c r="X577" i="2"/>
  <c r="W577" i="2"/>
  <c r="W557" i="2"/>
  <c r="X549" i="2"/>
  <c r="W23" i="2"/>
  <c r="W653" i="2"/>
  <c r="W633" i="2"/>
  <c r="W713" i="2"/>
  <c r="W673" i="2"/>
  <c r="W589" i="2"/>
  <c r="X573" i="2"/>
  <c r="W573" i="2"/>
  <c r="X569" i="2"/>
  <c r="X565" i="2"/>
  <c r="X561" i="2"/>
  <c r="X557" i="2"/>
  <c r="X553" i="2"/>
  <c r="X545" i="2"/>
  <c r="X541" i="2"/>
  <c r="X537" i="2"/>
  <c r="W537" i="2"/>
  <c r="X533" i="2"/>
  <c r="X529" i="2"/>
  <c r="X525" i="2"/>
  <c r="X521" i="2"/>
  <c r="X517" i="2"/>
  <c r="X513" i="2"/>
  <c r="W513" i="2"/>
  <c r="X509" i="2"/>
  <c r="W509" i="2"/>
  <c r="X505" i="2"/>
  <c r="X501" i="2"/>
  <c r="X497" i="2"/>
  <c r="X489" i="2"/>
  <c r="X23" i="2"/>
  <c r="X19" i="2"/>
  <c r="X15" i="2"/>
  <c r="W15" i="2"/>
  <c r="X11" i="2"/>
  <c r="X7" i="2"/>
  <c r="X3" i="2"/>
  <c r="W3" i="2"/>
  <c r="W545" i="2"/>
  <c r="W565" i="2"/>
  <c r="W533" i="2"/>
  <c r="W521" i="2"/>
  <c r="W497" i="2"/>
  <c r="W19" i="2"/>
  <c r="X554" i="2"/>
  <c r="X550" i="2"/>
  <c r="X546" i="2"/>
  <c r="W546" i="2"/>
  <c r="X542" i="2"/>
  <c r="X538" i="2"/>
  <c r="X534" i="2"/>
  <c r="W522" i="2"/>
  <c r="X518" i="2"/>
  <c r="W518" i="2"/>
  <c r="X514" i="2"/>
  <c r="X510" i="2"/>
  <c r="X506" i="2"/>
  <c r="X502" i="2"/>
  <c r="X498" i="2"/>
  <c r="W494" i="2"/>
  <c r="X24" i="2"/>
  <c r="X20" i="2"/>
  <c r="X16" i="2"/>
  <c r="W16" i="2"/>
  <c r="X12" i="2"/>
  <c r="X8" i="2"/>
  <c r="W8" i="2"/>
  <c r="X4" i="2"/>
  <c r="W4" i="2"/>
  <c r="W553" i="2"/>
  <c r="W542" i="2"/>
  <c r="W12" i="2"/>
  <c r="K3" i="7"/>
  <c r="L3" i="7"/>
  <c r="M3" i="7"/>
  <c r="N3" i="7"/>
  <c r="O3" i="7"/>
  <c r="P3" i="7"/>
  <c r="Q3" i="7"/>
  <c r="K4" i="7"/>
  <c r="L4" i="7"/>
  <c r="M4" i="7"/>
  <c r="N4" i="7"/>
  <c r="O4" i="7"/>
  <c r="P4" i="7"/>
  <c r="Q4" i="7"/>
  <c r="K5" i="7"/>
  <c r="L5" i="7"/>
  <c r="M5" i="7"/>
  <c r="N5" i="7"/>
  <c r="O5" i="7"/>
  <c r="P5" i="7"/>
  <c r="Q5" i="7"/>
  <c r="K6" i="7"/>
  <c r="L6" i="7"/>
  <c r="M6" i="7"/>
  <c r="N6" i="7"/>
  <c r="O6" i="7"/>
  <c r="P6" i="7"/>
  <c r="Q6" i="7"/>
  <c r="K7" i="7"/>
  <c r="L7" i="7"/>
  <c r="M7" i="7"/>
  <c r="N7" i="7"/>
  <c r="O7" i="7"/>
  <c r="P7" i="7"/>
  <c r="Q7" i="7"/>
  <c r="K8" i="7"/>
  <c r="L8" i="7"/>
  <c r="M8" i="7"/>
  <c r="N8" i="7"/>
  <c r="O8" i="7"/>
  <c r="P8" i="7"/>
  <c r="Q8" i="7"/>
  <c r="K9" i="7"/>
  <c r="L9" i="7"/>
  <c r="M9" i="7"/>
  <c r="N9" i="7"/>
  <c r="O9" i="7"/>
  <c r="P9" i="7"/>
  <c r="Q9" i="7"/>
  <c r="K10" i="7"/>
  <c r="L10" i="7"/>
  <c r="M10" i="7"/>
  <c r="N10" i="7"/>
  <c r="O10" i="7"/>
  <c r="P10" i="7"/>
  <c r="Q10" i="7"/>
  <c r="K11" i="7"/>
  <c r="L11" i="7"/>
  <c r="M11" i="7"/>
  <c r="N11" i="7"/>
  <c r="O11" i="7"/>
  <c r="P11" i="7"/>
  <c r="Q11" i="7"/>
  <c r="K12" i="7"/>
  <c r="L12" i="7"/>
  <c r="M12" i="7"/>
  <c r="N12" i="7"/>
  <c r="O12" i="7"/>
  <c r="P12" i="7"/>
  <c r="Q12" i="7"/>
  <c r="K13" i="7"/>
  <c r="L13" i="7"/>
  <c r="M13" i="7"/>
  <c r="N13" i="7"/>
  <c r="O13" i="7"/>
  <c r="P13" i="7"/>
  <c r="Q13" i="7"/>
  <c r="K14" i="7"/>
  <c r="L14" i="7"/>
  <c r="M14" i="7"/>
  <c r="N14" i="7"/>
  <c r="O14" i="7"/>
  <c r="P14" i="7"/>
  <c r="Q14" i="7"/>
  <c r="K15" i="7"/>
  <c r="L15" i="7"/>
  <c r="M15" i="7"/>
  <c r="N15" i="7"/>
  <c r="O15" i="7"/>
  <c r="P15" i="7"/>
  <c r="Q15" i="7"/>
  <c r="K16" i="7"/>
  <c r="L16" i="7"/>
  <c r="M16" i="7"/>
  <c r="N16" i="7"/>
  <c r="O16" i="7"/>
  <c r="P16" i="7"/>
  <c r="Q16" i="7"/>
  <c r="K17" i="7"/>
  <c r="L17" i="7"/>
  <c r="M17" i="7"/>
  <c r="N17" i="7"/>
  <c r="O17" i="7"/>
  <c r="P17" i="7"/>
  <c r="Q17" i="7"/>
  <c r="K18" i="7"/>
  <c r="L18" i="7"/>
  <c r="M18" i="7"/>
  <c r="N18" i="7"/>
  <c r="O18" i="7"/>
  <c r="P18" i="7"/>
  <c r="Q18" i="7"/>
  <c r="K19" i="7"/>
  <c r="L19" i="7"/>
  <c r="M19" i="7"/>
  <c r="N19" i="7"/>
  <c r="O19" i="7"/>
  <c r="P19" i="7"/>
  <c r="Q19" i="7"/>
  <c r="K20" i="7"/>
  <c r="L20" i="7"/>
  <c r="M20" i="7"/>
  <c r="N20" i="7"/>
  <c r="O20" i="7"/>
  <c r="P20" i="7"/>
  <c r="Q20" i="7"/>
  <c r="K21" i="7"/>
  <c r="L21" i="7"/>
  <c r="M21" i="7"/>
  <c r="N21" i="7"/>
  <c r="O21" i="7"/>
  <c r="P21" i="7"/>
  <c r="Q21" i="7"/>
  <c r="K22" i="7"/>
  <c r="L22" i="7"/>
  <c r="M22" i="7"/>
  <c r="N22" i="7"/>
  <c r="O22" i="7"/>
  <c r="P22" i="7"/>
  <c r="Q22" i="7"/>
  <c r="AU4" i="2"/>
  <c r="AV4" i="2" s="1"/>
  <c r="AU6" i="2"/>
  <c r="AV6" i="2" s="1"/>
  <c r="AU7" i="2"/>
  <c r="AV7" i="2" s="1"/>
  <c r="AU8" i="2"/>
  <c r="AV8" i="2" s="1"/>
  <c r="AU11" i="2"/>
  <c r="AV11" i="2" s="1"/>
  <c r="AU12" i="2"/>
  <c r="AV12" i="2" s="1"/>
  <c r="AU13" i="2"/>
  <c r="AV13" i="2" s="1"/>
  <c r="AU15" i="2"/>
  <c r="AU16" i="2"/>
  <c r="AV16" i="2" s="1"/>
  <c r="AU17" i="2"/>
  <c r="AV17" i="2" s="1"/>
  <c r="AU18" i="2"/>
  <c r="AV18" i="2" s="1"/>
  <c r="AU19" i="2"/>
  <c r="AV19" i="2" s="1"/>
  <c r="AU20" i="2"/>
  <c r="AV20" i="2" s="1"/>
  <c r="AU22" i="2"/>
  <c r="AV22" i="2" s="1"/>
  <c r="AU23" i="2"/>
  <c r="AU24" i="2"/>
  <c r="AV24" i="2" s="1"/>
  <c r="AU26" i="2"/>
  <c r="AV26" i="2" s="1"/>
  <c r="AU28" i="2"/>
  <c r="AV28" i="2" s="1"/>
  <c r="AU30" i="2"/>
  <c r="AV30" i="2" s="1"/>
  <c r="AU31" i="2"/>
  <c r="AV31" i="2" s="1"/>
  <c r="AU32" i="2"/>
  <c r="AV32" i="2" s="1"/>
  <c r="AU33" i="2"/>
  <c r="AU34" i="2"/>
  <c r="AV34" i="2" s="1"/>
  <c r="AU35" i="2"/>
  <c r="AV35" i="2" s="1"/>
  <c r="AU37" i="2"/>
  <c r="AV37" i="2" s="1"/>
  <c r="AU39" i="2"/>
  <c r="AV39" i="2" s="1"/>
  <c r="AU41" i="2"/>
  <c r="AV41" i="2" s="1"/>
  <c r="AU42" i="2"/>
  <c r="AU43" i="2"/>
  <c r="AV43" i="2" s="1"/>
  <c r="AU44" i="2"/>
  <c r="AV44" i="2" s="1"/>
  <c r="AU45" i="2"/>
  <c r="AV45" i="2" s="1"/>
  <c r="AU46" i="2"/>
  <c r="AV46" i="2" s="1"/>
  <c r="AU47" i="2"/>
  <c r="AV47" i="2" s="1"/>
  <c r="AU48" i="2"/>
  <c r="AV48" i="2" s="1"/>
  <c r="AU49" i="2"/>
  <c r="AU51" i="2"/>
  <c r="AV51" i="2" s="1"/>
  <c r="AU53" i="2"/>
  <c r="AV53" i="2" s="1"/>
  <c r="AU54" i="2"/>
  <c r="AV54" i="2" s="1"/>
  <c r="AU55" i="2"/>
  <c r="AV55" i="2" s="1"/>
  <c r="AU56" i="2"/>
  <c r="AV56" i="2" s="1"/>
  <c r="AU57" i="2"/>
  <c r="AV57" i="2" s="1"/>
  <c r="AU58" i="2"/>
  <c r="AU59" i="2"/>
  <c r="AV59" i="2" s="1"/>
  <c r="AU60" i="2"/>
  <c r="AV60" i="2" s="1"/>
  <c r="AU61" i="2"/>
  <c r="AV61" i="2" s="1"/>
  <c r="AU62" i="2"/>
  <c r="AV62" i="2" s="1"/>
  <c r="AU63" i="2"/>
  <c r="AU64" i="2"/>
  <c r="AV64" i="2" s="1"/>
  <c r="AU66" i="2"/>
  <c r="AV66" i="2" s="1"/>
  <c r="AU68" i="2"/>
  <c r="AV68" i="2" s="1"/>
  <c r="AU70" i="2"/>
  <c r="AV70" i="2" s="1"/>
  <c r="AU72" i="2"/>
  <c r="AV72" i="2" s="1"/>
  <c r="AU73" i="2"/>
  <c r="AV73" i="2" s="1"/>
  <c r="AU74" i="2"/>
  <c r="AU75" i="2"/>
  <c r="AV75" i="2" s="1"/>
  <c r="AU76" i="2"/>
  <c r="AV76" i="2" s="1"/>
  <c r="AU77" i="2"/>
  <c r="AV77" i="2" s="1"/>
  <c r="AU78" i="2"/>
  <c r="AV78" i="2" s="1"/>
  <c r="AU79" i="2"/>
  <c r="AV79" i="2" s="1"/>
  <c r="AU80" i="2"/>
  <c r="AU81" i="2"/>
  <c r="AV81" i="2" s="1"/>
  <c r="AU82" i="2"/>
  <c r="AV82" i="2" s="1"/>
  <c r="AU83" i="2"/>
  <c r="AV83" i="2" s="1"/>
  <c r="AU85" i="2"/>
  <c r="AV85" i="2" s="1"/>
  <c r="AU86" i="2"/>
  <c r="AV86" i="2" s="1"/>
  <c r="AU87" i="2"/>
  <c r="AV87" i="2" s="1"/>
  <c r="AU88" i="2"/>
  <c r="AV88" i="2" s="1"/>
  <c r="AU89" i="2"/>
  <c r="AU90" i="2"/>
  <c r="AV90" i="2" s="1"/>
  <c r="AU91" i="2"/>
  <c r="AV91" i="2" s="1"/>
  <c r="AU92" i="2"/>
  <c r="AV92" i="2" s="1"/>
  <c r="AU93" i="2"/>
  <c r="AV93" i="2" s="1"/>
  <c r="AU95" i="2"/>
  <c r="AV95" i="2" s="1"/>
  <c r="AU97" i="2"/>
  <c r="AV97" i="2" s="1"/>
  <c r="AU99" i="2"/>
  <c r="AU100" i="2"/>
  <c r="AV100" i="2" s="1"/>
  <c r="AU101" i="2"/>
  <c r="AV101" i="2" s="1"/>
  <c r="AU102" i="2"/>
  <c r="AV102" i="2" s="1"/>
  <c r="AU104" i="2"/>
  <c r="AV104" i="2" s="1"/>
  <c r="AU105" i="2"/>
  <c r="AV105" i="2" s="1"/>
  <c r="AU106" i="2"/>
  <c r="AU107" i="2"/>
  <c r="AV107" i="2" s="1"/>
  <c r="AU108" i="2"/>
  <c r="AV108" i="2" s="1"/>
  <c r="AU109" i="2"/>
  <c r="AV109" i="2" s="1"/>
  <c r="AU110" i="2"/>
  <c r="AV110" i="2" s="1"/>
  <c r="AU111" i="2"/>
  <c r="AV111" i="2" s="1"/>
  <c r="AU113" i="2"/>
  <c r="AV113" i="2" s="1"/>
  <c r="AU115" i="2"/>
  <c r="AV115" i="2" s="1"/>
  <c r="AU116" i="2"/>
  <c r="AU117" i="2"/>
  <c r="AV117" i="2" s="1"/>
  <c r="AU118" i="2"/>
  <c r="AV118" i="2" s="1"/>
  <c r="AU119" i="2"/>
  <c r="AV119" i="2" s="1"/>
  <c r="AU121" i="2"/>
  <c r="AV121" i="2" s="1"/>
  <c r="AU122" i="2"/>
  <c r="AV122" i="2" s="1"/>
  <c r="AU123" i="2"/>
  <c r="AV123" i="2" s="1"/>
  <c r="AU124" i="2"/>
  <c r="AV124" i="2" s="1"/>
  <c r="AU125" i="2"/>
  <c r="AV125" i="2" s="1"/>
  <c r="AU126" i="2"/>
  <c r="AV126" i="2" s="1"/>
  <c r="AU127" i="2"/>
  <c r="AV127" i="2" s="1"/>
  <c r="AU128" i="2"/>
  <c r="AV128" i="2" s="1"/>
  <c r="AU129" i="2"/>
  <c r="AV129" i="2" s="1"/>
  <c r="AU131" i="2"/>
  <c r="AV131" i="2" s="1"/>
  <c r="AU132" i="2"/>
  <c r="AU134" i="2"/>
  <c r="AV134" i="2" s="1"/>
  <c r="AU135" i="2"/>
  <c r="AV135" i="2" s="1"/>
  <c r="AU136" i="2"/>
  <c r="AV136" i="2" s="1"/>
  <c r="AU137" i="2"/>
  <c r="AU138" i="2"/>
  <c r="AV138" i="2" s="1"/>
  <c r="AU139" i="2"/>
  <c r="AU140" i="2"/>
  <c r="AV140" i="2" s="1"/>
  <c r="AU141" i="2"/>
  <c r="AV141" i="2" s="1"/>
  <c r="AU142" i="2"/>
  <c r="AU143" i="2"/>
  <c r="AV143" i="2" s="1"/>
  <c r="AU145" i="2"/>
  <c r="AV145" i="2" s="1"/>
  <c r="AU146" i="2"/>
  <c r="AU147" i="2"/>
  <c r="AV147" i="2" s="1"/>
  <c r="AU148" i="2"/>
  <c r="AV148" i="2" s="1"/>
  <c r="AU149" i="2"/>
  <c r="AV149" i="2" s="1"/>
  <c r="AU150" i="2"/>
  <c r="AV150" i="2" s="1"/>
  <c r="AU151" i="2"/>
  <c r="AV151" i="2" s="1"/>
  <c r="AU152" i="2"/>
  <c r="AU153" i="2"/>
  <c r="AV153" i="2" s="1"/>
  <c r="AU154" i="2"/>
  <c r="AV154" i="2" s="1"/>
  <c r="AU155" i="2"/>
  <c r="AV155" i="2" s="1"/>
  <c r="AU156" i="2"/>
  <c r="AV156" i="2" s="1"/>
  <c r="AU158" i="2"/>
  <c r="AV158" i="2" s="1"/>
  <c r="AU159" i="2"/>
  <c r="AU160" i="2"/>
  <c r="AV160" i="2" s="1"/>
  <c r="AU162" i="2"/>
  <c r="AV162" i="2" s="1"/>
  <c r="AU163" i="2"/>
  <c r="AU164" i="2"/>
  <c r="AV164" i="2" s="1"/>
  <c r="AU165" i="2"/>
  <c r="AV165" i="2" s="1"/>
  <c r="AU166" i="2"/>
  <c r="AV166" i="2" s="1"/>
  <c r="AU167" i="2"/>
  <c r="AU168" i="2"/>
  <c r="AV168" i="2" s="1"/>
  <c r="AU169" i="2"/>
  <c r="AV169" i="2" s="1"/>
  <c r="AU170" i="2"/>
  <c r="AV170" i="2" s="1"/>
  <c r="AU171" i="2"/>
  <c r="AV171" i="2" s="1"/>
  <c r="AU172" i="2"/>
  <c r="AU173" i="2"/>
  <c r="AV173" i="2" s="1"/>
  <c r="AU175" i="2"/>
  <c r="AV175" i="2" s="1"/>
  <c r="AU176" i="2"/>
  <c r="AV176" i="2" s="1"/>
  <c r="AU177" i="2"/>
  <c r="AV177" i="2" s="1"/>
  <c r="AU178" i="2"/>
  <c r="AU179" i="2"/>
  <c r="AU180" i="2"/>
  <c r="AV180" i="2" s="1"/>
  <c r="AU181" i="2"/>
  <c r="AV181" i="2" s="1"/>
  <c r="AU182" i="2"/>
  <c r="AV182" i="2" s="1"/>
  <c r="AU185" i="2"/>
  <c r="AV185" i="2" s="1"/>
  <c r="AU3" i="2"/>
  <c r="AV3" i="2" s="1"/>
  <c r="AU2" i="2"/>
  <c r="AV2" i="2" s="1"/>
  <c r="AW2" i="2"/>
  <c r="F47" i="2" l="1"/>
  <c r="G208" i="2"/>
  <c r="G324" i="2"/>
  <c r="G553" i="2"/>
  <c r="G348" i="2"/>
  <c r="F246" i="2"/>
  <c r="G323" i="2"/>
  <c r="F48" i="2"/>
  <c r="F209" i="2"/>
  <c r="G325" i="2"/>
  <c r="G554" i="2"/>
  <c r="G218" i="2"/>
  <c r="G626" i="2"/>
  <c r="G551" i="2"/>
  <c r="G53" i="2"/>
  <c r="F210" i="2"/>
  <c r="G342" i="2"/>
  <c r="G555" i="2"/>
  <c r="G54" i="2"/>
  <c r="G151" i="2"/>
  <c r="F207" i="2"/>
  <c r="G104" i="2"/>
  <c r="G219" i="2"/>
  <c r="G507" i="2"/>
  <c r="G627" i="2"/>
  <c r="G105" i="2"/>
  <c r="F245" i="2"/>
  <c r="F539" i="2"/>
  <c r="G552" i="2"/>
  <c r="AZ4" i="2"/>
  <c r="AZ12" i="2"/>
  <c r="AZ20" i="2"/>
  <c r="AZ28" i="2"/>
  <c r="AZ36" i="2"/>
  <c r="AZ44" i="2"/>
  <c r="AZ52" i="2"/>
  <c r="AZ60" i="2"/>
  <c r="AZ68" i="2"/>
  <c r="AZ76" i="2"/>
  <c r="AZ84" i="2"/>
  <c r="D84" i="2" s="1"/>
  <c r="AZ92" i="2"/>
  <c r="AZ100" i="2"/>
  <c r="AZ108" i="2"/>
  <c r="AZ116" i="2"/>
  <c r="AZ124" i="2"/>
  <c r="AZ132" i="2"/>
  <c r="AZ140" i="2"/>
  <c r="AZ148" i="2"/>
  <c r="AZ156" i="2"/>
  <c r="AZ164" i="2"/>
  <c r="AZ172" i="2"/>
  <c r="AZ180" i="2"/>
  <c r="AZ188" i="2"/>
  <c r="AZ196" i="2"/>
  <c r="AZ204" i="2"/>
  <c r="AZ212" i="2"/>
  <c r="AZ220" i="2"/>
  <c r="AZ228" i="2"/>
  <c r="AZ236" i="2"/>
  <c r="AZ244" i="2"/>
  <c r="D244" i="2" s="1"/>
  <c r="AZ252" i="2"/>
  <c r="D252" i="2" s="1"/>
  <c r="AZ260" i="2"/>
  <c r="AZ268" i="2"/>
  <c r="D268" i="2" s="1"/>
  <c r="AZ276" i="2"/>
  <c r="AZ284" i="2"/>
  <c r="AZ292" i="2"/>
  <c r="AZ300" i="2"/>
  <c r="AZ308" i="2"/>
  <c r="AZ316" i="2"/>
  <c r="AZ324" i="2"/>
  <c r="AZ332" i="2"/>
  <c r="AZ340" i="2"/>
  <c r="AZ348" i="2"/>
  <c r="AZ356" i="2"/>
  <c r="AZ364" i="2"/>
  <c r="AZ372" i="2"/>
  <c r="AZ380" i="2"/>
  <c r="AZ388" i="2"/>
  <c r="AZ396" i="2"/>
  <c r="AZ404" i="2"/>
  <c r="AZ412" i="2"/>
  <c r="AZ420" i="2"/>
  <c r="AZ428" i="2"/>
  <c r="AZ436" i="2"/>
  <c r="AZ444" i="2"/>
  <c r="D444" i="2" s="1"/>
  <c r="AZ452" i="2"/>
  <c r="AZ460" i="2"/>
  <c r="AZ468" i="2"/>
  <c r="AZ476" i="2"/>
  <c r="AZ484" i="2"/>
  <c r="AZ492" i="2"/>
  <c r="AZ500" i="2"/>
  <c r="AZ508" i="2"/>
  <c r="AZ516" i="2"/>
  <c r="AZ524" i="2"/>
  <c r="AZ532" i="2"/>
  <c r="AZ540" i="2"/>
  <c r="AZ548" i="2"/>
  <c r="AZ556" i="2"/>
  <c r="AZ564" i="2"/>
  <c r="AZ572" i="2"/>
  <c r="AZ580" i="2"/>
  <c r="AZ7" i="2"/>
  <c r="AZ15" i="2"/>
  <c r="AZ23" i="2"/>
  <c r="AZ31" i="2"/>
  <c r="AZ39" i="2"/>
  <c r="AZ47" i="2"/>
  <c r="AZ55" i="2"/>
  <c r="AZ63" i="2"/>
  <c r="AZ71" i="2"/>
  <c r="AZ79" i="2"/>
  <c r="AZ87" i="2"/>
  <c r="AZ95" i="2"/>
  <c r="AZ103" i="2"/>
  <c r="D103" i="2" s="1"/>
  <c r="AZ111" i="2"/>
  <c r="AZ119" i="2"/>
  <c r="AZ127" i="2"/>
  <c r="AZ135" i="2"/>
  <c r="AZ143" i="2"/>
  <c r="AZ151" i="2"/>
  <c r="AZ159" i="2"/>
  <c r="AZ167" i="2"/>
  <c r="AZ175" i="2"/>
  <c r="AZ183" i="2"/>
  <c r="D183" i="2" s="1"/>
  <c r="AZ191" i="2"/>
  <c r="AZ199" i="2"/>
  <c r="AZ207" i="2"/>
  <c r="AZ215" i="2"/>
  <c r="AZ223" i="2"/>
  <c r="AZ231" i="2"/>
  <c r="AZ239" i="2"/>
  <c r="AZ247" i="2"/>
  <c r="AZ255" i="2"/>
  <c r="AZ263" i="2"/>
  <c r="AZ271" i="2"/>
  <c r="AZ279" i="2"/>
  <c r="AZ287" i="2"/>
  <c r="AZ295" i="2"/>
  <c r="AZ303" i="2"/>
  <c r="D303" i="2" s="1"/>
  <c r="AZ311" i="2"/>
  <c r="AZ319" i="2"/>
  <c r="AZ327" i="2"/>
  <c r="AZ335" i="2"/>
  <c r="AZ343" i="2"/>
  <c r="AZ351" i="2"/>
  <c r="AZ359" i="2"/>
  <c r="AZ367" i="2"/>
  <c r="AZ375" i="2"/>
  <c r="AZ383" i="2"/>
  <c r="AZ391" i="2"/>
  <c r="AZ399" i="2"/>
  <c r="AZ407" i="2"/>
  <c r="AZ415" i="2"/>
  <c r="AZ423" i="2"/>
  <c r="AZ431" i="2"/>
  <c r="AZ439" i="2"/>
  <c r="AZ447" i="2"/>
  <c r="AZ455" i="2"/>
  <c r="AZ463" i="2"/>
  <c r="AZ471" i="2"/>
  <c r="AZ479" i="2"/>
  <c r="AZ487" i="2"/>
  <c r="AZ495" i="2"/>
  <c r="AZ503" i="2"/>
  <c r="AZ511" i="2"/>
  <c r="AZ519" i="2"/>
  <c r="AZ527" i="2"/>
  <c r="AZ535" i="2"/>
  <c r="AZ543" i="2"/>
  <c r="AZ551" i="2"/>
  <c r="AZ559" i="2"/>
  <c r="AZ567" i="2"/>
  <c r="AZ2" i="2"/>
  <c r="AZ10" i="2"/>
  <c r="D10" i="2" s="1"/>
  <c r="AZ18" i="2"/>
  <c r="AZ26" i="2"/>
  <c r="AZ34" i="2"/>
  <c r="AZ42" i="2"/>
  <c r="AZ50" i="2"/>
  <c r="AZ58" i="2"/>
  <c r="AZ66" i="2"/>
  <c r="AZ74" i="2"/>
  <c r="AZ82" i="2"/>
  <c r="AZ90" i="2"/>
  <c r="AZ98" i="2"/>
  <c r="AZ106" i="2"/>
  <c r="AZ114" i="2"/>
  <c r="AZ122" i="2"/>
  <c r="AZ130" i="2"/>
  <c r="AZ138" i="2"/>
  <c r="AZ146" i="2"/>
  <c r="AZ154" i="2"/>
  <c r="AZ162" i="2"/>
  <c r="AZ170" i="2"/>
  <c r="AZ178" i="2"/>
  <c r="AZ186" i="2"/>
  <c r="AZ194" i="2"/>
  <c r="AZ202" i="2"/>
  <c r="AZ210" i="2"/>
  <c r="AZ218" i="2"/>
  <c r="AZ226" i="2"/>
  <c r="AZ234" i="2"/>
  <c r="AZ242" i="2"/>
  <c r="AZ250" i="2"/>
  <c r="AZ258" i="2"/>
  <c r="AZ266" i="2"/>
  <c r="AZ274" i="2"/>
  <c r="AZ282" i="2"/>
  <c r="AZ290" i="2"/>
  <c r="AZ298" i="2"/>
  <c r="AZ306" i="2"/>
  <c r="AZ314" i="2"/>
  <c r="AZ322" i="2"/>
  <c r="AZ330" i="2"/>
  <c r="AZ338" i="2"/>
  <c r="AZ346" i="2"/>
  <c r="AZ354" i="2"/>
  <c r="AZ362" i="2"/>
  <c r="AZ370" i="2"/>
  <c r="AZ378" i="2"/>
  <c r="AZ386" i="2"/>
  <c r="D386" i="2" s="1"/>
  <c r="AZ394" i="2"/>
  <c r="AZ402" i="2"/>
  <c r="AZ410" i="2"/>
  <c r="AZ418" i="2"/>
  <c r="AZ426" i="2"/>
  <c r="AZ434" i="2"/>
  <c r="AZ442" i="2"/>
  <c r="D442" i="2" s="1"/>
  <c r="AZ450" i="2"/>
  <c r="AZ458" i="2"/>
  <c r="AZ466" i="2"/>
  <c r="AZ474" i="2"/>
  <c r="AZ482" i="2"/>
  <c r="AZ490" i="2"/>
  <c r="AZ498" i="2"/>
  <c r="AZ506" i="2"/>
  <c r="AZ514" i="2"/>
  <c r="D514" i="2" s="1"/>
  <c r="AZ522" i="2"/>
  <c r="AZ530" i="2"/>
  <c r="AZ538" i="2"/>
  <c r="AZ546" i="2"/>
  <c r="AZ554" i="2"/>
  <c r="AZ562" i="2"/>
  <c r="AZ570" i="2"/>
  <c r="AZ5" i="2"/>
  <c r="D5" i="2" s="1"/>
  <c r="AZ13" i="2"/>
  <c r="AZ21" i="2"/>
  <c r="D21" i="2" s="1"/>
  <c r="AZ29" i="2"/>
  <c r="AZ37" i="2"/>
  <c r="AZ45" i="2"/>
  <c r="AZ53" i="2"/>
  <c r="AZ61" i="2"/>
  <c r="AZ69" i="2"/>
  <c r="AZ77" i="2"/>
  <c r="AZ85" i="2"/>
  <c r="AZ93" i="2"/>
  <c r="AZ101" i="2"/>
  <c r="AZ109" i="2"/>
  <c r="AZ117" i="2"/>
  <c r="AZ125" i="2"/>
  <c r="AZ133" i="2"/>
  <c r="AZ141" i="2"/>
  <c r="AZ149" i="2"/>
  <c r="AZ157" i="2"/>
  <c r="AZ165" i="2"/>
  <c r="AZ173" i="2"/>
  <c r="AZ181" i="2"/>
  <c r="AZ189" i="2"/>
  <c r="AZ197" i="2"/>
  <c r="AZ205" i="2"/>
  <c r="AZ213" i="2"/>
  <c r="AZ221" i="2"/>
  <c r="AZ229" i="2"/>
  <c r="AZ237" i="2"/>
  <c r="AZ245" i="2"/>
  <c r="AZ253" i="2"/>
  <c r="AZ261" i="2"/>
  <c r="AZ269" i="2"/>
  <c r="AZ277" i="2"/>
  <c r="AZ285" i="2"/>
  <c r="AZ293" i="2"/>
  <c r="AZ301" i="2"/>
  <c r="AZ309" i="2"/>
  <c r="AZ317" i="2"/>
  <c r="AZ325" i="2"/>
  <c r="AZ333" i="2"/>
  <c r="AZ341" i="2"/>
  <c r="AZ349" i="2"/>
  <c r="AZ357" i="2"/>
  <c r="AZ365" i="2"/>
  <c r="AZ373" i="2"/>
  <c r="AZ381" i="2"/>
  <c r="AZ389" i="2"/>
  <c r="AZ397" i="2"/>
  <c r="AZ405" i="2"/>
  <c r="AZ413" i="2"/>
  <c r="AZ421" i="2"/>
  <c r="AZ429" i="2"/>
  <c r="D429" i="2" s="1"/>
  <c r="AZ437" i="2"/>
  <c r="AZ445" i="2"/>
  <c r="AZ453" i="2"/>
  <c r="AZ461" i="2"/>
  <c r="AZ469" i="2"/>
  <c r="AZ477" i="2"/>
  <c r="AZ485" i="2"/>
  <c r="AZ493" i="2"/>
  <c r="AZ501" i="2"/>
  <c r="AZ509" i="2"/>
  <c r="AZ517" i="2"/>
  <c r="AZ525" i="2"/>
  <c r="AZ533" i="2"/>
  <c r="AZ541" i="2"/>
  <c r="AZ549" i="2"/>
  <c r="AZ557" i="2"/>
  <c r="AZ565" i="2"/>
  <c r="AZ573" i="2"/>
  <c r="AZ581" i="2"/>
  <c r="AZ589" i="2"/>
  <c r="AZ597" i="2"/>
  <c r="AZ605" i="2"/>
  <c r="AZ613" i="2"/>
  <c r="AZ621" i="2"/>
  <c r="AZ629" i="2"/>
  <c r="AZ637" i="2"/>
  <c r="AZ645" i="2"/>
  <c r="AZ653" i="2"/>
  <c r="AZ661" i="2"/>
  <c r="AZ669" i="2"/>
  <c r="AZ677" i="2"/>
  <c r="AZ8" i="2"/>
  <c r="AZ11" i="2"/>
  <c r="AZ24" i="2"/>
  <c r="AZ27" i="2"/>
  <c r="AZ40" i="2"/>
  <c r="AZ43" i="2"/>
  <c r="AZ56" i="2"/>
  <c r="AZ59" i="2"/>
  <c r="AZ72" i="2"/>
  <c r="AZ75" i="2"/>
  <c r="AZ88" i="2"/>
  <c r="AZ91" i="2"/>
  <c r="AZ104" i="2"/>
  <c r="AZ107" i="2"/>
  <c r="AZ120" i="2"/>
  <c r="AZ123" i="2"/>
  <c r="AZ136" i="2"/>
  <c r="AZ139" i="2"/>
  <c r="AZ152" i="2"/>
  <c r="AZ155" i="2"/>
  <c r="AZ168" i="2"/>
  <c r="AZ171" i="2"/>
  <c r="AZ184" i="2"/>
  <c r="AZ187" i="2"/>
  <c r="AZ200" i="2"/>
  <c r="AZ203" i="2"/>
  <c r="AZ216" i="2"/>
  <c r="D216" i="2" s="1"/>
  <c r="AZ219" i="2"/>
  <c r="AZ232" i="2"/>
  <c r="AZ235" i="2"/>
  <c r="AZ248" i="2"/>
  <c r="AZ251" i="2"/>
  <c r="AZ264" i="2"/>
  <c r="AZ267" i="2"/>
  <c r="AZ280" i="2"/>
  <c r="AZ283" i="2"/>
  <c r="AZ296" i="2"/>
  <c r="AZ299" i="2"/>
  <c r="D299" i="2" s="1"/>
  <c r="AZ312" i="2"/>
  <c r="AZ315" i="2"/>
  <c r="AZ328" i="2"/>
  <c r="AZ331" i="2"/>
  <c r="AZ344" i="2"/>
  <c r="AZ347" i="2"/>
  <c r="D347" i="2" s="1"/>
  <c r="AZ360" i="2"/>
  <c r="AZ363" i="2"/>
  <c r="AZ376" i="2"/>
  <c r="AZ379" i="2"/>
  <c r="AZ392" i="2"/>
  <c r="AZ395" i="2"/>
  <c r="AZ408" i="2"/>
  <c r="AZ411" i="2"/>
  <c r="AZ424" i="2"/>
  <c r="AZ427" i="2"/>
  <c r="AZ440" i="2"/>
  <c r="AZ443" i="2"/>
  <c r="AZ456" i="2"/>
  <c r="AZ459" i="2"/>
  <c r="AZ472" i="2"/>
  <c r="AZ475" i="2"/>
  <c r="AZ488" i="2"/>
  <c r="AZ491" i="2"/>
  <c r="AZ504" i="2"/>
  <c r="AZ507" i="2"/>
  <c r="AZ520" i="2"/>
  <c r="AZ523" i="2"/>
  <c r="AZ536" i="2"/>
  <c r="AZ539" i="2"/>
  <c r="AZ552" i="2"/>
  <c r="AZ555" i="2"/>
  <c r="AZ568" i="2"/>
  <c r="AZ571" i="2"/>
  <c r="AZ577" i="2"/>
  <c r="AZ583" i="2"/>
  <c r="AZ594" i="2"/>
  <c r="AZ608" i="2"/>
  <c r="AZ619" i="2"/>
  <c r="AZ622" i="2"/>
  <c r="AZ633" i="2"/>
  <c r="AZ644" i="2"/>
  <c r="AZ647" i="2"/>
  <c r="AZ658" i="2"/>
  <c r="AZ672" i="2"/>
  <c r="AZ683" i="2"/>
  <c r="AZ691" i="2"/>
  <c r="AZ586" i="2"/>
  <c r="AZ600" i="2"/>
  <c r="AZ611" i="2"/>
  <c r="AZ614" i="2"/>
  <c r="AZ625" i="2"/>
  <c r="AZ636" i="2"/>
  <c r="AZ639" i="2"/>
  <c r="AZ650" i="2"/>
  <c r="AZ664" i="2"/>
  <c r="AZ575" i="2"/>
  <c r="AZ592" i="2"/>
  <c r="AZ603" i="2"/>
  <c r="AZ606" i="2"/>
  <c r="AZ617" i="2"/>
  <c r="AZ628" i="2"/>
  <c r="AZ631" i="2"/>
  <c r="AZ642" i="2"/>
  <c r="AZ656" i="2"/>
  <c r="AZ6" i="2"/>
  <c r="AZ9" i="2"/>
  <c r="AZ22" i="2"/>
  <c r="AZ25" i="2"/>
  <c r="D25" i="2" s="1"/>
  <c r="AZ38" i="2"/>
  <c r="AZ41" i="2"/>
  <c r="AZ54" i="2"/>
  <c r="AZ57" i="2"/>
  <c r="AZ70" i="2"/>
  <c r="AZ73" i="2"/>
  <c r="AZ86" i="2"/>
  <c r="AZ89" i="2"/>
  <c r="AZ102" i="2"/>
  <c r="AZ105" i="2"/>
  <c r="AZ118" i="2"/>
  <c r="AZ121" i="2"/>
  <c r="AZ134" i="2"/>
  <c r="AZ137" i="2"/>
  <c r="AZ150" i="2"/>
  <c r="AZ153" i="2"/>
  <c r="AZ166" i="2"/>
  <c r="AZ169" i="2"/>
  <c r="AZ182" i="2"/>
  <c r="AZ185" i="2"/>
  <c r="AZ198" i="2"/>
  <c r="AZ201" i="2"/>
  <c r="AZ214" i="2"/>
  <c r="AZ217" i="2"/>
  <c r="AZ230" i="2"/>
  <c r="AZ233" i="2"/>
  <c r="AZ246" i="2"/>
  <c r="AZ249" i="2"/>
  <c r="AZ262" i="2"/>
  <c r="AZ265" i="2"/>
  <c r="AZ278" i="2"/>
  <c r="AZ281" i="2"/>
  <c r="AZ294" i="2"/>
  <c r="AZ297" i="2"/>
  <c r="AZ310" i="2"/>
  <c r="AZ313" i="2"/>
  <c r="AZ326" i="2"/>
  <c r="D326" i="2" s="1"/>
  <c r="AZ329" i="2"/>
  <c r="AZ342" i="2"/>
  <c r="AZ345" i="2"/>
  <c r="AZ358" i="2"/>
  <c r="AZ361" i="2"/>
  <c r="AZ374" i="2"/>
  <c r="D374" i="2" s="1"/>
  <c r="AZ377" i="2"/>
  <c r="AZ390" i="2"/>
  <c r="AZ393" i="2"/>
  <c r="AZ406" i="2"/>
  <c r="AZ409" i="2"/>
  <c r="AZ422" i="2"/>
  <c r="AZ425" i="2"/>
  <c r="AZ438" i="2"/>
  <c r="D438" i="2" s="1"/>
  <c r="AZ441" i="2"/>
  <c r="AZ454" i="2"/>
  <c r="AZ457" i="2"/>
  <c r="AZ470" i="2"/>
  <c r="AZ473" i="2"/>
  <c r="AZ486" i="2"/>
  <c r="AZ489" i="2"/>
  <c r="AZ502" i="2"/>
  <c r="AZ505" i="2"/>
  <c r="AZ518" i="2"/>
  <c r="AZ521" i="2"/>
  <c r="AZ534" i="2"/>
  <c r="AZ537" i="2"/>
  <c r="AZ550" i="2"/>
  <c r="AZ553" i="2"/>
  <c r="AZ566" i="2"/>
  <c r="AZ569" i="2"/>
  <c r="AZ578" i="2"/>
  <c r="AZ584" i="2"/>
  <c r="AZ595" i="2"/>
  <c r="AZ598" i="2"/>
  <c r="AZ609" i="2"/>
  <c r="AZ620" i="2"/>
  <c r="AZ623" i="2"/>
  <c r="AZ634" i="2"/>
  <c r="AZ648" i="2"/>
  <c r="AZ659" i="2"/>
  <c r="AZ662" i="2"/>
  <c r="AZ673" i="2"/>
  <c r="AZ684" i="2"/>
  <c r="AZ692" i="2"/>
  <c r="AZ700" i="2"/>
  <c r="AZ708" i="2"/>
  <c r="AZ716" i="2"/>
  <c r="AZ724" i="2"/>
  <c r="AZ732" i="2"/>
  <c r="AZ740" i="2"/>
  <c r="AZ748" i="2"/>
  <c r="AZ756" i="2"/>
  <c r="AZ764" i="2"/>
  <c r="AZ772" i="2"/>
  <c r="AZ780" i="2"/>
  <c r="AZ788" i="2"/>
  <c r="AZ796" i="2"/>
  <c r="AZ804" i="2"/>
  <c r="AZ812" i="2"/>
  <c r="AZ820" i="2"/>
  <c r="AZ828" i="2"/>
  <c r="AZ836" i="2"/>
  <c r="AZ844" i="2"/>
  <c r="AZ852" i="2"/>
  <c r="AZ860" i="2"/>
  <c r="AZ868" i="2"/>
  <c r="AZ876" i="2"/>
  <c r="AZ884" i="2"/>
  <c r="AZ892" i="2"/>
  <c r="AZ900" i="2"/>
  <c r="J130" i="2"/>
  <c r="AZ16" i="2"/>
  <c r="AZ19" i="2"/>
  <c r="AZ48" i="2"/>
  <c r="AZ51" i="2"/>
  <c r="AZ80" i="2"/>
  <c r="AZ83" i="2"/>
  <c r="AZ112" i="2"/>
  <c r="AZ115" i="2"/>
  <c r="AZ144" i="2"/>
  <c r="D144" i="2" s="1"/>
  <c r="AZ147" i="2"/>
  <c r="AZ176" i="2"/>
  <c r="AZ179" i="2"/>
  <c r="AZ208" i="2"/>
  <c r="AZ211" i="2"/>
  <c r="AZ240" i="2"/>
  <c r="AZ243" i="2"/>
  <c r="AZ272" i="2"/>
  <c r="AZ275" i="2"/>
  <c r="AZ304" i="2"/>
  <c r="AZ307" i="2"/>
  <c r="AZ336" i="2"/>
  <c r="AZ339" i="2"/>
  <c r="AZ368" i="2"/>
  <c r="AZ371" i="2"/>
  <c r="AZ400" i="2"/>
  <c r="AZ403" i="2"/>
  <c r="AZ432" i="2"/>
  <c r="AZ435" i="2"/>
  <c r="AZ464" i="2"/>
  <c r="AZ467" i="2"/>
  <c r="AZ496" i="2"/>
  <c r="AZ499" i="2"/>
  <c r="AZ528" i="2"/>
  <c r="AZ531" i="2"/>
  <c r="D531" i="2" s="1"/>
  <c r="AZ560" i="2"/>
  <c r="AZ563" i="2"/>
  <c r="AZ607" i="2"/>
  <c r="AZ624" i="2"/>
  <c r="AZ627" i="2"/>
  <c r="AZ663" i="2"/>
  <c r="AZ666" i="2"/>
  <c r="AZ675" i="2"/>
  <c r="AZ678" i="2"/>
  <c r="AZ698" i="2"/>
  <c r="AZ701" i="2"/>
  <c r="AZ712" i="2"/>
  <c r="AZ723" i="2"/>
  <c r="AZ726" i="2"/>
  <c r="AZ737" i="2"/>
  <c r="AZ751" i="2"/>
  <c r="AZ762" i="2"/>
  <c r="AZ765" i="2"/>
  <c r="AZ776" i="2"/>
  <c r="AZ787" i="2"/>
  <c r="AZ790" i="2"/>
  <c r="AZ801" i="2"/>
  <c r="AZ815" i="2"/>
  <c r="AZ826" i="2"/>
  <c r="AZ829" i="2"/>
  <c r="AZ840" i="2"/>
  <c r="AZ851" i="2"/>
  <c r="AZ854" i="2"/>
  <c r="AZ865" i="2"/>
  <c r="AZ879" i="2"/>
  <c r="AZ890" i="2"/>
  <c r="AZ893" i="2"/>
  <c r="AZ858" i="2"/>
  <c r="K130" i="2"/>
  <c r="AZ655" i="2"/>
  <c r="AZ725" i="2"/>
  <c r="AZ736" i="2"/>
  <c r="AZ775" i="2"/>
  <c r="AZ786" i="2"/>
  <c r="AZ800" i="2"/>
  <c r="AZ814" i="2"/>
  <c r="AZ878" i="2"/>
  <c r="AZ889" i="2"/>
  <c r="AZ593" i="2"/>
  <c r="AZ680" i="2"/>
  <c r="AZ728" i="2"/>
  <c r="AZ742" i="2"/>
  <c r="AZ803" i="2"/>
  <c r="AZ817" i="2"/>
  <c r="AZ831" i="2"/>
  <c r="AZ845" i="2"/>
  <c r="AZ33" i="2"/>
  <c r="AZ65" i="2"/>
  <c r="AZ193" i="2"/>
  <c r="AZ222" i="2"/>
  <c r="AZ257" i="2"/>
  <c r="AZ289" i="2"/>
  <c r="AZ318" i="2"/>
  <c r="AZ449" i="2"/>
  <c r="AZ481" i="2"/>
  <c r="AZ513" i="2"/>
  <c r="AZ643" i="2"/>
  <c r="AZ709" i="2"/>
  <c r="AZ720" i="2"/>
  <c r="AZ734" i="2"/>
  <c r="AZ585" i="2"/>
  <c r="AZ588" i="2"/>
  <c r="AZ591" i="2"/>
  <c r="AZ601" i="2"/>
  <c r="AZ604" i="2"/>
  <c r="AZ660" i="2"/>
  <c r="AZ681" i="2"/>
  <c r="AZ687" i="2"/>
  <c r="AZ693" i="2"/>
  <c r="AZ704" i="2"/>
  <c r="AZ715" i="2"/>
  <c r="AZ718" i="2"/>
  <c r="AZ729" i="2"/>
  <c r="AZ743" i="2"/>
  <c r="AZ754" i="2"/>
  <c r="AZ757" i="2"/>
  <c r="AZ768" i="2"/>
  <c r="AZ779" i="2"/>
  <c r="AZ782" i="2"/>
  <c r="AZ793" i="2"/>
  <c r="AZ807" i="2"/>
  <c r="AZ818" i="2"/>
  <c r="AZ821" i="2"/>
  <c r="AZ832" i="2"/>
  <c r="AZ843" i="2"/>
  <c r="AZ846" i="2"/>
  <c r="AZ857" i="2"/>
  <c r="AZ871" i="2"/>
  <c r="AZ882" i="2"/>
  <c r="AZ885" i="2"/>
  <c r="AZ896" i="2"/>
  <c r="AZ649" i="2"/>
  <c r="AZ789" i="2"/>
  <c r="AZ850" i="2"/>
  <c r="AZ864" i="2"/>
  <c r="AZ875" i="2"/>
  <c r="AZ590" i="2"/>
  <c r="AZ671" i="2"/>
  <c r="AZ703" i="2"/>
  <c r="AZ714" i="2"/>
  <c r="AZ778" i="2"/>
  <c r="AZ870" i="2"/>
  <c r="M130" i="2"/>
  <c r="AZ97" i="2"/>
  <c r="AZ129" i="2"/>
  <c r="AZ225" i="2"/>
  <c r="AZ254" i="2"/>
  <c r="AZ321" i="2"/>
  <c r="AZ350" i="2"/>
  <c r="AZ382" i="2"/>
  <c r="AZ542" i="2"/>
  <c r="AZ610" i="2"/>
  <c r="AZ695" i="2"/>
  <c r="AZ706" i="2"/>
  <c r="AZ759" i="2"/>
  <c r="AZ770" i="2"/>
  <c r="AZ582" i="2"/>
  <c r="AZ638" i="2"/>
  <c r="AZ641" i="2"/>
  <c r="AZ651" i="2"/>
  <c r="AZ654" i="2"/>
  <c r="AZ657" i="2"/>
  <c r="AZ690" i="2"/>
  <c r="AZ696" i="2"/>
  <c r="AZ707" i="2"/>
  <c r="AZ710" i="2"/>
  <c r="AZ721" i="2"/>
  <c r="AZ735" i="2"/>
  <c r="AZ746" i="2"/>
  <c r="AZ749" i="2"/>
  <c r="AZ760" i="2"/>
  <c r="AZ771" i="2"/>
  <c r="AZ774" i="2"/>
  <c r="AZ785" i="2"/>
  <c r="AZ799" i="2"/>
  <c r="AZ810" i="2"/>
  <c r="AZ813" i="2"/>
  <c r="AZ824" i="2"/>
  <c r="AZ835" i="2"/>
  <c r="AZ838" i="2"/>
  <c r="AZ849" i="2"/>
  <c r="AZ863" i="2"/>
  <c r="AZ874" i="2"/>
  <c r="AZ877" i="2"/>
  <c r="AZ888" i="2"/>
  <c r="AZ899" i="2"/>
  <c r="AZ632" i="2"/>
  <c r="AZ872" i="2"/>
  <c r="AZ883" i="2"/>
  <c r="AZ897" i="2"/>
  <c r="AZ652" i="2"/>
  <c r="AZ750" i="2"/>
  <c r="AZ761" i="2"/>
  <c r="AZ616" i="2"/>
  <c r="AZ668" i="2"/>
  <c r="AZ686" i="2"/>
  <c r="AZ767" i="2"/>
  <c r="AZ62" i="2"/>
  <c r="AZ94" i="2"/>
  <c r="AZ126" i="2"/>
  <c r="AZ158" i="2"/>
  <c r="AZ190" i="2"/>
  <c r="AZ385" i="2"/>
  <c r="AZ414" i="2"/>
  <c r="AZ478" i="2"/>
  <c r="AZ510" i="2"/>
  <c r="AZ574" i="2"/>
  <c r="AZ689" i="2"/>
  <c r="AZ773" i="2"/>
  <c r="AZ798" i="2"/>
  <c r="AZ14" i="2"/>
  <c r="D14" i="2" s="1"/>
  <c r="AZ17" i="2"/>
  <c r="AZ46" i="2"/>
  <c r="AZ49" i="2"/>
  <c r="AZ78" i="2"/>
  <c r="AZ81" i="2"/>
  <c r="AZ110" i="2"/>
  <c r="AZ113" i="2"/>
  <c r="AZ142" i="2"/>
  <c r="AZ145" i="2"/>
  <c r="AZ174" i="2"/>
  <c r="AZ177" i="2"/>
  <c r="AZ206" i="2"/>
  <c r="AZ209" i="2"/>
  <c r="AZ238" i="2"/>
  <c r="AZ241" i="2"/>
  <c r="AZ270" i="2"/>
  <c r="AZ273" i="2"/>
  <c r="AZ302" i="2"/>
  <c r="AZ305" i="2"/>
  <c r="AZ334" i="2"/>
  <c r="AZ337" i="2"/>
  <c r="AZ366" i="2"/>
  <c r="AZ369" i="2"/>
  <c r="D369" i="2" s="1"/>
  <c r="AZ398" i="2"/>
  <c r="AZ401" i="2"/>
  <c r="AZ430" i="2"/>
  <c r="AZ433" i="2"/>
  <c r="D433" i="2" s="1"/>
  <c r="AZ462" i="2"/>
  <c r="AZ465" i="2"/>
  <c r="AZ494" i="2"/>
  <c r="AZ497" i="2"/>
  <c r="AZ526" i="2"/>
  <c r="AZ529" i="2"/>
  <c r="AZ558" i="2"/>
  <c r="AZ561" i="2"/>
  <c r="AZ579" i="2"/>
  <c r="AZ615" i="2"/>
  <c r="AZ618" i="2"/>
  <c r="AZ635" i="2"/>
  <c r="AZ667" i="2"/>
  <c r="AZ670" i="2"/>
  <c r="AZ676" i="2"/>
  <c r="AZ679" i="2"/>
  <c r="AZ685" i="2"/>
  <c r="AZ699" i="2"/>
  <c r="AZ702" i="2"/>
  <c r="AZ713" i="2"/>
  <c r="AZ727" i="2"/>
  <c r="AZ738" i="2"/>
  <c r="AZ741" i="2"/>
  <c r="AZ752" i="2"/>
  <c r="AZ763" i="2"/>
  <c r="AZ766" i="2"/>
  <c r="AZ777" i="2"/>
  <c r="AZ791" i="2"/>
  <c r="AZ802" i="2"/>
  <c r="AZ805" i="2"/>
  <c r="AZ816" i="2"/>
  <c r="AZ827" i="2"/>
  <c r="AZ830" i="2"/>
  <c r="AZ841" i="2"/>
  <c r="AZ855" i="2"/>
  <c r="AZ866" i="2"/>
  <c r="AZ869" i="2"/>
  <c r="AZ880" i="2"/>
  <c r="AZ891" i="2"/>
  <c r="AZ894" i="2"/>
  <c r="I130" i="2"/>
  <c r="AZ3" i="2"/>
  <c r="AZ32" i="2"/>
  <c r="AZ35" i="2"/>
  <c r="AZ64" i="2"/>
  <c r="AZ67" i="2"/>
  <c r="AZ96" i="2"/>
  <c r="AZ99" i="2"/>
  <c r="AZ128" i="2"/>
  <c r="AZ131" i="2"/>
  <c r="AZ160" i="2"/>
  <c r="AZ163" i="2"/>
  <c r="AZ192" i="2"/>
  <c r="AZ195" i="2"/>
  <c r="AZ224" i="2"/>
  <c r="AZ227" i="2"/>
  <c r="AZ256" i="2"/>
  <c r="AZ259" i="2"/>
  <c r="AZ288" i="2"/>
  <c r="D288" i="2" s="1"/>
  <c r="AZ291" i="2"/>
  <c r="AZ320" i="2"/>
  <c r="AZ323" i="2"/>
  <c r="AZ352" i="2"/>
  <c r="AZ355" i="2"/>
  <c r="AZ384" i="2"/>
  <c r="AZ387" i="2"/>
  <c r="AZ416" i="2"/>
  <c r="AZ419" i="2"/>
  <c r="AZ448" i="2"/>
  <c r="AZ451" i="2"/>
  <c r="AZ480" i="2"/>
  <c r="AZ483" i="2"/>
  <c r="AZ512" i="2"/>
  <c r="AZ515" i="2"/>
  <c r="AZ544" i="2"/>
  <c r="AZ547" i="2"/>
  <c r="D547" i="2" s="1"/>
  <c r="AZ576" i="2"/>
  <c r="AZ599" i="2"/>
  <c r="AZ602" i="2"/>
  <c r="AZ612" i="2"/>
  <c r="AZ682" i="2"/>
  <c r="AZ688" i="2"/>
  <c r="AZ694" i="2"/>
  <c r="AZ705" i="2"/>
  <c r="AZ719" i="2"/>
  <c r="AZ730" i="2"/>
  <c r="AZ733" i="2"/>
  <c r="AZ744" i="2"/>
  <c r="AZ755" i="2"/>
  <c r="AZ758" i="2"/>
  <c r="AZ769" i="2"/>
  <c r="AZ783" i="2"/>
  <c r="AZ794" i="2"/>
  <c r="AZ797" i="2"/>
  <c r="AZ808" i="2"/>
  <c r="AZ819" i="2"/>
  <c r="AZ822" i="2"/>
  <c r="AZ833" i="2"/>
  <c r="AZ847" i="2"/>
  <c r="AZ861" i="2"/>
  <c r="AZ886" i="2"/>
  <c r="AZ596" i="2"/>
  <c r="AZ626" i="2"/>
  <c r="AZ665" i="2"/>
  <c r="AZ674" i="2"/>
  <c r="AZ697" i="2"/>
  <c r="AZ711" i="2"/>
  <c r="AZ722" i="2"/>
  <c r="AZ747" i="2"/>
  <c r="AZ811" i="2"/>
  <c r="AZ825" i="2"/>
  <c r="AZ839" i="2"/>
  <c r="AZ853" i="2"/>
  <c r="L130" i="2"/>
  <c r="AZ587" i="2"/>
  <c r="AZ646" i="2"/>
  <c r="AZ717" i="2"/>
  <c r="AZ739" i="2"/>
  <c r="AZ753" i="2"/>
  <c r="AZ781" i="2"/>
  <c r="AZ792" i="2"/>
  <c r="AZ806" i="2"/>
  <c r="AZ842" i="2"/>
  <c r="AZ856" i="2"/>
  <c r="AZ867" i="2"/>
  <c r="AZ881" i="2"/>
  <c r="AZ895" i="2"/>
  <c r="AZ30" i="2"/>
  <c r="AZ161" i="2"/>
  <c r="D161" i="2" s="1"/>
  <c r="AZ286" i="2"/>
  <c r="AZ353" i="2"/>
  <c r="D353" i="2" s="1"/>
  <c r="AZ417" i="2"/>
  <c r="D417" i="2" s="1"/>
  <c r="AZ446" i="2"/>
  <c r="D446" i="2" s="1"/>
  <c r="AZ545" i="2"/>
  <c r="AZ630" i="2"/>
  <c r="AZ640" i="2"/>
  <c r="AZ731" i="2"/>
  <c r="AZ745" i="2"/>
  <c r="AZ784" i="2"/>
  <c r="AZ795" i="2"/>
  <c r="AZ809" i="2"/>
  <c r="AZ823" i="2"/>
  <c r="AZ848" i="2"/>
  <c r="AZ901" i="2"/>
  <c r="AZ837" i="2"/>
  <c r="AZ898" i="2"/>
  <c r="AZ834" i="2"/>
  <c r="AZ887" i="2"/>
  <c r="N130" i="2"/>
  <c r="AZ873" i="2"/>
  <c r="AZ862" i="2"/>
  <c r="AZ859" i="2"/>
  <c r="P130" i="2"/>
  <c r="O130"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8" i="2"/>
  <c r="I70" i="2"/>
  <c r="M71" i="2"/>
  <c r="O72" i="2"/>
  <c r="O73" i="2"/>
  <c r="O74" i="2"/>
  <c r="O75" i="2"/>
  <c r="O76" i="2"/>
  <c r="O77" i="2"/>
  <c r="O78" i="2"/>
  <c r="O79" i="2"/>
  <c r="O80" i="2"/>
  <c r="O81" i="2"/>
  <c r="O82" i="2"/>
  <c r="O83" i="2"/>
  <c r="O84" i="2"/>
  <c r="O85" i="2"/>
  <c r="O86" i="2"/>
  <c r="O87" i="2"/>
  <c r="O88" i="2"/>
  <c r="O89" i="2"/>
  <c r="O90" i="2"/>
  <c r="O91" i="2"/>
  <c r="O92" i="2"/>
  <c r="O93" i="2"/>
  <c r="M95" i="2"/>
  <c r="I97" i="2"/>
  <c r="I99" i="2"/>
  <c r="I100" i="2"/>
  <c r="I101" i="2"/>
  <c r="I102" i="2"/>
  <c r="I103" i="2"/>
  <c r="I104" i="2"/>
  <c r="I105" i="2"/>
  <c r="I106" i="2"/>
  <c r="I107" i="2"/>
  <c r="I108" i="2"/>
  <c r="I109" i="2"/>
  <c r="I110" i="2"/>
  <c r="I111" i="2"/>
  <c r="M112" i="2"/>
  <c r="M115" i="2"/>
  <c r="M116" i="2"/>
  <c r="M117" i="2"/>
  <c r="M118" i="2"/>
  <c r="M119"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8" i="2"/>
  <c r="J70" i="2"/>
  <c r="N71" i="2"/>
  <c r="P72" i="2"/>
  <c r="P73" i="2"/>
  <c r="P74" i="2"/>
  <c r="P75" i="2"/>
  <c r="P76" i="2"/>
  <c r="P77" i="2"/>
  <c r="P78" i="2"/>
  <c r="P79" i="2"/>
  <c r="P80" i="2"/>
  <c r="P81" i="2"/>
  <c r="P82" i="2"/>
  <c r="P83" i="2"/>
  <c r="P84" i="2"/>
  <c r="P85" i="2"/>
  <c r="P86" i="2"/>
  <c r="P87" i="2"/>
  <c r="P88" i="2"/>
  <c r="P89" i="2"/>
  <c r="P90" i="2"/>
  <c r="P91" i="2"/>
  <c r="P92" i="2"/>
  <c r="P93" i="2"/>
  <c r="N95" i="2"/>
  <c r="J97" i="2"/>
  <c r="J99" i="2"/>
  <c r="J100" i="2"/>
  <c r="J101" i="2"/>
  <c r="J102" i="2"/>
  <c r="J103" i="2"/>
  <c r="J104" i="2"/>
  <c r="J105" i="2"/>
  <c r="J106" i="2"/>
  <c r="J107" i="2"/>
  <c r="J108" i="2"/>
  <c r="J109" i="2"/>
  <c r="J110" i="2"/>
  <c r="J111" i="2"/>
  <c r="N112" i="2"/>
  <c r="N115" i="2"/>
  <c r="N116" i="2"/>
  <c r="N117" i="2"/>
  <c r="N118" i="2"/>
  <c r="N119"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8" i="2"/>
  <c r="K70" i="2"/>
  <c r="I72" i="2"/>
  <c r="I73" i="2"/>
  <c r="I74" i="2"/>
  <c r="I75" i="2"/>
  <c r="I76" i="2"/>
  <c r="I77" i="2"/>
  <c r="I78" i="2"/>
  <c r="I79" i="2"/>
  <c r="I80" i="2"/>
  <c r="I81" i="2"/>
  <c r="I82" i="2"/>
  <c r="I83" i="2"/>
  <c r="I84" i="2"/>
  <c r="I85" i="2"/>
  <c r="I86" i="2"/>
  <c r="I87" i="2"/>
  <c r="I88" i="2"/>
  <c r="I89" i="2"/>
  <c r="I90" i="2"/>
  <c r="I91" i="2"/>
  <c r="I92" i="2"/>
  <c r="I93" i="2"/>
  <c r="M94" i="2"/>
  <c r="O95" i="2"/>
  <c r="K97" i="2"/>
  <c r="K99" i="2"/>
  <c r="K100"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8" i="2"/>
  <c r="M70" i="2"/>
  <c r="K72" i="2"/>
  <c r="K73" i="2"/>
  <c r="K74" i="2"/>
  <c r="K75" i="2"/>
  <c r="K76" i="2"/>
  <c r="K77" i="2"/>
  <c r="K78" i="2"/>
  <c r="K79" i="2"/>
  <c r="K80" i="2"/>
  <c r="K81" i="2"/>
  <c r="K82" i="2"/>
  <c r="K83" i="2"/>
  <c r="K84" i="2"/>
  <c r="K85" i="2"/>
  <c r="K86" i="2"/>
  <c r="K87" i="2"/>
  <c r="K88" i="2"/>
  <c r="K89" i="2"/>
  <c r="K90" i="2"/>
  <c r="K91" i="2"/>
  <c r="K92" i="2"/>
  <c r="K93" i="2"/>
  <c r="I95" i="2"/>
  <c r="I96" i="2"/>
  <c r="M97" i="2"/>
  <c r="M99" i="2"/>
  <c r="M100" i="2"/>
  <c r="M101" i="2"/>
  <c r="M102" i="2"/>
  <c r="M103" i="2"/>
  <c r="M104" i="2"/>
  <c r="M105" i="2"/>
  <c r="M106" i="2"/>
  <c r="M107" i="2"/>
  <c r="M108" i="2"/>
  <c r="M109" i="2"/>
  <c r="M110" i="2"/>
  <c r="M111" i="2"/>
  <c r="I115" i="2"/>
  <c r="I116" i="2"/>
  <c r="I117" i="2"/>
  <c r="I118" i="2"/>
  <c r="I119" i="2"/>
  <c r="I120" i="2"/>
  <c r="L28" i="2"/>
  <c r="L30" i="2"/>
  <c r="L32" i="2"/>
  <c r="L34" i="2"/>
  <c r="L36" i="2"/>
  <c r="L38" i="2"/>
  <c r="L40" i="2"/>
  <c r="L42" i="2"/>
  <c r="L44" i="2"/>
  <c r="L46" i="2"/>
  <c r="L48" i="2"/>
  <c r="L50" i="2"/>
  <c r="L52" i="2"/>
  <c r="L54" i="2"/>
  <c r="L56" i="2"/>
  <c r="L58" i="2"/>
  <c r="L60" i="2"/>
  <c r="L62" i="2"/>
  <c r="L64" i="2"/>
  <c r="L66" i="2"/>
  <c r="L70" i="2"/>
  <c r="J73" i="2"/>
  <c r="J75" i="2"/>
  <c r="J77" i="2"/>
  <c r="J79" i="2"/>
  <c r="J81" i="2"/>
  <c r="J83" i="2"/>
  <c r="J85" i="2"/>
  <c r="J87" i="2"/>
  <c r="J89" i="2"/>
  <c r="J91" i="2"/>
  <c r="J93" i="2"/>
  <c r="P95" i="2"/>
  <c r="L99" i="2"/>
  <c r="K101" i="2"/>
  <c r="O102" i="2"/>
  <c r="L104" i="2"/>
  <c r="P105" i="2"/>
  <c r="N107" i="2"/>
  <c r="K109" i="2"/>
  <c r="O110" i="2"/>
  <c r="N113" i="2"/>
  <c r="L116" i="2"/>
  <c r="J118" i="2"/>
  <c r="O119" i="2"/>
  <c r="P120" i="2"/>
  <c r="P121" i="2"/>
  <c r="P122" i="2"/>
  <c r="P123" i="2"/>
  <c r="P124" i="2"/>
  <c r="P125" i="2"/>
  <c r="P126" i="2"/>
  <c r="P127" i="2"/>
  <c r="P128" i="2"/>
  <c r="P129" i="2"/>
  <c r="P131" i="2"/>
  <c r="P132" i="2"/>
  <c r="P133" i="2"/>
  <c r="P134" i="2"/>
  <c r="P135" i="2"/>
  <c r="P136" i="2"/>
  <c r="P137" i="2"/>
  <c r="P138" i="2"/>
  <c r="P139" i="2"/>
  <c r="P140" i="2"/>
  <c r="P141" i="2"/>
  <c r="P142" i="2"/>
  <c r="P143" i="2"/>
  <c r="P144" i="2"/>
  <c r="P145" i="2"/>
  <c r="P146" i="2"/>
  <c r="N28" i="2"/>
  <c r="N30" i="2"/>
  <c r="N32" i="2"/>
  <c r="N34" i="2"/>
  <c r="N36" i="2"/>
  <c r="N38" i="2"/>
  <c r="N40" i="2"/>
  <c r="N42" i="2"/>
  <c r="N44" i="2"/>
  <c r="N46" i="2"/>
  <c r="N48" i="2"/>
  <c r="N50" i="2"/>
  <c r="N52" i="2"/>
  <c r="N54" i="2"/>
  <c r="N56" i="2"/>
  <c r="N58" i="2"/>
  <c r="N60" i="2"/>
  <c r="N62" i="2"/>
  <c r="N64" i="2"/>
  <c r="N66" i="2"/>
  <c r="N70" i="2"/>
  <c r="L73" i="2"/>
  <c r="L75" i="2"/>
  <c r="L77" i="2"/>
  <c r="L79" i="2"/>
  <c r="L81" i="2"/>
  <c r="L83" i="2"/>
  <c r="L85" i="2"/>
  <c r="L87" i="2"/>
  <c r="L89" i="2"/>
  <c r="L91" i="2"/>
  <c r="L93" i="2"/>
  <c r="J96" i="2"/>
  <c r="N99" i="2"/>
  <c r="L101" i="2"/>
  <c r="P102" i="2"/>
  <c r="N104" i="2"/>
  <c r="K106" i="2"/>
  <c r="O107" i="2"/>
  <c r="L109" i="2"/>
  <c r="P110" i="2"/>
  <c r="J115" i="2"/>
  <c r="O116" i="2"/>
  <c r="K118" i="2"/>
  <c r="P119" i="2"/>
  <c r="I121" i="2"/>
  <c r="I122" i="2"/>
  <c r="I123" i="2"/>
  <c r="I124" i="2"/>
  <c r="I125" i="2"/>
  <c r="I126" i="2"/>
  <c r="I127" i="2"/>
  <c r="I128" i="2"/>
  <c r="I129"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O28" i="2"/>
  <c r="O30" i="2"/>
  <c r="O32" i="2"/>
  <c r="O34" i="2"/>
  <c r="O36" i="2"/>
  <c r="O38" i="2"/>
  <c r="O40" i="2"/>
  <c r="O42" i="2"/>
  <c r="O44" i="2"/>
  <c r="O46" i="2"/>
  <c r="O48" i="2"/>
  <c r="O50" i="2"/>
  <c r="O52" i="2"/>
  <c r="O54" i="2"/>
  <c r="O56" i="2"/>
  <c r="L29" i="2"/>
  <c r="L31" i="2"/>
  <c r="L33" i="2"/>
  <c r="L35" i="2"/>
  <c r="L37" i="2"/>
  <c r="L39" i="2"/>
  <c r="L41" i="2"/>
  <c r="L43" i="2"/>
  <c r="L45" i="2"/>
  <c r="L47" i="2"/>
  <c r="L49" i="2"/>
  <c r="L51" i="2"/>
  <c r="L53" i="2"/>
  <c r="L55" i="2"/>
  <c r="L57" i="2"/>
  <c r="L59" i="2"/>
  <c r="L61" i="2"/>
  <c r="L63" i="2"/>
  <c r="L65" i="2"/>
  <c r="L68" i="2"/>
  <c r="J72" i="2"/>
  <c r="J74" i="2"/>
  <c r="J76" i="2"/>
  <c r="J78" i="2"/>
  <c r="J80" i="2"/>
  <c r="J82" i="2"/>
  <c r="J84" i="2"/>
  <c r="J86" i="2"/>
  <c r="J88" i="2"/>
  <c r="J90" i="2"/>
  <c r="J92" i="2"/>
  <c r="N94" i="2"/>
  <c r="L97" i="2"/>
  <c r="L100" i="2"/>
  <c r="P101" i="2"/>
  <c r="N103" i="2"/>
  <c r="K105" i="2"/>
  <c r="O106" i="2"/>
  <c r="L108" i="2"/>
  <c r="P109" i="2"/>
  <c r="N111" i="2"/>
  <c r="O115" i="2"/>
  <c r="K117" i="2"/>
  <c r="P118" i="2"/>
  <c r="L120" i="2"/>
  <c r="L121" i="2"/>
  <c r="L122" i="2"/>
  <c r="L123" i="2"/>
  <c r="L124" i="2"/>
  <c r="L125" i="2"/>
  <c r="L126" i="2"/>
  <c r="L127" i="2"/>
  <c r="L128" i="2"/>
  <c r="L129"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P28" i="2"/>
  <c r="P32" i="2"/>
  <c r="P36" i="2"/>
  <c r="P40" i="2"/>
  <c r="P44" i="2"/>
  <c r="P48" i="2"/>
  <c r="P52" i="2"/>
  <c r="P56" i="2"/>
  <c r="P59" i="2"/>
  <c r="N63" i="2"/>
  <c r="O66" i="2"/>
  <c r="M72" i="2"/>
  <c r="N75" i="2"/>
  <c r="N78" i="2"/>
  <c r="L82" i="2"/>
  <c r="M85" i="2"/>
  <c r="M88" i="2"/>
  <c r="N91" i="2"/>
  <c r="L95" i="2"/>
  <c r="N100" i="2"/>
  <c r="K103" i="2"/>
  <c r="N105" i="2"/>
  <c r="K108" i="2"/>
  <c r="N110" i="2"/>
  <c r="P115" i="2"/>
  <c r="L118" i="2"/>
  <c r="N120" i="2"/>
  <c r="K122" i="2"/>
  <c r="O123" i="2"/>
  <c r="M125" i="2"/>
  <c r="J127" i="2"/>
  <c r="N128" i="2"/>
  <c r="K131" i="2"/>
  <c r="O132" i="2"/>
  <c r="M134" i="2"/>
  <c r="J136" i="2"/>
  <c r="N137" i="2"/>
  <c r="K139" i="2"/>
  <c r="O140" i="2"/>
  <c r="M142" i="2"/>
  <c r="J144" i="2"/>
  <c r="N145" i="2"/>
  <c r="K147" i="2"/>
  <c r="N148" i="2"/>
  <c r="P149" i="2"/>
  <c r="K151" i="2"/>
  <c r="N152" i="2"/>
  <c r="P153" i="2"/>
  <c r="K155" i="2"/>
  <c r="N156" i="2"/>
  <c r="P157" i="2"/>
  <c r="K159" i="2"/>
  <c r="N160" i="2"/>
  <c r="P161"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N29" i="2"/>
  <c r="N33" i="2"/>
  <c r="N37" i="2"/>
  <c r="N41" i="2"/>
  <c r="N45" i="2"/>
  <c r="N49" i="2"/>
  <c r="N53" i="2"/>
  <c r="N57" i="2"/>
  <c r="O60" i="2"/>
  <c r="O63" i="2"/>
  <c r="P66" i="2"/>
  <c r="N72" i="2"/>
  <c r="L76" i="2"/>
  <c r="M79" i="2"/>
  <c r="M82" i="2"/>
  <c r="N85" i="2"/>
  <c r="N88" i="2"/>
  <c r="L92" i="2"/>
  <c r="K96" i="2"/>
  <c r="O100" i="2"/>
  <c r="L103" i="2"/>
  <c r="O105" i="2"/>
  <c r="N108" i="2"/>
  <c r="K111" i="2"/>
  <c r="J116" i="2"/>
  <c r="O118" i="2"/>
  <c r="O120" i="2"/>
  <c r="M122" i="2"/>
  <c r="J124" i="2"/>
  <c r="N125" i="2"/>
  <c r="K127" i="2"/>
  <c r="O128" i="2"/>
  <c r="M131" i="2"/>
  <c r="J133" i="2"/>
  <c r="N134" i="2"/>
  <c r="K136" i="2"/>
  <c r="O137" i="2"/>
  <c r="M139" i="2"/>
  <c r="J141" i="2"/>
  <c r="N142" i="2"/>
  <c r="K144" i="2"/>
  <c r="O145" i="2"/>
  <c r="M147" i="2"/>
  <c r="O148" i="2"/>
  <c r="J150" i="2"/>
  <c r="M151" i="2"/>
  <c r="O152" i="2"/>
  <c r="J154" i="2"/>
  <c r="M155" i="2"/>
  <c r="O156" i="2"/>
  <c r="J158" i="2"/>
  <c r="M159" i="2"/>
  <c r="O160"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7" i="2"/>
  <c r="O29" i="2"/>
  <c r="O33" i="2"/>
  <c r="O37" i="2"/>
  <c r="O41" i="2"/>
  <c r="O45" i="2"/>
  <c r="O49" i="2"/>
  <c r="O53" i="2"/>
  <c r="O57" i="2"/>
  <c r="P60" i="2"/>
  <c r="P63" i="2"/>
  <c r="N68" i="2"/>
  <c r="M73" i="2"/>
  <c r="M76" i="2"/>
  <c r="N79" i="2"/>
  <c r="N82" i="2"/>
  <c r="L86" i="2"/>
  <c r="M89" i="2"/>
  <c r="M92" i="2"/>
  <c r="L96" i="2"/>
  <c r="P100" i="2"/>
  <c r="O103" i="2"/>
  <c r="L106" i="2"/>
  <c r="O108" i="2"/>
  <c r="L111" i="2"/>
  <c r="K116" i="2"/>
  <c r="J119" i="2"/>
  <c r="J121" i="2"/>
  <c r="N122" i="2"/>
  <c r="K124" i="2"/>
  <c r="O125" i="2"/>
  <c r="M127" i="2"/>
  <c r="J129" i="2"/>
  <c r="P30" i="2"/>
  <c r="P34" i="2"/>
  <c r="P38" i="2"/>
  <c r="P42" i="2"/>
  <c r="P46" i="2"/>
  <c r="P50" i="2"/>
  <c r="P54" i="2"/>
  <c r="O58" i="2"/>
  <c r="O61" i="2"/>
  <c r="P64" i="2"/>
  <c r="P68" i="2"/>
  <c r="L74" i="2"/>
  <c r="M77" i="2"/>
  <c r="M80" i="2"/>
  <c r="N83" i="2"/>
  <c r="N86" i="2"/>
  <c r="L90" i="2"/>
  <c r="M93" i="2"/>
  <c r="O97" i="2"/>
  <c r="O101" i="2"/>
  <c r="K104" i="2"/>
  <c r="P106" i="2"/>
  <c r="N109" i="2"/>
  <c r="P111" i="2"/>
  <c r="J117" i="2"/>
  <c r="L119" i="2"/>
  <c r="M121" i="2"/>
  <c r="J123" i="2"/>
  <c r="N124" i="2"/>
  <c r="K126" i="2"/>
  <c r="O127" i="2"/>
  <c r="M129" i="2"/>
  <c r="J132" i="2"/>
  <c r="N133" i="2"/>
  <c r="K135" i="2"/>
  <c r="O136" i="2"/>
  <c r="M138" i="2"/>
  <c r="J140" i="2"/>
  <c r="N141" i="2"/>
  <c r="K143" i="2"/>
  <c r="O144" i="2"/>
  <c r="M146" i="2"/>
  <c r="P147" i="2"/>
  <c r="K149" i="2"/>
  <c r="N150" i="2"/>
  <c r="P151" i="2"/>
  <c r="K153" i="2"/>
  <c r="N154" i="2"/>
  <c r="P155" i="2"/>
  <c r="K157" i="2"/>
  <c r="N158" i="2"/>
  <c r="P159" i="2"/>
  <c r="K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7" i="2"/>
  <c r="P29" i="2"/>
  <c r="P37" i="2"/>
  <c r="P45" i="2"/>
  <c r="P53" i="2"/>
  <c r="N61" i="2"/>
  <c r="O68" i="2"/>
  <c r="N76" i="2"/>
  <c r="M83" i="2"/>
  <c r="N89" i="2"/>
  <c r="N97" i="2"/>
  <c r="P103" i="2"/>
  <c r="P108" i="2"/>
  <c r="P116" i="2"/>
  <c r="K121" i="2"/>
  <c r="M124" i="2"/>
  <c r="N127" i="2"/>
  <c r="N131" i="2"/>
  <c r="J134" i="2"/>
  <c r="N136" i="2"/>
  <c r="J139" i="2"/>
  <c r="O141" i="2"/>
  <c r="M144" i="2"/>
  <c r="O146" i="2"/>
  <c r="J149" i="2"/>
  <c r="J151" i="2"/>
  <c r="M153" i="2"/>
  <c r="N155" i="2"/>
  <c r="N157" i="2"/>
  <c r="O159" i="2"/>
  <c r="O161" i="2"/>
  <c r="N163" i="2"/>
  <c r="K165" i="2"/>
  <c r="O166" i="2"/>
  <c r="L168" i="2"/>
  <c r="P169" i="2"/>
  <c r="N171" i="2"/>
  <c r="K173" i="2"/>
  <c r="O174" i="2"/>
  <c r="L176" i="2"/>
  <c r="P177" i="2"/>
  <c r="N179" i="2"/>
  <c r="K181" i="2"/>
  <c r="O182" i="2"/>
  <c r="L184" i="2"/>
  <c r="P185" i="2"/>
  <c r="N187" i="2"/>
  <c r="K189" i="2"/>
  <c r="O190" i="2"/>
  <c r="L192" i="2"/>
  <c r="P193" i="2"/>
  <c r="K195" i="2"/>
  <c r="N196" i="2"/>
  <c r="P197" i="2"/>
  <c r="K199" i="2"/>
  <c r="N200" i="2"/>
  <c r="P201" i="2"/>
  <c r="K203" i="2"/>
  <c r="N204" i="2"/>
  <c r="P205" i="2"/>
  <c r="K207" i="2"/>
  <c r="N208" i="2"/>
  <c r="P209" i="2"/>
  <c r="K211" i="2"/>
  <c r="N212" i="2"/>
  <c r="P213" i="2"/>
  <c r="K215" i="2"/>
  <c r="N216" i="2"/>
  <c r="P217" i="2"/>
  <c r="K219" i="2"/>
  <c r="N220" i="2"/>
  <c r="P221" i="2"/>
  <c r="K223" i="2"/>
  <c r="N224" i="2"/>
  <c r="P225" i="2"/>
  <c r="K227" i="2"/>
  <c r="N228" i="2"/>
  <c r="P229" i="2"/>
  <c r="N31" i="2"/>
  <c r="N39" i="2"/>
  <c r="N47" i="2"/>
  <c r="N55" i="2"/>
  <c r="P61" i="2"/>
  <c r="O70" i="2"/>
  <c r="N77" i="2"/>
  <c r="L84" i="2"/>
  <c r="M90" i="2"/>
  <c r="P97" i="2"/>
  <c r="O104" i="2"/>
  <c r="O109" i="2"/>
  <c r="L117" i="2"/>
  <c r="N121" i="2"/>
  <c r="O124" i="2"/>
  <c r="J128" i="2"/>
  <c r="O131" i="2"/>
  <c r="K134" i="2"/>
  <c r="J137" i="2"/>
  <c r="N139" i="2"/>
  <c r="J142" i="2"/>
  <c r="N144" i="2"/>
  <c r="J147" i="2"/>
  <c r="M149" i="2"/>
  <c r="N151" i="2"/>
  <c r="N153" i="2"/>
  <c r="O155" i="2"/>
  <c r="O157" i="2"/>
  <c r="J160" i="2"/>
  <c r="K162" i="2"/>
  <c r="O163" i="2"/>
  <c r="L165" i="2"/>
  <c r="P166" i="2"/>
  <c r="N168" i="2"/>
  <c r="K170" i="2"/>
  <c r="O171" i="2"/>
  <c r="L173" i="2"/>
  <c r="P174" i="2"/>
  <c r="N176" i="2"/>
  <c r="K178" i="2"/>
  <c r="O179" i="2"/>
  <c r="L181" i="2"/>
  <c r="P182" i="2"/>
  <c r="N184" i="2"/>
  <c r="K186" i="2"/>
  <c r="O187" i="2"/>
  <c r="L189" i="2"/>
  <c r="P190" i="2"/>
  <c r="N192" i="2"/>
  <c r="I194" i="2"/>
  <c r="L195" i="2"/>
  <c r="O196" i="2"/>
  <c r="I198" i="2"/>
  <c r="L199" i="2"/>
  <c r="O200" i="2"/>
  <c r="I202" i="2"/>
  <c r="L203" i="2"/>
  <c r="O204" i="2"/>
  <c r="I206" i="2"/>
  <c r="L207" i="2"/>
  <c r="O208" i="2"/>
  <c r="I210" i="2"/>
  <c r="L211" i="2"/>
  <c r="O212" i="2"/>
  <c r="I214" i="2"/>
  <c r="L215" i="2"/>
  <c r="O216" i="2"/>
  <c r="I218" i="2"/>
  <c r="L219" i="2"/>
  <c r="O220" i="2"/>
  <c r="I222" i="2"/>
  <c r="L223" i="2"/>
  <c r="O224" i="2"/>
  <c r="I226" i="2"/>
  <c r="L227" i="2"/>
  <c r="O228" i="2"/>
  <c r="I27" i="2"/>
  <c r="O31" i="2"/>
  <c r="O39" i="2"/>
  <c r="O47" i="2"/>
  <c r="O55" i="2"/>
  <c r="O62" i="2"/>
  <c r="P70" i="2"/>
  <c r="L78" i="2"/>
  <c r="M84" i="2"/>
  <c r="N90" i="2"/>
  <c r="O99" i="2"/>
  <c r="P104" i="2"/>
  <c r="K110" i="2"/>
  <c r="O117" i="2"/>
  <c r="O121" i="2"/>
  <c r="J125" i="2"/>
  <c r="K128" i="2"/>
  <c r="K132" i="2"/>
  <c r="O134" i="2"/>
  <c r="K137" i="2"/>
  <c r="O139" i="2"/>
  <c r="K142" i="2"/>
  <c r="J145" i="2"/>
  <c r="N147" i="2"/>
  <c r="N149" i="2"/>
  <c r="O151" i="2"/>
  <c r="O153" i="2"/>
  <c r="J156" i="2"/>
  <c r="K158" i="2"/>
  <c r="K160" i="2"/>
  <c r="L162" i="2"/>
  <c r="P163" i="2"/>
  <c r="N165" i="2"/>
  <c r="K167" i="2"/>
  <c r="O168" i="2"/>
  <c r="L170" i="2"/>
  <c r="P171" i="2"/>
  <c r="N173" i="2"/>
  <c r="K175" i="2"/>
  <c r="O176" i="2"/>
  <c r="L178" i="2"/>
  <c r="P179" i="2"/>
  <c r="N181" i="2"/>
  <c r="K183" i="2"/>
  <c r="O184" i="2"/>
  <c r="L186" i="2"/>
  <c r="P187" i="2"/>
  <c r="N189" i="2"/>
  <c r="K191" i="2"/>
  <c r="O192" i="2"/>
  <c r="K194" i="2"/>
  <c r="N195" i="2"/>
  <c r="P196" i="2"/>
  <c r="K198" i="2"/>
  <c r="N199" i="2"/>
  <c r="P200" i="2"/>
  <c r="K202" i="2"/>
  <c r="N203" i="2"/>
  <c r="P204" i="2"/>
  <c r="K206" i="2"/>
  <c r="N207" i="2"/>
  <c r="P208" i="2"/>
  <c r="K210" i="2"/>
  <c r="N211" i="2"/>
  <c r="P212" i="2"/>
  <c r="K214" i="2"/>
  <c r="N215" i="2"/>
  <c r="P216" i="2"/>
  <c r="K218" i="2"/>
  <c r="N219" i="2"/>
  <c r="P220" i="2"/>
  <c r="K222" i="2"/>
  <c r="N223" i="2"/>
  <c r="P224" i="2"/>
  <c r="K226" i="2"/>
  <c r="N227" i="2"/>
  <c r="P228" i="2"/>
  <c r="K27" i="2"/>
  <c r="N35" i="2"/>
  <c r="N43" i="2"/>
  <c r="N51" i="2"/>
  <c r="P58" i="2"/>
  <c r="N65" i="2"/>
  <c r="M74" i="2"/>
  <c r="N80" i="2"/>
  <c r="M87" i="2"/>
  <c r="N93" i="2"/>
  <c r="K102" i="2"/>
  <c r="K107" i="2"/>
  <c r="M113" i="2"/>
  <c r="J120" i="2"/>
  <c r="K123" i="2"/>
  <c r="M126" i="2"/>
  <c r="N129" i="2"/>
  <c r="K133" i="2"/>
  <c r="N135" i="2"/>
  <c r="K138" i="2"/>
  <c r="N140" i="2"/>
  <c r="M143" i="2"/>
  <c r="J146" i="2"/>
  <c r="K148" i="2"/>
  <c r="M150" i="2"/>
  <c r="M152" i="2"/>
  <c r="O154" i="2"/>
  <c r="P156" i="2"/>
  <c r="P158" i="2"/>
  <c r="J161" i="2"/>
  <c r="P162" i="2"/>
  <c r="N164" i="2"/>
  <c r="K166" i="2"/>
  <c r="O167" i="2"/>
  <c r="L169" i="2"/>
  <c r="P170" i="2"/>
  <c r="N172" i="2"/>
  <c r="K174" i="2"/>
  <c r="O175" i="2"/>
  <c r="L177" i="2"/>
  <c r="P178" i="2"/>
  <c r="N180" i="2"/>
  <c r="K182" i="2"/>
  <c r="O183" i="2"/>
  <c r="L185" i="2"/>
  <c r="P186" i="2"/>
  <c r="N188" i="2"/>
  <c r="K190" i="2"/>
  <c r="O191" i="2"/>
  <c r="L193" i="2"/>
  <c r="O194" i="2"/>
  <c r="I196" i="2"/>
  <c r="L197" i="2"/>
  <c r="O198" i="2"/>
  <c r="I200" i="2"/>
  <c r="L201" i="2"/>
  <c r="O202" i="2"/>
  <c r="I204" i="2"/>
  <c r="L205" i="2"/>
  <c r="O206" i="2"/>
  <c r="I208" i="2"/>
  <c r="L209" i="2"/>
  <c r="O210" i="2"/>
  <c r="I212" i="2"/>
  <c r="L213" i="2"/>
  <c r="O214" i="2"/>
  <c r="I216" i="2"/>
  <c r="L217" i="2"/>
  <c r="O218" i="2"/>
  <c r="I220" i="2"/>
  <c r="L221" i="2"/>
  <c r="O222" i="2"/>
  <c r="I224" i="2"/>
  <c r="L225" i="2"/>
  <c r="O226" i="2"/>
  <c r="I228" i="2"/>
  <c r="L229" i="2"/>
  <c r="O27" i="2"/>
  <c r="P31" i="2"/>
  <c r="P47" i="2"/>
  <c r="P62" i="2"/>
  <c r="M78" i="2"/>
  <c r="M91" i="2"/>
  <c r="L105" i="2"/>
  <c r="P117" i="2"/>
  <c r="K125" i="2"/>
  <c r="M132" i="2"/>
  <c r="M137" i="2"/>
  <c r="O142" i="2"/>
  <c r="O147" i="2"/>
  <c r="J152" i="2"/>
  <c r="K156" i="2"/>
  <c r="M160" i="2"/>
  <c r="K164" i="2"/>
  <c r="L167" i="2"/>
  <c r="N170" i="2"/>
  <c r="O173" i="2"/>
  <c r="P176" i="2"/>
  <c r="K180" i="2"/>
  <c r="L183" i="2"/>
  <c r="N186" i="2"/>
  <c r="O189" i="2"/>
  <c r="P192" i="2"/>
  <c r="O195" i="2"/>
  <c r="L198" i="2"/>
  <c r="I201" i="2"/>
  <c r="O203" i="2"/>
  <c r="L206" i="2"/>
  <c r="I209" i="2"/>
  <c r="O211" i="2"/>
  <c r="L214" i="2"/>
  <c r="I217" i="2"/>
  <c r="O219" i="2"/>
  <c r="L222" i="2"/>
  <c r="I225" i="2"/>
  <c r="O227" i="2"/>
  <c r="L27" i="2"/>
  <c r="P33" i="2"/>
  <c r="P49" i="2"/>
  <c r="O64" i="2"/>
  <c r="L80" i="2"/>
  <c r="N92" i="2"/>
  <c r="N106" i="2"/>
  <c r="K119" i="2"/>
  <c r="J126" i="2"/>
  <c r="N132" i="2"/>
  <c r="J138" i="2"/>
  <c r="J143" i="2"/>
  <c r="J148" i="2"/>
  <c r="K152" i="2"/>
  <c r="M156" i="2"/>
  <c r="P160" i="2"/>
  <c r="L164" i="2"/>
  <c r="N167" i="2"/>
  <c r="O170" i="2"/>
  <c r="P173" i="2"/>
  <c r="K177" i="2"/>
  <c r="L180" i="2"/>
  <c r="N183" i="2"/>
  <c r="O186" i="2"/>
  <c r="P189" i="2"/>
  <c r="K193" i="2"/>
  <c r="P195" i="2"/>
  <c r="N198" i="2"/>
  <c r="K201" i="2"/>
  <c r="P203" i="2"/>
  <c r="N206" i="2"/>
  <c r="K209" i="2"/>
  <c r="P211" i="2"/>
  <c r="N214" i="2"/>
  <c r="K217" i="2"/>
  <c r="P219" i="2"/>
  <c r="N222" i="2"/>
  <c r="K225" i="2"/>
  <c r="P227" i="2"/>
  <c r="N27" i="2"/>
  <c r="O35" i="2"/>
  <c r="O51" i="2"/>
  <c r="O65" i="2"/>
  <c r="M81" i="2"/>
  <c r="J95" i="2"/>
  <c r="L107" i="2"/>
  <c r="K120" i="2"/>
  <c r="N126" i="2"/>
  <c r="M133" i="2"/>
  <c r="N138" i="2"/>
  <c r="N143" i="2"/>
  <c r="M148" i="2"/>
  <c r="P152" i="2"/>
  <c r="J157" i="2"/>
  <c r="M161" i="2"/>
  <c r="O164" i="2"/>
  <c r="P167" i="2"/>
  <c r="K171" i="2"/>
  <c r="L174" i="2"/>
  <c r="N177" i="2"/>
  <c r="O180" i="2"/>
  <c r="P183" i="2"/>
  <c r="K187" i="2"/>
  <c r="L190" i="2"/>
  <c r="N193" i="2"/>
  <c r="K196" i="2"/>
  <c r="P198" i="2"/>
  <c r="N201" i="2"/>
  <c r="K204" i="2"/>
  <c r="P206" i="2"/>
  <c r="N209" i="2"/>
  <c r="K212" i="2"/>
  <c r="P214" i="2"/>
  <c r="N217" i="2"/>
  <c r="K220" i="2"/>
  <c r="P222" i="2"/>
  <c r="N225" i="2"/>
  <c r="K228" i="2"/>
  <c r="P27" i="2"/>
  <c r="P35" i="2"/>
  <c r="P51" i="2"/>
  <c r="P65" i="2"/>
  <c r="N81" i="2"/>
  <c r="K95" i="2"/>
  <c r="P107" i="2"/>
  <c r="M120" i="2"/>
  <c r="O126" i="2"/>
  <c r="O133" i="2"/>
  <c r="O138" i="2"/>
  <c r="O143" i="2"/>
  <c r="P148" i="2"/>
  <c r="J153" i="2"/>
  <c r="M157" i="2"/>
  <c r="N161" i="2"/>
  <c r="P164" i="2"/>
  <c r="K168" i="2"/>
  <c r="L171" i="2"/>
  <c r="N174" i="2"/>
  <c r="O177" i="2"/>
  <c r="P180" i="2"/>
  <c r="K184" i="2"/>
  <c r="L187" i="2"/>
  <c r="N190" i="2"/>
  <c r="O193" i="2"/>
  <c r="L196" i="2"/>
  <c r="I199" i="2"/>
  <c r="O201" i="2"/>
  <c r="L204" i="2"/>
  <c r="I207" i="2"/>
  <c r="O209" i="2"/>
  <c r="L212" i="2"/>
  <c r="I215" i="2"/>
  <c r="O217" i="2"/>
  <c r="L220" i="2"/>
  <c r="I223" i="2"/>
  <c r="O225" i="2"/>
  <c r="L228" i="2"/>
  <c r="P39" i="2"/>
  <c r="L72" i="2"/>
  <c r="P99" i="2"/>
  <c r="J122" i="2"/>
  <c r="J135" i="2"/>
  <c r="K145" i="2"/>
  <c r="K154" i="2"/>
  <c r="N162" i="2"/>
  <c r="P168" i="2"/>
  <c r="L175" i="2"/>
  <c r="O181" i="2"/>
  <c r="K188" i="2"/>
  <c r="L194" i="2"/>
  <c r="O199" i="2"/>
  <c r="I205" i="2"/>
  <c r="L210" i="2"/>
  <c r="O215" i="2"/>
  <c r="I221" i="2"/>
  <c r="L226" i="2"/>
  <c r="P41" i="2"/>
  <c r="N73" i="2"/>
  <c r="N101" i="2"/>
  <c r="O122" i="2"/>
  <c r="M135" i="2"/>
  <c r="M145" i="2"/>
  <c r="M154" i="2"/>
  <c r="O162" i="2"/>
  <c r="K169" i="2"/>
  <c r="N175" i="2"/>
  <c r="P181" i="2"/>
  <c r="L188" i="2"/>
  <c r="N194" i="2"/>
  <c r="P199" i="2"/>
  <c r="K205" i="2"/>
  <c r="N210" i="2"/>
  <c r="P215" i="2"/>
  <c r="K221" i="2"/>
  <c r="N226" i="2"/>
  <c r="O43" i="2"/>
  <c r="N74" i="2"/>
  <c r="L102" i="2"/>
  <c r="M123" i="2"/>
  <c r="O135" i="2"/>
  <c r="K146" i="2"/>
  <c r="P154" i="2"/>
  <c r="K163" i="2"/>
  <c r="N169" i="2"/>
  <c r="P175" i="2"/>
  <c r="L182" i="2"/>
  <c r="O188" i="2"/>
  <c r="P194" i="2"/>
  <c r="K200" i="2"/>
  <c r="N205" i="2"/>
  <c r="P210" i="2"/>
  <c r="K216" i="2"/>
  <c r="N221" i="2"/>
  <c r="P226" i="2"/>
  <c r="P43" i="2"/>
  <c r="M75" i="2"/>
  <c r="N102" i="2"/>
  <c r="N123" i="2"/>
  <c r="M136" i="2"/>
  <c r="N146" i="2"/>
  <c r="J155" i="2"/>
  <c r="L163" i="2"/>
  <c r="O169" i="2"/>
  <c r="K176" i="2"/>
  <c r="N182" i="2"/>
  <c r="P188" i="2"/>
  <c r="I195" i="2"/>
  <c r="L200" i="2"/>
  <c r="O205" i="2"/>
  <c r="I211" i="2"/>
  <c r="L216" i="2"/>
  <c r="O221" i="2"/>
  <c r="I227" i="2"/>
  <c r="P55" i="2"/>
  <c r="L110" i="2"/>
  <c r="K140" i="2"/>
  <c r="M158" i="2"/>
  <c r="K172" i="2"/>
  <c r="P184" i="2"/>
  <c r="I197" i="2"/>
  <c r="O207" i="2"/>
  <c r="L218" i="2"/>
  <c r="I229" i="2"/>
  <c r="P57" i="2"/>
  <c r="O111" i="2"/>
  <c r="M140" i="2"/>
  <c r="O158" i="2"/>
  <c r="L172" i="2"/>
  <c r="K185" i="2"/>
  <c r="K197" i="2"/>
  <c r="P207" i="2"/>
  <c r="N218" i="2"/>
  <c r="K229" i="2"/>
  <c r="N59" i="2"/>
  <c r="K115" i="2"/>
  <c r="K141" i="2"/>
  <c r="J159" i="2"/>
  <c r="O172" i="2"/>
  <c r="N185" i="2"/>
  <c r="N197" i="2"/>
  <c r="K208" i="2"/>
  <c r="P218" i="2"/>
  <c r="N229" i="2"/>
  <c r="O59" i="2"/>
  <c r="L115" i="2"/>
  <c r="M141" i="2"/>
  <c r="N159" i="2"/>
  <c r="P172" i="2"/>
  <c r="O185" i="2"/>
  <c r="O197" i="2"/>
  <c r="L208" i="2"/>
  <c r="I219" i="2"/>
  <c r="O229" i="2"/>
  <c r="N84" i="2"/>
  <c r="O149" i="2"/>
  <c r="N178" i="2"/>
  <c r="L202" i="2"/>
  <c r="O223" i="2"/>
  <c r="J131" i="2"/>
  <c r="M86" i="2"/>
  <c r="K150" i="2"/>
  <c r="O178" i="2"/>
  <c r="N202" i="2"/>
  <c r="P223" i="2"/>
  <c r="N87" i="2"/>
  <c r="O150" i="2"/>
  <c r="K179" i="2"/>
  <c r="P202" i="2"/>
  <c r="K224" i="2"/>
  <c r="L88" i="2"/>
  <c r="P150" i="2"/>
  <c r="L179" i="2"/>
  <c r="I203" i="2"/>
  <c r="L224" i="2"/>
  <c r="M128" i="2"/>
  <c r="O165" i="2"/>
  <c r="L191" i="2"/>
  <c r="I213" i="2"/>
  <c r="O213" i="2"/>
  <c r="N166" i="2"/>
  <c r="K129" i="2"/>
  <c r="P165" i="2"/>
  <c r="N191" i="2"/>
  <c r="K213" i="2"/>
  <c r="O129" i="2"/>
  <c r="L166" i="2"/>
  <c r="P191" i="2"/>
  <c r="N213" i="2"/>
  <c r="K192" i="2"/>
  <c r="M67" i="2"/>
  <c r="N96" i="2"/>
  <c r="L112" i="2"/>
  <c r="L113" i="2"/>
  <c r="I112" i="2"/>
  <c r="L94" i="2"/>
  <c r="I69" i="2"/>
  <c r="L67" i="2"/>
  <c r="M69" i="2"/>
  <c r="I114" i="2"/>
  <c r="I94" i="2"/>
  <c r="N67" i="2"/>
  <c r="J98" i="2"/>
  <c r="N114" i="2"/>
  <c r="K113" i="2"/>
  <c r="L98" i="2"/>
  <c r="N69" i="2"/>
  <c r="M98" i="2"/>
  <c r="J94" i="2"/>
  <c r="K67" i="2"/>
  <c r="P98" i="2"/>
  <c r="I67" i="2"/>
  <c r="J112" i="2"/>
  <c r="K112" i="2"/>
  <c r="N98" i="2"/>
  <c r="L69" i="2"/>
  <c r="K98" i="2"/>
  <c r="I113" i="2"/>
  <c r="K94" i="2"/>
  <c r="K71" i="2"/>
  <c r="I71" i="2"/>
  <c r="M96" i="2"/>
  <c r="L71" i="2"/>
  <c r="L114" i="2"/>
  <c r="J67" i="2"/>
  <c r="I98" i="2"/>
  <c r="K114" i="2"/>
  <c r="J114" i="2"/>
  <c r="J69" i="2"/>
  <c r="J113" i="2"/>
  <c r="J71" i="2"/>
  <c r="K69" i="2"/>
  <c r="O96" i="2"/>
  <c r="M114" i="2"/>
  <c r="O67" i="2"/>
  <c r="P94" i="2"/>
  <c r="P71" i="2"/>
  <c r="P69" i="2"/>
  <c r="P113" i="2"/>
  <c r="O114" i="2"/>
  <c r="O98" i="2"/>
  <c r="O94" i="2"/>
  <c r="O69" i="2"/>
  <c r="P112" i="2"/>
  <c r="O112" i="2"/>
  <c r="P67" i="2"/>
  <c r="P114" i="2"/>
  <c r="P96" i="2"/>
  <c r="O71" i="2"/>
  <c r="O113" i="2"/>
  <c r="AZ902" i="2"/>
  <c r="I818" i="2"/>
  <c r="P4" i="2"/>
  <c r="P5" i="2"/>
  <c r="P6" i="2"/>
  <c r="P7" i="2"/>
  <c r="P8" i="2"/>
  <c r="P9" i="2"/>
  <c r="P10" i="2"/>
  <c r="P11" i="2"/>
  <c r="P12" i="2"/>
  <c r="P13" i="2"/>
  <c r="P14" i="2"/>
  <c r="P15" i="2"/>
  <c r="P16" i="2"/>
  <c r="P17" i="2"/>
  <c r="P18" i="2"/>
  <c r="P19" i="2"/>
  <c r="P20" i="2"/>
  <c r="P21" i="2"/>
  <c r="P22" i="2"/>
  <c r="P23" i="2"/>
  <c r="P24" i="2"/>
  <c r="P25" i="2"/>
  <c r="P26" i="2"/>
  <c r="I4" i="2"/>
  <c r="I5" i="2"/>
  <c r="I6" i="2"/>
  <c r="I7" i="2"/>
  <c r="I8" i="2"/>
  <c r="I9" i="2"/>
  <c r="I10" i="2"/>
  <c r="I11" i="2"/>
  <c r="I12" i="2"/>
  <c r="I13" i="2"/>
  <c r="I14" i="2"/>
  <c r="I15" i="2"/>
  <c r="I16" i="2"/>
  <c r="I17" i="2"/>
  <c r="I18" i="2"/>
  <c r="I19" i="2"/>
  <c r="I20" i="2"/>
  <c r="J4" i="2"/>
  <c r="J5" i="2"/>
  <c r="J6" i="2"/>
  <c r="J7" i="2"/>
  <c r="J8" i="2"/>
  <c r="J9" i="2"/>
  <c r="J10" i="2"/>
  <c r="J11" i="2"/>
  <c r="J12" i="2"/>
  <c r="J13" i="2"/>
  <c r="J14" i="2"/>
  <c r="J15" i="2"/>
  <c r="J16" i="2"/>
  <c r="J17" i="2"/>
  <c r="J18" i="2"/>
  <c r="J19" i="2"/>
  <c r="J20" i="2"/>
  <c r="J21" i="2"/>
  <c r="J22" i="2"/>
  <c r="J23" i="2"/>
  <c r="J24" i="2"/>
  <c r="J25" i="2"/>
  <c r="J26" i="2"/>
  <c r="L4" i="2"/>
  <c r="L5" i="2"/>
  <c r="L6" i="2"/>
  <c r="L7" i="2"/>
  <c r="L8" i="2"/>
  <c r="L9" i="2"/>
  <c r="L10" i="2"/>
  <c r="L11" i="2"/>
  <c r="L12" i="2"/>
  <c r="L13" i="2"/>
  <c r="L14" i="2"/>
  <c r="L15" i="2"/>
  <c r="L16" i="2"/>
  <c r="L17" i="2"/>
  <c r="L18" i="2"/>
  <c r="L19" i="2"/>
  <c r="L20" i="2"/>
  <c r="L21" i="2"/>
  <c r="L22" i="2"/>
  <c r="L23" i="2"/>
  <c r="L24" i="2"/>
  <c r="L25" i="2"/>
  <c r="L26" i="2"/>
  <c r="K4" i="2"/>
  <c r="K6" i="2"/>
  <c r="K8" i="2"/>
  <c r="K10" i="2"/>
  <c r="K12" i="2"/>
  <c r="K14" i="2"/>
  <c r="K16" i="2"/>
  <c r="K18" i="2"/>
  <c r="K20" i="2"/>
  <c r="O21" i="2"/>
  <c r="M23" i="2"/>
  <c r="I25" i="2"/>
  <c r="N26" i="2"/>
  <c r="M4" i="2"/>
  <c r="M6" i="2"/>
  <c r="M8" i="2"/>
  <c r="M10" i="2"/>
  <c r="M12" i="2"/>
  <c r="M14" i="2"/>
  <c r="M16" i="2"/>
  <c r="M18" i="2"/>
  <c r="M20" i="2"/>
  <c r="I22" i="2"/>
  <c r="N23" i="2"/>
  <c r="K25" i="2"/>
  <c r="O26" i="2"/>
  <c r="N4" i="2"/>
  <c r="N6" i="2"/>
  <c r="N8" i="2"/>
  <c r="N10" i="2"/>
  <c r="N12" i="2"/>
  <c r="N14" i="2"/>
  <c r="N16" i="2"/>
  <c r="N18" i="2"/>
  <c r="N20" i="2"/>
  <c r="K22" i="2"/>
  <c r="O23" i="2"/>
  <c r="M25" i="2"/>
  <c r="K5" i="2"/>
  <c r="K7" i="2"/>
  <c r="K9" i="2"/>
  <c r="K11" i="2"/>
  <c r="K13" i="2"/>
  <c r="K15" i="2"/>
  <c r="K17" i="2"/>
  <c r="K19" i="2"/>
  <c r="I21" i="2"/>
  <c r="N22" i="2"/>
  <c r="K24" i="2"/>
  <c r="O25" i="2"/>
  <c r="O4" i="2"/>
  <c r="O8" i="2"/>
  <c r="O12" i="2"/>
  <c r="O16" i="2"/>
  <c r="O20" i="2"/>
  <c r="I24" i="2"/>
  <c r="M5" i="2"/>
  <c r="M9" i="2"/>
  <c r="M13" i="2"/>
  <c r="M17" i="2"/>
  <c r="K21" i="2"/>
  <c r="M24" i="2"/>
  <c r="N5" i="2"/>
  <c r="N9" i="2"/>
  <c r="N13" i="2"/>
  <c r="N17" i="2"/>
  <c r="M21" i="2"/>
  <c r="N24" i="2"/>
  <c r="O6" i="2"/>
  <c r="O10" i="2"/>
  <c r="O14" i="2"/>
  <c r="O18" i="2"/>
  <c r="M22" i="2"/>
  <c r="N25"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O5" i="2"/>
  <c r="O13" i="2"/>
  <c r="N21" i="2"/>
  <c r="M7" i="2"/>
  <c r="M15" i="2"/>
  <c r="O22" i="2"/>
  <c r="N7" i="2"/>
  <c r="N15" i="2"/>
  <c r="I23" i="2"/>
  <c r="O9" i="2"/>
  <c r="O17" i="2"/>
  <c r="O24" i="2"/>
  <c r="K230" i="2"/>
  <c r="M231" i="2"/>
  <c r="N232" i="2"/>
  <c r="O233" i="2"/>
  <c r="P234" i="2"/>
  <c r="I236" i="2"/>
  <c r="J237" i="2"/>
  <c r="K238" i="2"/>
  <c r="M239" i="2"/>
  <c r="N240" i="2"/>
  <c r="O241" i="2"/>
  <c r="P242" i="2"/>
  <c r="I244" i="2"/>
  <c r="J245" i="2"/>
  <c r="K246" i="2"/>
  <c r="M247" i="2"/>
  <c r="N248" i="2"/>
  <c r="O249" i="2"/>
  <c r="P250" i="2"/>
  <c r="I252" i="2"/>
  <c r="J253" i="2"/>
  <c r="K254" i="2"/>
  <c r="M255" i="2"/>
  <c r="N256" i="2"/>
  <c r="O257" i="2"/>
  <c r="P258" i="2"/>
  <c r="I260" i="2"/>
  <c r="J261" i="2"/>
  <c r="K262" i="2"/>
  <c r="M263" i="2"/>
  <c r="N264" i="2"/>
  <c r="O265" i="2"/>
  <c r="P266" i="2"/>
  <c r="I268" i="2"/>
  <c r="J269" i="2"/>
  <c r="K270" i="2"/>
  <c r="M271" i="2"/>
  <c r="N272" i="2"/>
  <c r="O273" i="2"/>
  <c r="P274" i="2"/>
  <c r="I276" i="2"/>
  <c r="J277" i="2"/>
  <c r="K278" i="2"/>
  <c r="M279" i="2"/>
  <c r="N280" i="2"/>
  <c r="O281" i="2"/>
  <c r="P282" i="2"/>
  <c r="I284" i="2"/>
  <c r="J285" i="2"/>
  <c r="K286" i="2"/>
  <c r="M287" i="2"/>
  <c r="N288" i="2"/>
  <c r="O289" i="2"/>
  <c r="P290" i="2"/>
  <c r="I292" i="2"/>
  <c r="J293" i="2"/>
  <c r="K294" i="2"/>
  <c r="M295" i="2"/>
  <c r="N296" i="2"/>
  <c r="O297" i="2"/>
  <c r="P298" i="2"/>
  <c r="I300" i="2"/>
  <c r="J301" i="2"/>
  <c r="K302" i="2"/>
  <c r="M303" i="2"/>
  <c r="N304" i="2"/>
  <c r="O305" i="2"/>
  <c r="P306" i="2"/>
  <c r="I308" i="2"/>
  <c r="J309" i="2"/>
  <c r="K310" i="2"/>
  <c r="M311" i="2"/>
  <c r="N312" i="2"/>
  <c r="O313" i="2"/>
  <c r="P314" i="2"/>
  <c r="I316" i="2"/>
  <c r="J317" i="2"/>
  <c r="K318" i="2"/>
  <c r="M319" i="2"/>
  <c r="N320" i="2"/>
  <c r="O321" i="2"/>
  <c r="P322" i="2"/>
  <c r="I324" i="2"/>
  <c r="J325" i="2"/>
  <c r="K326" i="2"/>
  <c r="M327" i="2"/>
  <c r="N328" i="2"/>
  <c r="O329" i="2"/>
  <c r="P330" i="2"/>
  <c r="I332" i="2"/>
  <c r="J333" i="2"/>
  <c r="K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O7" i="2"/>
  <c r="K23" i="2"/>
  <c r="J230" i="2"/>
  <c r="N231" i="2"/>
  <c r="P232" i="2"/>
  <c r="J234" i="2"/>
  <c r="M235" i="2"/>
  <c r="O236" i="2"/>
  <c r="I238" i="2"/>
  <c r="K239" i="2"/>
  <c r="O240" i="2"/>
  <c r="I242" i="2"/>
  <c r="K243" i="2"/>
  <c r="N244" i="2"/>
  <c r="P245" i="2"/>
  <c r="J247" i="2"/>
  <c r="M248" i="2"/>
  <c r="P249" i="2"/>
  <c r="J251" i="2"/>
  <c r="M252" i="2"/>
  <c r="O253" i="2"/>
  <c r="I255" i="2"/>
  <c r="K256" i="2"/>
  <c r="N257" i="2"/>
  <c r="I259" i="2"/>
  <c r="K260" i="2"/>
  <c r="N261" i="2"/>
  <c r="P262" i="2"/>
  <c r="J264" i="2"/>
  <c r="M265" i="2"/>
  <c r="O266" i="2"/>
  <c r="J268" i="2"/>
  <c r="M269" i="2"/>
  <c r="O270" i="2"/>
  <c r="I272" i="2"/>
  <c r="M11" i="2"/>
  <c r="I26" i="2"/>
  <c r="M230" i="2"/>
  <c r="O231" i="2"/>
  <c r="I233" i="2"/>
  <c r="K234" i="2"/>
  <c r="N235" i="2"/>
  <c r="P236" i="2"/>
  <c r="J238" i="2"/>
  <c r="N239" i="2"/>
  <c r="P240" i="2"/>
  <c r="J242" i="2"/>
  <c r="M243" i="2"/>
  <c r="O244" i="2"/>
  <c r="I246" i="2"/>
  <c r="K247" i="2"/>
  <c r="O248" i="2"/>
  <c r="I250" i="2"/>
  <c r="K251" i="2"/>
  <c r="N252" i="2"/>
  <c r="P253" i="2"/>
  <c r="J255" i="2"/>
  <c r="M256" i="2"/>
  <c r="P257" i="2"/>
  <c r="J259" i="2"/>
  <c r="M260" i="2"/>
  <c r="O261" i="2"/>
  <c r="I263" i="2"/>
  <c r="K264" i="2"/>
  <c r="N265" i="2"/>
  <c r="I267" i="2"/>
  <c r="N11" i="2"/>
  <c r="K26" i="2"/>
  <c r="N230" i="2"/>
  <c r="P231" i="2"/>
  <c r="J233" i="2"/>
  <c r="M234" i="2"/>
  <c r="O235" i="2"/>
  <c r="I237" i="2"/>
  <c r="M238" i="2"/>
  <c r="O239" i="2"/>
  <c r="I241" i="2"/>
  <c r="K242" i="2"/>
  <c r="N243" i="2"/>
  <c r="P244" i="2"/>
  <c r="J246" i="2"/>
  <c r="N247" i="2"/>
  <c r="P248" i="2"/>
  <c r="J250" i="2"/>
  <c r="M251" i="2"/>
  <c r="O252" i="2"/>
  <c r="I254" i="2"/>
  <c r="K255" i="2"/>
  <c r="O256" i="2"/>
  <c r="I258" i="2"/>
  <c r="K259" i="2"/>
  <c r="N260" i="2"/>
  <c r="P261" i="2"/>
  <c r="J263" i="2"/>
  <c r="M264" i="2"/>
  <c r="P265" i="2"/>
  <c r="J267" i="2"/>
  <c r="M268" i="2"/>
  <c r="O269" i="2"/>
  <c r="I271" i="2"/>
  <c r="O15" i="2"/>
  <c r="P230" i="2"/>
  <c r="J232" i="2"/>
  <c r="M233" i="2"/>
  <c r="O234" i="2"/>
  <c r="J236" i="2"/>
  <c r="M237" i="2"/>
  <c r="O238" i="2"/>
  <c r="I240" i="2"/>
  <c r="K241" i="2"/>
  <c r="N242" i="2"/>
  <c r="P243" i="2"/>
  <c r="K245" i="2"/>
  <c r="N246" i="2"/>
  <c r="P247" i="2"/>
  <c r="J249" i="2"/>
  <c r="M250" i="2"/>
  <c r="O251" i="2"/>
  <c r="I253" i="2"/>
  <c r="M254" i="2"/>
  <c r="O255" i="2"/>
  <c r="I257" i="2"/>
  <c r="K258" i="2"/>
  <c r="N259" i="2"/>
  <c r="P260" i="2"/>
  <c r="J262" i="2"/>
  <c r="N263" i="2"/>
  <c r="P264" i="2"/>
  <c r="J266" i="2"/>
  <c r="M267" i="2"/>
  <c r="O268" i="2"/>
  <c r="I270" i="2"/>
  <c r="K271" i="2"/>
  <c r="O272" i="2"/>
  <c r="I274" i="2"/>
  <c r="K275" i="2"/>
  <c r="N276" i="2"/>
  <c r="P277" i="2"/>
  <c r="J279" i="2"/>
  <c r="M280" i="2"/>
  <c r="P281" i="2"/>
  <c r="J283" i="2"/>
  <c r="M284" i="2"/>
  <c r="O285" i="2"/>
  <c r="I287" i="2"/>
  <c r="K288" i="2"/>
  <c r="N289" i="2"/>
  <c r="I291" i="2"/>
  <c r="K292" i="2"/>
  <c r="N293" i="2"/>
  <c r="P294" i="2"/>
  <c r="J296" i="2"/>
  <c r="M297" i="2"/>
  <c r="O298" i="2"/>
  <c r="J300" i="2"/>
  <c r="M301" i="2"/>
  <c r="O302" i="2"/>
  <c r="I304" i="2"/>
  <c r="K305" i="2"/>
  <c r="N306" i="2"/>
  <c r="P307" i="2"/>
  <c r="K309" i="2"/>
  <c r="N310" i="2"/>
  <c r="P311" i="2"/>
  <c r="J313" i="2"/>
  <c r="M314" i="2"/>
  <c r="O315" i="2"/>
  <c r="I317" i="2"/>
  <c r="M318" i="2"/>
  <c r="O319" i="2"/>
  <c r="I321" i="2"/>
  <c r="K322" i="2"/>
  <c r="N323" i="2"/>
  <c r="P324" i="2"/>
  <c r="J326" i="2"/>
  <c r="N327" i="2"/>
  <c r="P328" i="2"/>
  <c r="J330" i="2"/>
  <c r="M331" i="2"/>
  <c r="O332" i="2"/>
  <c r="I334" i="2"/>
  <c r="K335" i="2"/>
  <c r="M336" i="2"/>
  <c r="N337" i="2"/>
  <c r="O338" i="2"/>
  <c r="P339" i="2"/>
  <c r="I341" i="2"/>
  <c r="J342" i="2"/>
  <c r="K343" i="2"/>
  <c r="M344" i="2"/>
  <c r="N345" i="2"/>
  <c r="O346" i="2"/>
  <c r="P347" i="2"/>
  <c r="I349" i="2"/>
  <c r="J350" i="2"/>
  <c r="K351" i="2"/>
  <c r="M352" i="2"/>
  <c r="N353" i="2"/>
  <c r="O354" i="2"/>
  <c r="P355" i="2"/>
  <c r="I357" i="2"/>
  <c r="J358" i="2"/>
  <c r="K359" i="2"/>
  <c r="M360" i="2"/>
  <c r="N361" i="2"/>
  <c r="O362" i="2"/>
  <c r="P363" i="2"/>
  <c r="I365" i="2"/>
  <c r="J366" i="2"/>
  <c r="K367" i="2"/>
  <c r="M368" i="2"/>
  <c r="N369" i="2"/>
  <c r="O370" i="2"/>
  <c r="P371" i="2"/>
  <c r="I373" i="2"/>
  <c r="J374" i="2"/>
  <c r="K375" i="2"/>
  <c r="M376" i="2"/>
  <c r="N377" i="2"/>
  <c r="O378" i="2"/>
  <c r="P379" i="2"/>
  <c r="I381" i="2"/>
  <c r="J382" i="2"/>
  <c r="K383" i="2"/>
  <c r="M384" i="2"/>
  <c r="N385" i="2"/>
  <c r="O386" i="2"/>
  <c r="P387" i="2"/>
  <c r="I389" i="2"/>
  <c r="J390" i="2"/>
  <c r="K391" i="2"/>
  <c r="M392" i="2"/>
  <c r="N393" i="2"/>
  <c r="O394" i="2"/>
  <c r="P395" i="2"/>
  <c r="I397" i="2"/>
  <c r="J398" i="2"/>
  <c r="K399" i="2"/>
  <c r="M400" i="2"/>
  <c r="N401" i="2"/>
  <c r="O402" i="2"/>
  <c r="P403" i="2"/>
  <c r="I405" i="2"/>
  <c r="J406" i="2"/>
  <c r="K407" i="2"/>
  <c r="M408" i="2"/>
  <c r="N409" i="2"/>
  <c r="O410" i="2"/>
  <c r="P411" i="2"/>
  <c r="I413" i="2"/>
  <c r="J414" i="2"/>
  <c r="K415" i="2"/>
  <c r="M416" i="2"/>
  <c r="N417" i="2"/>
  <c r="O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O11" i="2"/>
  <c r="O230" i="2"/>
  <c r="K233" i="2"/>
  <c r="P235" i="2"/>
  <c r="N238" i="2"/>
  <c r="J241" i="2"/>
  <c r="O243" i="2"/>
  <c r="M246" i="2"/>
  <c r="I249" i="2"/>
  <c r="N251" i="2"/>
  <c r="J254" i="2"/>
  <c r="P256" i="2"/>
  <c r="M259" i="2"/>
  <c r="I262" i="2"/>
  <c r="O264" i="2"/>
  <c r="K267" i="2"/>
  <c r="K269" i="2"/>
  <c r="N271" i="2"/>
  <c r="J273" i="2"/>
  <c r="N274" i="2"/>
  <c r="J276" i="2"/>
  <c r="N277" i="2"/>
  <c r="I279" i="2"/>
  <c r="O280" i="2"/>
  <c r="J282" i="2"/>
  <c r="N283" i="2"/>
  <c r="I285" i="2"/>
  <c r="N286" i="2"/>
  <c r="I288" i="2"/>
  <c r="M289" i="2"/>
  <c r="J291" i="2"/>
  <c r="N292" i="2"/>
  <c r="I294" i="2"/>
  <c r="N295" i="2"/>
  <c r="I297" i="2"/>
  <c r="M298" i="2"/>
  <c r="P299" i="2"/>
  <c r="N301" i="2"/>
  <c r="I303" i="2"/>
  <c r="M304" i="2"/>
  <c r="I306" i="2"/>
  <c r="M307" i="2"/>
  <c r="P308" i="2"/>
  <c r="M310" i="2"/>
  <c r="I312" i="2"/>
  <c r="M313" i="2"/>
  <c r="I315" i="2"/>
  <c r="M316" i="2"/>
  <c r="P317" i="2"/>
  <c r="K319" i="2"/>
  <c r="P320" i="2"/>
  <c r="M322" i="2"/>
  <c r="P323" i="2"/>
  <c r="M325" i="2"/>
  <c r="P326" i="2"/>
  <c r="K328" i="2"/>
  <c r="P329" i="2"/>
  <c r="K331" i="2"/>
  <c r="P332" i="2"/>
  <c r="M334" i="2"/>
  <c r="O335" i="2"/>
  <c r="I337" i="2"/>
  <c r="K338" i="2"/>
  <c r="N339" i="2"/>
  <c r="P340" i="2"/>
  <c r="K342" i="2"/>
  <c r="N343" i="2"/>
  <c r="P344" i="2"/>
  <c r="J346" i="2"/>
  <c r="M347" i="2"/>
  <c r="O348" i="2"/>
  <c r="I350" i="2"/>
  <c r="M351" i="2"/>
  <c r="O352" i="2"/>
  <c r="I354" i="2"/>
  <c r="K355" i="2"/>
  <c r="N356" i="2"/>
  <c r="P357" i="2"/>
  <c r="J359" i="2"/>
  <c r="N360" i="2"/>
  <c r="P361" i="2"/>
  <c r="J363" i="2"/>
  <c r="M364" i="2"/>
  <c r="O365" i="2"/>
  <c r="I367" i="2"/>
  <c r="K368" i="2"/>
  <c r="O369" i="2"/>
  <c r="I371" i="2"/>
  <c r="K372" i="2"/>
  <c r="N373" i="2"/>
  <c r="P374" i="2"/>
  <c r="J376" i="2"/>
  <c r="M377" i="2"/>
  <c r="P378" i="2"/>
  <c r="J380" i="2"/>
  <c r="M381" i="2"/>
  <c r="O382" i="2"/>
  <c r="I384" i="2"/>
  <c r="K385" i="2"/>
  <c r="N386" i="2"/>
  <c r="I388" i="2"/>
  <c r="K389" i="2"/>
  <c r="N390" i="2"/>
  <c r="P391" i="2"/>
  <c r="J393" i="2"/>
  <c r="M394" i="2"/>
  <c r="O395" i="2"/>
  <c r="M19" i="2"/>
  <c r="I231" i="2"/>
  <c r="N233" i="2"/>
  <c r="K236" i="2"/>
  <c r="P238" i="2"/>
  <c r="M241" i="2"/>
  <c r="J244" i="2"/>
  <c r="O246" i="2"/>
  <c r="K249" i="2"/>
  <c r="P251" i="2"/>
  <c r="N254" i="2"/>
  <c r="J257" i="2"/>
  <c r="O259" i="2"/>
  <c r="M262" i="2"/>
  <c r="I265" i="2"/>
  <c r="N267" i="2"/>
  <c r="N269" i="2"/>
  <c r="O271" i="2"/>
  <c r="K273" i="2"/>
  <c r="O274" i="2"/>
  <c r="K276" i="2"/>
  <c r="O277" i="2"/>
  <c r="K279" i="2"/>
  <c r="P280" i="2"/>
  <c r="K282" i="2"/>
  <c r="O283" i="2"/>
  <c r="K285" i="2"/>
  <c r="O286" i="2"/>
  <c r="J288" i="2"/>
  <c r="P289" i="2"/>
  <c r="K291" i="2"/>
  <c r="O292" i="2"/>
  <c r="J294" i="2"/>
  <c r="O295" i="2"/>
  <c r="J297" i="2"/>
  <c r="N298" i="2"/>
  <c r="K300" i="2"/>
  <c r="O301" i="2"/>
  <c r="J303" i="2"/>
  <c r="O304" i="2"/>
  <c r="J306" i="2"/>
  <c r="N307" i="2"/>
  <c r="I309" i="2"/>
  <c r="O310" i="2"/>
  <c r="J312" i="2"/>
  <c r="N313" i="2"/>
  <c r="J315" i="2"/>
  <c r="N316" i="2"/>
  <c r="I318" i="2"/>
  <c r="N319" i="2"/>
  <c r="J321" i="2"/>
  <c r="N322" i="2"/>
  <c r="J324" i="2"/>
  <c r="N325" i="2"/>
  <c r="I327" i="2"/>
  <c r="M328" i="2"/>
  <c r="I330" i="2"/>
  <c r="N331" i="2"/>
  <c r="I333" i="2"/>
  <c r="N334" i="2"/>
  <c r="P335" i="2"/>
  <c r="J337" i="2"/>
  <c r="M338" i="2"/>
  <c r="O339" i="2"/>
  <c r="J341" i="2"/>
  <c r="M342" i="2"/>
  <c r="O343" i="2"/>
  <c r="I345" i="2"/>
  <c r="K346" i="2"/>
  <c r="N347" i="2"/>
  <c r="P348" i="2"/>
  <c r="K350" i="2"/>
  <c r="N351" i="2"/>
  <c r="P352" i="2"/>
  <c r="J354" i="2"/>
  <c r="M355" i="2"/>
  <c r="O356" i="2"/>
  <c r="I358" i="2"/>
  <c r="M359" i="2"/>
  <c r="O360" i="2"/>
  <c r="I362" i="2"/>
  <c r="K363" i="2"/>
  <c r="N364" i="2"/>
  <c r="P365" i="2"/>
  <c r="J367" i="2"/>
  <c r="N368" i="2"/>
  <c r="P369" i="2"/>
  <c r="J371" i="2"/>
  <c r="M372" i="2"/>
  <c r="O373" i="2"/>
  <c r="I375" i="2"/>
  <c r="K376" i="2"/>
  <c r="O377" i="2"/>
  <c r="I379" i="2"/>
  <c r="K380" i="2"/>
  <c r="N381" i="2"/>
  <c r="P382" i="2"/>
  <c r="J384" i="2"/>
  <c r="M385" i="2"/>
  <c r="P386" i="2"/>
  <c r="J388" i="2"/>
  <c r="M389" i="2"/>
  <c r="O390" i="2"/>
  <c r="I392" i="2"/>
  <c r="N19" i="2"/>
  <c r="J231" i="2"/>
  <c r="P233" i="2"/>
  <c r="M236" i="2"/>
  <c r="I239" i="2"/>
  <c r="N241" i="2"/>
  <c r="K244" i="2"/>
  <c r="P246" i="2"/>
  <c r="M249" i="2"/>
  <c r="J252" i="2"/>
  <c r="O254" i="2"/>
  <c r="K257" i="2"/>
  <c r="P259" i="2"/>
  <c r="N262" i="2"/>
  <c r="J265" i="2"/>
  <c r="O267" i="2"/>
  <c r="P269" i="2"/>
  <c r="P271" i="2"/>
  <c r="M273" i="2"/>
  <c r="I275" i="2"/>
  <c r="M276" i="2"/>
  <c r="I278" i="2"/>
  <c r="N279" i="2"/>
  <c r="I281" i="2"/>
  <c r="M282" i="2"/>
  <c r="P283" i="2"/>
  <c r="M285" i="2"/>
  <c r="P286" i="2"/>
  <c r="M288" i="2"/>
  <c r="I290" i="2"/>
  <c r="M291" i="2"/>
  <c r="P292" i="2"/>
  <c r="M294" i="2"/>
  <c r="P295" i="2"/>
  <c r="K297" i="2"/>
  <c r="I299" i="2"/>
  <c r="M300" i="2"/>
  <c r="P301" i="2"/>
  <c r="K303" i="2"/>
  <c r="P304" i="2"/>
  <c r="K306" i="2"/>
  <c r="O307" i="2"/>
  <c r="M309" i="2"/>
  <c r="P310" i="2"/>
  <c r="K312" i="2"/>
  <c r="P313" i="2"/>
  <c r="K315" i="2"/>
  <c r="O316" i="2"/>
  <c r="J318" i="2"/>
  <c r="P319" i="2"/>
  <c r="K321" i="2"/>
  <c r="O322" i="2"/>
  <c r="K324" i="2"/>
  <c r="O325" i="2"/>
  <c r="J327" i="2"/>
  <c r="O328" i="2"/>
  <c r="K330" i="2"/>
  <c r="O331" i="2"/>
  <c r="K333" i="2"/>
  <c r="O334" i="2"/>
  <c r="I336" i="2"/>
  <c r="K337" i="2"/>
  <c r="N338" i="2"/>
  <c r="I340" i="2"/>
  <c r="K341" i="2"/>
  <c r="N342" i="2"/>
  <c r="P343" i="2"/>
  <c r="J345" i="2"/>
  <c r="M346" i="2"/>
  <c r="O347" i="2"/>
  <c r="J349" i="2"/>
  <c r="M350" i="2"/>
  <c r="O351" i="2"/>
  <c r="I353" i="2"/>
  <c r="K354" i="2"/>
  <c r="N355" i="2"/>
  <c r="P356" i="2"/>
  <c r="K358" i="2"/>
  <c r="N359" i="2"/>
  <c r="P360" i="2"/>
  <c r="J362" i="2"/>
  <c r="M363" i="2"/>
  <c r="O364" i="2"/>
  <c r="I366" i="2"/>
  <c r="M367" i="2"/>
  <c r="O368" i="2"/>
  <c r="I370" i="2"/>
  <c r="K371" i="2"/>
  <c r="N372" i="2"/>
  <c r="P373" i="2"/>
  <c r="J375" i="2"/>
  <c r="N376" i="2"/>
  <c r="P377" i="2"/>
  <c r="J379" i="2"/>
  <c r="M380" i="2"/>
  <c r="O381" i="2"/>
  <c r="I383" i="2"/>
  <c r="K384" i="2"/>
  <c r="O385" i="2"/>
  <c r="I387" i="2"/>
  <c r="K388" i="2"/>
  <c r="N389" i="2"/>
  <c r="P390" i="2"/>
  <c r="J392" i="2"/>
  <c r="M393" i="2"/>
  <c r="M26" i="2"/>
  <c r="I232" i="2"/>
  <c r="N234" i="2"/>
  <c r="K237" i="2"/>
  <c r="P239" i="2"/>
  <c r="M242" i="2"/>
  <c r="I245" i="2"/>
  <c r="O247" i="2"/>
  <c r="K250" i="2"/>
  <c r="P252" i="2"/>
  <c r="N255" i="2"/>
  <c r="J258" i="2"/>
  <c r="O260" i="2"/>
  <c r="K263" i="2"/>
  <c r="I266" i="2"/>
  <c r="K268" i="2"/>
  <c r="M270" i="2"/>
  <c r="K272" i="2"/>
  <c r="P273" i="2"/>
  <c r="M275" i="2"/>
  <c r="P276" i="2"/>
  <c r="M278" i="2"/>
  <c r="P279" i="2"/>
  <c r="K281" i="2"/>
  <c r="O282" i="2"/>
  <c r="K284" i="2"/>
  <c r="P285" i="2"/>
  <c r="K287" i="2"/>
  <c r="P288" i="2"/>
  <c r="K290" i="2"/>
  <c r="O291" i="2"/>
  <c r="K293" i="2"/>
  <c r="O294" i="2"/>
  <c r="K296" i="2"/>
  <c r="P297" i="2"/>
  <c r="K299" i="2"/>
  <c r="O300" i="2"/>
  <c r="J302" i="2"/>
  <c r="O303" i="2"/>
  <c r="J305" i="2"/>
  <c r="O306" i="2"/>
  <c r="K308" i="2"/>
  <c r="O309" i="2"/>
  <c r="J311" i="2"/>
  <c r="O312" i="2"/>
  <c r="J314" i="2"/>
  <c r="N315" i="2"/>
  <c r="K317" i="2"/>
  <c r="O318" i="2"/>
  <c r="J320" i="2"/>
  <c r="N321" i="2"/>
  <c r="J323" i="2"/>
  <c r="N324" i="2"/>
  <c r="I326" i="2"/>
  <c r="O327" i="2"/>
  <c r="J329" i="2"/>
  <c r="N330" i="2"/>
  <c r="J332" i="2"/>
  <c r="N333" i="2"/>
  <c r="I335" i="2"/>
  <c r="K336" i="2"/>
  <c r="O337" i="2"/>
  <c r="I339" i="2"/>
  <c r="K340" i="2"/>
  <c r="N341" i="2"/>
  <c r="P342" i="2"/>
  <c r="J344" i="2"/>
  <c r="M345" i="2"/>
  <c r="P346" i="2"/>
  <c r="J348" i="2"/>
  <c r="M349" i="2"/>
  <c r="O350" i="2"/>
  <c r="I352" i="2"/>
  <c r="K353" i="2"/>
  <c r="N354" i="2"/>
  <c r="I356" i="2"/>
  <c r="K357" i="2"/>
  <c r="N358" i="2"/>
  <c r="P359" i="2"/>
  <c r="J361" i="2"/>
  <c r="M362" i="2"/>
  <c r="O363" i="2"/>
  <c r="J365" i="2"/>
  <c r="M366" i="2"/>
  <c r="O367" i="2"/>
  <c r="I369" i="2"/>
  <c r="K370" i="2"/>
  <c r="N371" i="2"/>
  <c r="P372" i="2"/>
  <c r="K374" i="2"/>
  <c r="N375" i="2"/>
  <c r="P376" i="2"/>
  <c r="J378" i="2"/>
  <c r="M379" i="2"/>
  <c r="O380" i="2"/>
  <c r="I382" i="2"/>
  <c r="M383" i="2"/>
  <c r="O384" i="2"/>
  <c r="I386" i="2"/>
  <c r="K387" i="2"/>
  <c r="N388" i="2"/>
  <c r="P389" i="2"/>
  <c r="J391" i="2"/>
  <c r="N392" i="2"/>
  <c r="P393" i="2"/>
  <c r="J395" i="2"/>
  <c r="M396" i="2"/>
  <c r="O397" i="2"/>
  <c r="I399" i="2"/>
  <c r="K400" i="2"/>
  <c r="O401" i="2"/>
  <c r="I403" i="2"/>
  <c r="K404" i="2"/>
  <c r="N405" i="2"/>
  <c r="P406" i="2"/>
  <c r="J408" i="2"/>
  <c r="M409" i="2"/>
  <c r="P410" i="2"/>
  <c r="J412" i="2"/>
  <c r="M413" i="2"/>
  <c r="O414" i="2"/>
  <c r="I416" i="2"/>
  <c r="K417" i="2"/>
  <c r="N418" i="2"/>
  <c r="I420" i="2"/>
  <c r="J421" i="2"/>
  <c r="K422" i="2"/>
  <c r="L423" i="2"/>
  <c r="M424" i="2"/>
  <c r="N425" i="2"/>
  <c r="O426" i="2"/>
  <c r="I428" i="2"/>
  <c r="J429" i="2"/>
  <c r="K430" i="2"/>
  <c r="L431" i="2"/>
  <c r="M432" i="2"/>
  <c r="N433" i="2"/>
  <c r="O434" i="2"/>
  <c r="I436" i="2"/>
  <c r="J437" i="2"/>
  <c r="K438" i="2"/>
  <c r="L439" i="2"/>
  <c r="M440" i="2"/>
  <c r="N441" i="2"/>
  <c r="O442" i="2"/>
  <c r="I444" i="2"/>
  <c r="J445" i="2"/>
  <c r="K446" i="2"/>
  <c r="L447" i="2"/>
  <c r="M448" i="2"/>
  <c r="N449" i="2"/>
  <c r="O450" i="2"/>
  <c r="I452" i="2"/>
  <c r="J453" i="2"/>
  <c r="K454" i="2"/>
  <c r="L455" i="2"/>
  <c r="M456" i="2"/>
  <c r="N457" i="2"/>
  <c r="O458" i="2"/>
  <c r="I460" i="2"/>
  <c r="J461" i="2"/>
  <c r="K462" i="2"/>
  <c r="L463" i="2"/>
  <c r="M464" i="2"/>
  <c r="N465" i="2"/>
  <c r="O466" i="2"/>
  <c r="I468" i="2"/>
  <c r="J469" i="2"/>
  <c r="K470" i="2"/>
  <c r="L471" i="2"/>
  <c r="M472" i="2"/>
  <c r="N473" i="2"/>
  <c r="O474" i="2"/>
  <c r="I476" i="2"/>
  <c r="J477" i="2"/>
  <c r="K478" i="2"/>
  <c r="L479" i="2"/>
  <c r="M480" i="2"/>
  <c r="N481" i="2"/>
  <c r="O482" i="2"/>
  <c r="I484" i="2"/>
  <c r="J485" i="2"/>
  <c r="K486" i="2"/>
  <c r="L487" i="2"/>
  <c r="M488" i="2"/>
  <c r="N489" i="2"/>
  <c r="O490" i="2"/>
  <c r="I492" i="2"/>
  <c r="J493" i="2"/>
  <c r="K494" i="2"/>
  <c r="L495" i="2"/>
  <c r="M496" i="2"/>
  <c r="N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19" i="2"/>
  <c r="K231" i="2"/>
  <c r="N236" i="2"/>
  <c r="P241" i="2"/>
  <c r="I247" i="2"/>
  <c r="K252" i="2"/>
  <c r="M257" i="2"/>
  <c r="O262" i="2"/>
  <c r="P267" i="2"/>
  <c r="J272" i="2"/>
  <c r="J275" i="2"/>
  <c r="J278" i="2"/>
  <c r="J281" i="2"/>
  <c r="J284" i="2"/>
  <c r="J287" i="2"/>
  <c r="J290" i="2"/>
  <c r="I293" i="2"/>
  <c r="I296" i="2"/>
  <c r="J299" i="2"/>
  <c r="I302" i="2"/>
  <c r="I305" i="2"/>
  <c r="J308" i="2"/>
  <c r="I311" i="2"/>
  <c r="I314" i="2"/>
  <c r="P316" i="2"/>
  <c r="I320" i="2"/>
  <c r="I323" i="2"/>
  <c r="P325" i="2"/>
  <c r="I329" i="2"/>
  <c r="P331" i="2"/>
  <c r="P334" i="2"/>
  <c r="M337" i="2"/>
  <c r="J340" i="2"/>
  <c r="O342" i="2"/>
  <c r="K345" i="2"/>
  <c r="I348" i="2"/>
  <c r="N350" i="2"/>
  <c r="J353" i="2"/>
  <c r="O355" i="2"/>
  <c r="M358" i="2"/>
  <c r="I361" i="2"/>
  <c r="N363" i="2"/>
  <c r="K366" i="2"/>
  <c r="P368" i="2"/>
  <c r="M371" i="2"/>
  <c r="I374" i="2"/>
  <c r="O376" i="2"/>
  <c r="K379" i="2"/>
  <c r="P381" i="2"/>
  <c r="N384" i="2"/>
  <c r="J387" i="2"/>
  <c r="O389" i="2"/>
  <c r="K392" i="2"/>
  <c r="K394" i="2"/>
  <c r="J396" i="2"/>
  <c r="N397" i="2"/>
  <c r="J399" i="2"/>
  <c r="O400" i="2"/>
  <c r="J402" i="2"/>
  <c r="N403" i="2"/>
  <c r="J405" i="2"/>
  <c r="N406" i="2"/>
  <c r="I408" i="2"/>
  <c r="O409" i="2"/>
  <c r="J411" i="2"/>
  <c r="N412" i="2"/>
  <c r="I414" i="2"/>
  <c r="N415" i="2"/>
  <c r="I417" i="2"/>
  <c r="M418" i="2"/>
  <c r="J420" i="2"/>
  <c r="L421" i="2"/>
  <c r="N422" i="2"/>
  <c r="I424" i="2"/>
  <c r="K425" i="2"/>
  <c r="M426" i="2"/>
  <c r="O427" i="2"/>
  <c r="K429" i="2"/>
  <c r="M430" i="2"/>
  <c r="O431" i="2"/>
  <c r="J433" i="2"/>
  <c r="L434" i="2"/>
  <c r="N435" i="2"/>
  <c r="I437" i="2"/>
  <c r="L438" i="2"/>
  <c r="N439" i="2"/>
  <c r="I441" i="2"/>
  <c r="K442" i="2"/>
  <c r="M443" i="2"/>
  <c r="O444" i="2"/>
  <c r="J446" i="2"/>
  <c r="M447" i="2"/>
  <c r="O448" i="2"/>
  <c r="J450" i="2"/>
  <c r="L451" i="2"/>
  <c r="N452" i="2"/>
  <c r="I454" i="2"/>
  <c r="K455" i="2"/>
  <c r="N456" i="2"/>
  <c r="I458" i="2"/>
  <c r="K459" i="2"/>
  <c r="M460" i="2"/>
  <c r="O461" i="2"/>
  <c r="J463" i="2"/>
  <c r="L464" i="2"/>
  <c r="O465" i="2"/>
  <c r="J467" i="2"/>
  <c r="L468" i="2"/>
  <c r="N469" i="2"/>
  <c r="I471" i="2"/>
  <c r="K472" i="2"/>
  <c r="M473" i="2"/>
  <c r="I475" i="2"/>
  <c r="K476" i="2"/>
  <c r="M477" i="2"/>
  <c r="O478" i="2"/>
  <c r="J480" i="2"/>
  <c r="L481" i="2"/>
  <c r="N482" i="2"/>
  <c r="J484" i="2"/>
  <c r="L485" i="2"/>
  <c r="N486" i="2"/>
  <c r="I488" i="2"/>
  <c r="K489" i="2"/>
  <c r="M490" i="2"/>
  <c r="O491" i="2"/>
  <c r="K493" i="2"/>
  <c r="M494" i="2"/>
  <c r="O495" i="2"/>
  <c r="J497" i="2"/>
  <c r="L498" i="2"/>
  <c r="M499" i="2"/>
  <c r="N500" i="2"/>
  <c r="P501" i="2"/>
  <c r="I503" i="2"/>
  <c r="J504" i="2"/>
  <c r="K505" i="2"/>
  <c r="L506" i="2"/>
  <c r="M507" i="2"/>
  <c r="N508" i="2"/>
  <c r="P509" i="2"/>
  <c r="I511" i="2"/>
  <c r="J512" i="2"/>
  <c r="K513" i="2"/>
  <c r="L514" i="2"/>
  <c r="M515" i="2"/>
  <c r="N516" i="2"/>
  <c r="P517" i="2"/>
  <c r="I519" i="2"/>
  <c r="J520" i="2"/>
  <c r="K521" i="2"/>
  <c r="L522" i="2"/>
  <c r="M523" i="2"/>
  <c r="N524" i="2"/>
  <c r="P525" i="2"/>
  <c r="I527" i="2"/>
  <c r="J528" i="2"/>
  <c r="K232" i="2"/>
  <c r="N237" i="2"/>
  <c r="O242" i="2"/>
  <c r="I248" i="2"/>
  <c r="K253" i="2"/>
  <c r="M258" i="2"/>
  <c r="O263" i="2"/>
  <c r="N268" i="2"/>
  <c r="M272" i="2"/>
  <c r="N275" i="2"/>
  <c r="N278" i="2"/>
  <c r="M281" i="2"/>
  <c r="N284" i="2"/>
  <c r="N287" i="2"/>
  <c r="M290" i="2"/>
  <c r="M293" i="2"/>
  <c r="M296" i="2"/>
  <c r="M299" i="2"/>
  <c r="M302" i="2"/>
  <c r="M305" i="2"/>
  <c r="M308" i="2"/>
  <c r="K311" i="2"/>
  <c r="K314" i="2"/>
  <c r="M317" i="2"/>
  <c r="K320" i="2"/>
  <c r="K323" i="2"/>
  <c r="M326" i="2"/>
  <c r="K329" i="2"/>
  <c r="K332" i="2"/>
  <c r="J335" i="2"/>
  <c r="P337" i="2"/>
  <c r="M340" i="2"/>
  <c r="I343" i="2"/>
  <c r="O345" i="2"/>
  <c r="K348" i="2"/>
  <c r="P350" i="2"/>
  <c r="M353" i="2"/>
  <c r="J356" i="2"/>
  <c r="O358" i="2"/>
  <c r="K361" i="2"/>
  <c r="I364" i="2"/>
  <c r="N366" i="2"/>
  <c r="J369" i="2"/>
  <c r="O371" i="2"/>
  <c r="M374" i="2"/>
  <c r="I377" i="2"/>
  <c r="N379" i="2"/>
  <c r="K382" i="2"/>
  <c r="P384" i="2"/>
  <c r="M387" i="2"/>
  <c r="I390" i="2"/>
  <c r="O392" i="2"/>
  <c r="N394" i="2"/>
  <c r="K396" i="2"/>
  <c r="P397" i="2"/>
  <c r="M399" i="2"/>
  <c r="P400" i="2"/>
  <c r="K402" i="2"/>
  <c r="O403" i="2"/>
  <c r="K405" i="2"/>
  <c r="O406" i="2"/>
  <c r="K408" i="2"/>
  <c r="P409" i="2"/>
  <c r="K411" i="2"/>
  <c r="O412" i="2"/>
  <c r="K414" i="2"/>
  <c r="O415" i="2"/>
  <c r="J417" i="2"/>
  <c r="P418" i="2"/>
  <c r="K420" i="2"/>
  <c r="M421" i="2"/>
  <c r="O422" i="2"/>
  <c r="J424" i="2"/>
  <c r="L425" i="2"/>
  <c r="N426" i="2"/>
  <c r="J428" i="2"/>
  <c r="L429" i="2"/>
  <c r="N430" i="2"/>
  <c r="I432" i="2"/>
  <c r="K433" i="2"/>
  <c r="M434" i="2"/>
  <c r="O435" i="2"/>
  <c r="K437" i="2"/>
  <c r="M438" i="2"/>
  <c r="O439" i="2"/>
  <c r="J441" i="2"/>
  <c r="L442" i="2"/>
  <c r="N443" i="2"/>
  <c r="I445" i="2"/>
  <c r="L446" i="2"/>
  <c r="N447" i="2"/>
  <c r="I449" i="2"/>
  <c r="K450" i="2"/>
  <c r="M451" i="2"/>
  <c r="O452" i="2"/>
  <c r="J454" i="2"/>
  <c r="M455" i="2"/>
  <c r="O456" i="2"/>
  <c r="J458" i="2"/>
  <c r="L459" i="2"/>
  <c r="N460" i="2"/>
  <c r="I462" i="2"/>
  <c r="K463" i="2"/>
  <c r="N464" i="2"/>
  <c r="I466" i="2"/>
  <c r="K467" i="2"/>
  <c r="M468" i="2"/>
  <c r="O469" i="2"/>
  <c r="J471" i="2"/>
  <c r="L472" i="2"/>
  <c r="O473" i="2"/>
  <c r="J475" i="2"/>
  <c r="L476" i="2"/>
  <c r="N477" i="2"/>
  <c r="I479" i="2"/>
  <c r="K480" i="2"/>
  <c r="M481" i="2"/>
  <c r="I483" i="2"/>
  <c r="K484" i="2"/>
  <c r="M485" i="2"/>
  <c r="O486" i="2"/>
  <c r="J488" i="2"/>
  <c r="L489" i="2"/>
  <c r="N490" i="2"/>
  <c r="J492" i="2"/>
  <c r="L493" i="2"/>
  <c r="N494" i="2"/>
  <c r="I496" i="2"/>
  <c r="K497" i="2"/>
  <c r="M498" i="2"/>
  <c r="N499" i="2"/>
  <c r="P500" i="2"/>
  <c r="I502" i="2"/>
  <c r="J503" i="2"/>
  <c r="K504" i="2"/>
  <c r="L505" i="2"/>
  <c r="M506" i="2"/>
  <c r="N507" i="2"/>
  <c r="P508" i="2"/>
  <c r="I510" i="2"/>
  <c r="J511" i="2"/>
  <c r="K512" i="2"/>
  <c r="M232" i="2"/>
  <c r="O237" i="2"/>
  <c r="I243" i="2"/>
  <c r="J248" i="2"/>
  <c r="M253" i="2"/>
  <c r="N258" i="2"/>
  <c r="P263" i="2"/>
  <c r="P268" i="2"/>
  <c r="P272" i="2"/>
  <c r="O275" i="2"/>
  <c r="O278" i="2"/>
  <c r="N281" i="2"/>
  <c r="O284" i="2"/>
  <c r="O287" i="2"/>
  <c r="N290" i="2"/>
  <c r="O293" i="2"/>
  <c r="O296" i="2"/>
  <c r="N299" i="2"/>
  <c r="N302" i="2"/>
  <c r="N305" i="2"/>
  <c r="N308" i="2"/>
  <c r="N311" i="2"/>
  <c r="N314" i="2"/>
  <c r="N317" i="2"/>
  <c r="M320" i="2"/>
  <c r="M323" i="2"/>
  <c r="N326" i="2"/>
  <c r="M329" i="2"/>
  <c r="M332" i="2"/>
  <c r="M335" i="2"/>
  <c r="I338" i="2"/>
  <c r="N340" i="2"/>
  <c r="J343" i="2"/>
  <c r="P345" i="2"/>
  <c r="M348" i="2"/>
  <c r="I351" i="2"/>
  <c r="O353" i="2"/>
  <c r="K356" i="2"/>
  <c r="P358" i="2"/>
  <c r="M361" i="2"/>
  <c r="J364" i="2"/>
  <c r="O366" i="2"/>
  <c r="K369" i="2"/>
  <c r="I372" i="2"/>
  <c r="N374" i="2"/>
  <c r="J377" i="2"/>
  <c r="O379" i="2"/>
  <c r="M382" i="2"/>
  <c r="I385" i="2"/>
  <c r="N387" i="2"/>
  <c r="K390" i="2"/>
  <c r="P392" i="2"/>
  <c r="P394" i="2"/>
  <c r="N396" i="2"/>
  <c r="I398" i="2"/>
  <c r="N399" i="2"/>
  <c r="I401" i="2"/>
  <c r="M402" i="2"/>
  <c r="I404" i="2"/>
  <c r="M405" i="2"/>
  <c r="I407" i="2"/>
  <c r="N408" i="2"/>
  <c r="I410" i="2"/>
  <c r="M411" i="2"/>
  <c r="P412" i="2"/>
  <c r="M414" i="2"/>
  <c r="P415" i="2"/>
  <c r="M417" i="2"/>
  <c r="I419" i="2"/>
  <c r="L420" i="2"/>
  <c r="N421" i="2"/>
  <c r="I423" i="2"/>
  <c r="K424" i="2"/>
  <c r="M425" i="2"/>
  <c r="I427" i="2"/>
  <c r="K428" i="2"/>
  <c r="M429" i="2"/>
  <c r="O430" i="2"/>
  <c r="J432" i="2"/>
  <c r="L433" i="2"/>
  <c r="N434" i="2"/>
  <c r="J436" i="2"/>
  <c r="L437" i="2"/>
  <c r="N438" i="2"/>
  <c r="I440" i="2"/>
  <c r="K441" i="2"/>
  <c r="M442" i="2"/>
  <c r="O443" i="2"/>
  <c r="K445" i="2"/>
  <c r="M446" i="2"/>
  <c r="O447" i="2"/>
  <c r="J449" i="2"/>
  <c r="L450" i="2"/>
  <c r="N451" i="2"/>
  <c r="I453" i="2"/>
  <c r="L454" i="2"/>
  <c r="N455" i="2"/>
  <c r="I457" i="2"/>
  <c r="K458" i="2"/>
  <c r="M459" i="2"/>
  <c r="O460" i="2"/>
  <c r="J462" i="2"/>
  <c r="M463" i="2"/>
  <c r="O464" i="2"/>
  <c r="J466" i="2"/>
  <c r="L467" i="2"/>
  <c r="N468" i="2"/>
  <c r="I470" i="2"/>
  <c r="K471" i="2"/>
  <c r="N472" i="2"/>
  <c r="I474" i="2"/>
  <c r="K475" i="2"/>
  <c r="M476" i="2"/>
  <c r="O477" i="2"/>
  <c r="J479" i="2"/>
  <c r="L480" i="2"/>
  <c r="O481" i="2"/>
  <c r="J483" i="2"/>
  <c r="L484" i="2"/>
  <c r="N485" i="2"/>
  <c r="I487" i="2"/>
  <c r="K488" i="2"/>
  <c r="M489" i="2"/>
  <c r="I491" i="2"/>
  <c r="K492" i="2"/>
  <c r="M493" i="2"/>
  <c r="O494" i="2"/>
  <c r="J496" i="2"/>
  <c r="L497" i="2"/>
  <c r="N498" i="2"/>
  <c r="P499" i="2"/>
  <c r="I501" i="2"/>
  <c r="J502" i="2"/>
  <c r="K503" i="2"/>
  <c r="L504" i="2"/>
  <c r="M505" i="2"/>
  <c r="N506" i="2"/>
  <c r="P507" i="2"/>
  <c r="I509" i="2"/>
  <c r="J510" i="2"/>
  <c r="K511" i="2"/>
  <c r="L512" i="2"/>
  <c r="M513" i="2"/>
  <c r="N514" i="2"/>
  <c r="P515" i="2"/>
  <c r="I517" i="2"/>
  <c r="J518" i="2"/>
  <c r="K519" i="2"/>
  <c r="L520" i="2"/>
  <c r="M521" i="2"/>
  <c r="N522" i="2"/>
  <c r="P523" i="2"/>
  <c r="I525" i="2"/>
  <c r="I234" i="2"/>
  <c r="J239" i="2"/>
  <c r="M244" i="2"/>
  <c r="N249" i="2"/>
  <c r="P254" i="2"/>
  <c r="J260" i="2"/>
  <c r="K265" i="2"/>
  <c r="J270" i="2"/>
  <c r="N273" i="2"/>
  <c r="O276" i="2"/>
  <c r="O279" i="2"/>
  <c r="N282" i="2"/>
  <c r="N285" i="2"/>
  <c r="O288" i="2"/>
  <c r="N291" i="2"/>
  <c r="N294" i="2"/>
  <c r="N297" i="2"/>
  <c r="N300" i="2"/>
  <c r="N303" i="2"/>
  <c r="M306" i="2"/>
  <c r="N309" i="2"/>
  <c r="M312" i="2"/>
  <c r="M315" i="2"/>
  <c r="N318" i="2"/>
  <c r="M321" i="2"/>
  <c r="M324" i="2"/>
  <c r="K327" i="2"/>
  <c r="M330" i="2"/>
  <c r="M333" i="2"/>
  <c r="J336" i="2"/>
  <c r="P338" i="2"/>
  <c r="M341" i="2"/>
  <c r="I344" i="2"/>
  <c r="N346" i="2"/>
  <c r="K349" i="2"/>
  <c r="P351" i="2"/>
  <c r="M354" i="2"/>
  <c r="J357" i="2"/>
  <c r="O359" i="2"/>
  <c r="K362" i="2"/>
  <c r="P364" i="2"/>
  <c r="N367" i="2"/>
  <c r="J370" i="2"/>
  <c r="O372" i="2"/>
  <c r="M375" i="2"/>
  <c r="I378" i="2"/>
  <c r="N380" i="2"/>
  <c r="J383" i="2"/>
  <c r="P385" i="2"/>
  <c r="M388" i="2"/>
  <c r="I391" i="2"/>
  <c r="K393" i="2"/>
  <c r="K395" i="2"/>
  <c r="P396" i="2"/>
  <c r="M398" i="2"/>
  <c r="P399" i="2"/>
  <c r="K401" i="2"/>
  <c r="P402" i="2"/>
  <c r="M404" i="2"/>
  <c r="P405" i="2"/>
  <c r="M407" i="2"/>
  <c r="P408" i="2"/>
  <c r="K410" i="2"/>
  <c r="O411" i="2"/>
  <c r="K413" i="2"/>
  <c r="P414" i="2"/>
  <c r="K416" i="2"/>
  <c r="P417" i="2"/>
  <c r="K419" i="2"/>
  <c r="N420" i="2"/>
  <c r="I422" i="2"/>
  <c r="K423" i="2"/>
  <c r="N424" i="2"/>
  <c r="I426" i="2"/>
  <c r="K427" i="2"/>
  <c r="M428" i="2"/>
  <c r="O429" i="2"/>
  <c r="J431" i="2"/>
  <c r="L432" i="2"/>
  <c r="O433" i="2"/>
  <c r="J435" i="2"/>
  <c r="L436" i="2"/>
  <c r="N437" i="2"/>
  <c r="I439" i="2"/>
  <c r="K440" i="2"/>
  <c r="M441" i="2"/>
  <c r="I443" i="2"/>
  <c r="K444" i="2"/>
  <c r="M445" i="2"/>
  <c r="O446" i="2"/>
  <c r="J448" i="2"/>
  <c r="L449" i="2"/>
  <c r="N450" i="2"/>
  <c r="J452" i="2"/>
  <c r="L453" i="2"/>
  <c r="N454" i="2"/>
  <c r="I456" i="2"/>
  <c r="K457" i="2"/>
  <c r="M458" i="2"/>
  <c r="O459" i="2"/>
  <c r="K461" i="2"/>
  <c r="M462" i="2"/>
  <c r="O463" i="2"/>
  <c r="J465" i="2"/>
  <c r="L466" i="2"/>
  <c r="N467" i="2"/>
  <c r="I469" i="2"/>
  <c r="L470" i="2"/>
  <c r="N471" i="2"/>
  <c r="I473" i="2"/>
  <c r="K474" i="2"/>
  <c r="M475" i="2"/>
  <c r="O476" i="2"/>
  <c r="J478" i="2"/>
  <c r="M479" i="2"/>
  <c r="O480" i="2"/>
  <c r="J482" i="2"/>
  <c r="L483" i="2"/>
  <c r="N484" i="2"/>
  <c r="I486" i="2"/>
  <c r="K487" i="2"/>
  <c r="N488" i="2"/>
  <c r="I490" i="2"/>
  <c r="K491" i="2"/>
  <c r="M492" i="2"/>
  <c r="O493" i="2"/>
  <c r="J495" i="2"/>
  <c r="L496" i="2"/>
  <c r="O497" i="2"/>
  <c r="I499" i="2"/>
  <c r="J500" i="2"/>
  <c r="K501" i="2"/>
  <c r="L502" i="2"/>
  <c r="M503" i="2"/>
  <c r="N504" i="2"/>
  <c r="P505" i="2"/>
  <c r="I507" i="2"/>
  <c r="J508" i="2"/>
  <c r="K509" i="2"/>
  <c r="L510" i="2"/>
  <c r="M511" i="2"/>
  <c r="N512" i="2"/>
  <c r="P513" i="2"/>
  <c r="I515" i="2"/>
  <c r="J516" i="2"/>
  <c r="K517" i="2"/>
  <c r="L518" i="2"/>
  <c r="M519" i="2"/>
  <c r="N520" i="2"/>
  <c r="P521" i="2"/>
  <c r="I523" i="2"/>
  <c r="J524" i="2"/>
  <c r="K525" i="2"/>
  <c r="L526" i="2"/>
  <c r="M527" i="2"/>
  <c r="N528" i="2"/>
  <c r="P529" i="2"/>
  <c r="I531" i="2"/>
  <c r="J532" i="2"/>
  <c r="K533" i="2"/>
  <c r="L534" i="2"/>
  <c r="M535" i="2"/>
  <c r="N536" i="2"/>
  <c r="P537" i="2"/>
  <c r="I539" i="2"/>
  <c r="J540" i="2"/>
  <c r="K541" i="2"/>
  <c r="L542" i="2"/>
  <c r="M543" i="2"/>
  <c r="N544" i="2"/>
  <c r="P545" i="2"/>
  <c r="I547" i="2"/>
  <c r="J548" i="2"/>
  <c r="K549" i="2"/>
  <c r="L550" i="2"/>
  <c r="M551" i="2"/>
  <c r="N552" i="2"/>
  <c r="P553" i="2"/>
  <c r="I555" i="2"/>
  <c r="J556" i="2"/>
  <c r="K557" i="2"/>
  <c r="L558" i="2"/>
  <c r="M559" i="2"/>
  <c r="N560" i="2"/>
  <c r="P561" i="2"/>
  <c r="I563" i="2"/>
  <c r="J564" i="2"/>
  <c r="K565" i="2"/>
  <c r="L566" i="2"/>
  <c r="M567" i="2"/>
  <c r="N568" i="2"/>
  <c r="P569" i="2"/>
  <c r="I571" i="2"/>
  <c r="J572" i="2"/>
  <c r="K573" i="2"/>
  <c r="L574" i="2"/>
  <c r="M575" i="2"/>
  <c r="N576" i="2"/>
  <c r="P577" i="2"/>
  <c r="I579" i="2"/>
  <c r="J580" i="2"/>
  <c r="K581" i="2"/>
  <c r="L582" i="2"/>
  <c r="M583" i="2"/>
  <c r="N584" i="2"/>
  <c r="P585" i="2"/>
  <c r="I587" i="2"/>
  <c r="J588" i="2"/>
  <c r="K589" i="2"/>
  <c r="L590" i="2"/>
  <c r="M591" i="2"/>
  <c r="N592" i="2"/>
  <c r="P593" i="2"/>
  <c r="I595" i="2"/>
  <c r="J596" i="2"/>
  <c r="K597" i="2"/>
  <c r="L598" i="2"/>
  <c r="M599" i="2"/>
  <c r="N600" i="2"/>
  <c r="P601" i="2"/>
  <c r="I603" i="2"/>
  <c r="J604" i="2"/>
  <c r="K605" i="2"/>
  <c r="L606" i="2"/>
  <c r="M607" i="2"/>
  <c r="N608" i="2"/>
  <c r="P609" i="2"/>
  <c r="I611" i="2"/>
  <c r="J612" i="2"/>
  <c r="K613" i="2"/>
  <c r="L614" i="2"/>
  <c r="M615" i="2"/>
  <c r="N616" i="2"/>
  <c r="P617"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O232" i="2"/>
  <c r="J243" i="2"/>
  <c r="N253" i="2"/>
  <c r="I264" i="2"/>
  <c r="I273" i="2"/>
  <c r="P278" i="2"/>
  <c r="P284" i="2"/>
  <c r="O290" i="2"/>
  <c r="P296" i="2"/>
  <c r="P302" i="2"/>
  <c r="O308" i="2"/>
  <c r="O314" i="2"/>
  <c r="O320" i="2"/>
  <c r="O326" i="2"/>
  <c r="N332" i="2"/>
  <c r="J338" i="2"/>
  <c r="M343" i="2"/>
  <c r="N348" i="2"/>
  <c r="P353" i="2"/>
  <c r="I359" i="2"/>
  <c r="K364" i="2"/>
  <c r="M369" i="2"/>
  <c r="O374" i="2"/>
  <c r="I380" i="2"/>
  <c r="J385" i="2"/>
  <c r="M390" i="2"/>
  <c r="I395" i="2"/>
  <c r="K398" i="2"/>
  <c r="J401" i="2"/>
  <c r="J404" i="2"/>
  <c r="J407" i="2"/>
  <c r="J410" i="2"/>
  <c r="J413" i="2"/>
  <c r="J416" i="2"/>
  <c r="J419" i="2"/>
  <c r="O421" i="2"/>
  <c r="L424" i="2"/>
  <c r="J427" i="2"/>
  <c r="N429" i="2"/>
  <c r="K432" i="2"/>
  <c r="I435" i="2"/>
  <c r="M437" i="2"/>
  <c r="J440" i="2"/>
  <c r="N442" i="2"/>
  <c r="L445" i="2"/>
  <c r="I448" i="2"/>
  <c r="M450" i="2"/>
  <c r="K453" i="2"/>
  <c r="O455" i="2"/>
  <c r="L458" i="2"/>
  <c r="I461" i="2"/>
  <c r="N463" i="2"/>
  <c r="K466" i="2"/>
  <c r="O468" i="2"/>
  <c r="M471" i="2"/>
  <c r="J474" i="2"/>
  <c r="N476" i="2"/>
  <c r="K479" i="2"/>
  <c r="I482" i="2"/>
  <c r="M484" i="2"/>
  <c r="J487" i="2"/>
  <c r="O489" i="2"/>
  <c r="L492" i="2"/>
  <c r="I495" i="2"/>
  <c r="M497" i="2"/>
  <c r="I500" i="2"/>
  <c r="K502" i="2"/>
  <c r="M504" i="2"/>
  <c r="P506" i="2"/>
  <c r="J509" i="2"/>
  <c r="L511" i="2"/>
  <c r="L513" i="2"/>
  <c r="K515" i="2"/>
  <c r="J517" i="2"/>
  <c r="P518" i="2"/>
  <c r="P520" i="2"/>
  <c r="M522" i="2"/>
  <c r="L524" i="2"/>
  <c r="J526" i="2"/>
  <c r="N527" i="2"/>
  <c r="J529" i="2"/>
  <c r="L530" i="2"/>
  <c r="N531" i="2"/>
  <c r="I533" i="2"/>
  <c r="K534" i="2"/>
  <c r="N535" i="2"/>
  <c r="I537" i="2"/>
  <c r="K538" i="2"/>
  <c r="M539" i="2"/>
  <c r="P540" i="2"/>
  <c r="J542" i="2"/>
  <c r="L543" i="2"/>
  <c r="P544" i="2"/>
  <c r="J546" i="2"/>
  <c r="L547" i="2"/>
  <c r="N548" i="2"/>
  <c r="I550" i="2"/>
  <c r="K551" i="2"/>
  <c r="M552" i="2"/>
  <c r="I554" i="2"/>
  <c r="K555" i="2"/>
  <c r="M556" i="2"/>
  <c r="P557" i="2"/>
  <c r="J559" i="2"/>
  <c r="L560" i="2"/>
  <c r="N561" i="2"/>
  <c r="J563" i="2"/>
  <c r="L564" i="2"/>
  <c r="N565" i="2"/>
  <c r="I567" i="2"/>
  <c r="K568" i="2"/>
  <c r="M569" i="2"/>
  <c r="P570" i="2"/>
  <c r="K572" i="2"/>
  <c r="M573" i="2"/>
  <c r="P574" i="2"/>
  <c r="J576" i="2"/>
  <c r="L577" i="2"/>
  <c r="N578" i="2"/>
  <c r="I580" i="2"/>
  <c r="L581" i="2"/>
  <c r="N582" i="2"/>
  <c r="I584" i="2"/>
  <c r="K585" i="2"/>
  <c r="M586" i="2"/>
  <c r="P587" i="2"/>
  <c r="J589" i="2"/>
  <c r="M590" i="2"/>
  <c r="P591" i="2"/>
  <c r="J593" i="2"/>
  <c r="L594" i="2"/>
  <c r="N595" i="2"/>
  <c r="I597" i="2"/>
  <c r="K598" i="2"/>
  <c r="N599" i="2"/>
  <c r="I601" i="2"/>
  <c r="K602" i="2"/>
  <c r="M603" i="2"/>
  <c r="P604" i="2"/>
  <c r="J606" i="2"/>
  <c r="L607" i="2"/>
  <c r="P608" i="2"/>
  <c r="J610" i="2"/>
  <c r="L611" i="2"/>
  <c r="N612" i="2"/>
  <c r="I614" i="2"/>
  <c r="K615" i="2"/>
  <c r="M616" i="2"/>
  <c r="I618" i="2"/>
  <c r="K619" i="2"/>
  <c r="L620" i="2"/>
  <c r="M621" i="2"/>
  <c r="N622" i="2"/>
  <c r="O623" i="2"/>
  <c r="P624" i="2"/>
  <c r="J626" i="2"/>
  <c r="K627" i="2"/>
  <c r="L628" i="2"/>
  <c r="M629" i="2"/>
  <c r="N630" i="2"/>
  <c r="O631" i="2"/>
  <c r="P632" i="2"/>
  <c r="J634" i="2"/>
  <c r="K635" i="2"/>
  <c r="L636" i="2"/>
  <c r="M637" i="2"/>
  <c r="N638" i="2"/>
  <c r="O639" i="2"/>
  <c r="P640" i="2"/>
  <c r="J642" i="2"/>
  <c r="K643" i="2"/>
  <c r="L644" i="2"/>
  <c r="M645" i="2"/>
  <c r="N646" i="2"/>
  <c r="I235" i="2"/>
  <c r="M245" i="2"/>
  <c r="P255" i="2"/>
  <c r="K266" i="2"/>
  <c r="J274" i="2"/>
  <c r="I280" i="2"/>
  <c r="I286" i="2"/>
  <c r="P291" i="2"/>
  <c r="I298" i="2"/>
  <c r="P303" i="2"/>
  <c r="P309" i="2"/>
  <c r="P315" i="2"/>
  <c r="P321" i="2"/>
  <c r="P327" i="2"/>
  <c r="O333" i="2"/>
  <c r="J339" i="2"/>
  <c r="K344" i="2"/>
  <c r="N349" i="2"/>
  <c r="P354" i="2"/>
  <c r="I360" i="2"/>
  <c r="K365" i="2"/>
  <c r="M370" i="2"/>
  <c r="O375" i="2"/>
  <c r="P380" i="2"/>
  <c r="J386" i="2"/>
  <c r="M391" i="2"/>
  <c r="M395" i="2"/>
  <c r="N398" i="2"/>
  <c r="M401" i="2"/>
  <c r="N404" i="2"/>
  <c r="N407" i="2"/>
  <c r="M410" i="2"/>
  <c r="N413" i="2"/>
  <c r="N416" i="2"/>
  <c r="M419" i="2"/>
  <c r="J422" i="2"/>
  <c r="O424" i="2"/>
  <c r="L427" i="2"/>
  <c r="I430" i="2"/>
  <c r="N432" i="2"/>
  <c r="K435" i="2"/>
  <c r="O437" i="2"/>
  <c r="L440" i="2"/>
  <c r="J443" i="2"/>
  <c r="N445" i="2"/>
  <c r="K448" i="2"/>
  <c r="I451" i="2"/>
  <c r="M453" i="2"/>
  <c r="J456" i="2"/>
  <c r="N458" i="2"/>
  <c r="L461" i="2"/>
  <c r="I464" i="2"/>
  <c r="M466" i="2"/>
  <c r="K469" i="2"/>
  <c r="O471" i="2"/>
  <c r="L474" i="2"/>
  <c r="I477" i="2"/>
  <c r="N479" i="2"/>
  <c r="K482" i="2"/>
  <c r="O484" i="2"/>
  <c r="M487" i="2"/>
  <c r="J490" i="2"/>
  <c r="N492" i="2"/>
  <c r="K495" i="2"/>
  <c r="I498" i="2"/>
  <c r="K500" i="2"/>
  <c r="M502" i="2"/>
  <c r="P504" i="2"/>
  <c r="J507" i="2"/>
  <c r="L509" i="2"/>
  <c r="N511" i="2"/>
  <c r="N513" i="2"/>
  <c r="L515" i="2"/>
  <c r="L517" i="2"/>
  <c r="J519" i="2"/>
  <c r="I521" i="2"/>
  <c r="P522" i="2"/>
  <c r="M524" i="2"/>
  <c r="K526" i="2"/>
  <c r="P527" i="2"/>
  <c r="K529" i="2"/>
  <c r="M530" i="2"/>
  <c r="P531" i="2"/>
  <c r="J533" i="2"/>
  <c r="M534" i="2"/>
  <c r="P535" i="2"/>
  <c r="J537" i="2"/>
  <c r="L538" i="2"/>
  <c r="N539" i="2"/>
  <c r="I541" i="2"/>
  <c r="K542" i="2"/>
  <c r="N543" i="2"/>
  <c r="I545" i="2"/>
  <c r="K546" i="2"/>
  <c r="M547" i="2"/>
  <c r="P548" i="2"/>
  <c r="J550" i="2"/>
  <c r="L551" i="2"/>
  <c r="P552" i="2"/>
  <c r="J554" i="2"/>
  <c r="L555" i="2"/>
  <c r="N556" i="2"/>
  <c r="I558" i="2"/>
  <c r="K559" i="2"/>
  <c r="M560" i="2"/>
  <c r="I562" i="2"/>
  <c r="K563" i="2"/>
  <c r="M564" i="2"/>
  <c r="P565" i="2"/>
  <c r="J567" i="2"/>
  <c r="L568" i="2"/>
  <c r="N569" i="2"/>
  <c r="J571" i="2"/>
  <c r="L572" i="2"/>
  <c r="N573" i="2"/>
  <c r="I575" i="2"/>
  <c r="K576" i="2"/>
  <c r="M577" i="2"/>
  <c r="P578" i="2"/>
  <c r="K580" i="2"/>
  <c r="M581" i="2"/>
  <c r="P582" i="2"/>
  <c r="J584" i="2"/>
  <c r="L585" i="2"/>
  <c r="N586" i="2"/>
  <c r="I588" i="2"/>
  <c r="L589" i="2"/>
  <c r="N590" i="2"/>
  <c r="I592" i="2"/>
  <c r="K593" i="2"/>
  <c r="M594" i="2"/>
  <c r="P595" i="2"/>
  <c r="J597" i="2"/>
  <c r="M598" i="2"/>
  <c r="P599" i="2"/>
  <c r="J601" i="2"/>
  <c r="L602" i="2"/>
  <c r="N603" i="2"/>
  <c r="I605" i="2"/>
  <c r="K606" i="2"/>
  <c r="N607" i="2"/>
  <c r="I609" i="2"/>
  <c r="K610" i="2"/>
  <c r="M611" i="2"/>
  <c r="P612" i="2"/>
  <c r="J614" i="2"/>
  <c r="L615" i="2"/>
  <c r="J235" i="2"/>
  <c r="N245" i="2"/>
  <c r="I256" i="2"/>
  <c r="M266" i="2"/>
  <c r="K274" i="2"/>
  <c r="J280" i="2"/>
  <c r="J286" i="2"/>
  <c r="J292" i="2"/>
  <c r="J298" i="2"/>
  <c r="J304" i="2"/>
  <c r="I310" i="2"/>
  <c r="J316" i="2"/>
  <c r="I322" i="2"/>
  <c r="I328" i="2"/>
  <c r="P333" i="2"/>
  <c r="K339" i="2"/>
  <c r="N344" i="2"/>
  <c r="O349" i="2"/>
  <c r="I355" i="2"/>
  <c r="J360" i="2"/>
  <c r="M365" i="2"/>
  <c r="N370" i="2"/>
  <c r="P375" i="2"/>
  <c r="J381" i="2"/>
  <c r="K386" i="2"/>
  <c r="N391" i="2"/>
  <c r="N395" i="2"/>
  <c r="O398" i="2"/>
  <c r="P401" i="2"/>
  <c r="O404" i="2"/>
  <c r="O407" i="2"/>
  <c r="N410" i="2"/>
  <c r="O413" i="2"/>
  <c r="O416" i="2"/>
  <c r="N419" i="2"/>
  <c r="L422" i="2"/>
  <c r="I425" i="2"/>
  <c r="M427" i="2"/>
  <c r="J430" i="2"/>
  <c r="O432" i="2"/>
  <c r="L435" i="2"/>
  <c r="I438" i="2"/>
  <c r="N440" i="2"/>
  <c r="K443" i="2"/>
  <c r="O445" i="2"/>
  <c r="L448" i="2"/>
  <c r="J451" i="2"/>
  <c r="N453" i="2"/>
  <c r="K456" i="2"/>
  <c r="I459" i="2"/>
  <c r="M461" i="2"/>
  <c r="J464" i="2"/>
  <c r="N466" i="2"/>
  <c r="L469" i="2"/>
  <c r="I472" i="2"/>
  <c r="M474" i="2"/>
  <c r="K477" i="2"/>
  <c r="O479" i="2"/>
  <c r="L482" i="2"/>
  <c r="I485" i="2"/>
  <c r="N487" i="2"/>
  <c r="K490" i="2"/>
  <c r="O492" i="2"/>
  <c r="M495" i="2"/>
  <c r="J498" i="2"/>
  <c r="L500" i="2"/>
  <c r="N502" i="2"/>
  <c r="I505" i="2"/>
  <c r="K507" i="2"/>
  <c r="M509" i="2"/>
  <c r="P511" i="2"/>
  <c r="I514" i="2"/>
  <c r="N515" i="2"/>
  <c r="M517" i="2"/>
  <c r="L519" i="2"/>
  <c r="J521" i="2"/>
  <c r="J523" i="2"/>
  <c r="P524" i="2"/>
  <c r="M526" i="2"/>
  <c r="I528" i="2"/>
  <c r="L529" i="2"/>
  <c r="N530" i="2"/>
  <c r="I532" i="2"/>
  <c r="L533" i="2"/>
  <c r="N534" i="2"/>
  <c r="I536" i="2"/>
  <c r="K537" i="2"/>
  <c r="M538" i="2"/>
  <c r="P539" i="2"/>
  <c r="J541" i="2"/>
  <c r="M542" i="2"/>
  <c r="P543" i="2"/>
  <c r="J545" i="2"/>
  <c r="L546" i="2"/>
  <c r="N547" i="2"/>
  <c r="I549" i="2"/>
  <c r="K550" i="2"/>
  <c r="N551" i="2"/>
  <c r="I553" i="2"/>
  <c r="K554" i="2"/>
  <c r="M555" i="2"/>
  <c r="P556" i="2"/>
  <c r="J558" i="2"/>
  <c r="L559" i="2"/>
  <c r="P560" i="2"/>
  <c r="J562" i="2"/>
  <c r="L563" i="2"/>
  <c r="N564" i="2"/>
  <c r="I566" i="2"/>
  <c r="K567" i="2"/>
  <c r="M568" i="2"/>
  <c r="I570" i="2"/>
  <c r="K571" i="2"/>
  <c r="M572" i="2"/>
  <c r="P573" i="2"/>
  <c r="J575" i="2"/>
  <c r="L576" i="2"/>
  <c r="N577" i="2"/>
  <c r="J579" i="2"/>
  <c r="L580" i="2"/>
  <c r="N581" i="2"/>
  <c r="I583" i="2"/>
  <c r="K584" i="2"/>
  <c r="M585" i="2"/>
  <c r="P586" i="2"/>
  <c r="K588" i="2"/>
  <c r="M589" i="2"/>
  <c r="P590" i="2"/>
  <c r="J592" i="2"/>
  <c r="L593" i="2"/>
  <c r="N594" i="2"/>
  <c r="I596" i="2"/>
  <c r="L597" i="2"/>
  <c r="N598" i="2"/>
  <c r="I600" i="2"/>
  <c r="K601" i="2"/>
  <c r="M602" i="2"/>
  <c r="P603" i="2"/>
  <c r="J605" i="2"/>
  <c r="M606" i="2"/>
  <c r="P607" i="2"/>
  <c r="J609" i="2"/>
  <c r="L610" i="2"/>
  <c r="N611" i="2"/>
  <c r="I613" i="2"/>
  <c r="K614" i="2"/>
  <c r="N615" i="2"/>
  <c r="I617" i="2"/>
  <c r="K618" i="2"/>
  <c r="M619" i="2"/>
  <c r="N620" i="2"/>
  <c r="O621" i="2"/>
  <c r="P622" i="2"/>
  <c r="J624" i="2"/>
  <c r="K625" i="2"/>
  <c r="L626" i="2"/>
  <c r="M627" i="2"/>
  <c r="N628" i="2"/>
  <c r="O629" i="2"/>
  <c r="P630" i="2"/>
  <c r="J632" i="2"/>
  <c r="K633" i="2"/>
  <c r="L634" i="2"/>
  <c r="P237" i="2"/>
  <c r="K248" i="2"/>
  <c r="O258" i="2"/>
  <c r="I269" i="2"/>
  <c r="P275" i="2"/>
  <c r="I282" i="2"/>
  <c r="P287" i="2"/>
  <c r="P293" i="2"/>
  <c r="O299" i="2"/>
  <c r="P305" i="2"/>
  <c r="O311" i="2"/>
  <c r="O317" i="2"/>
  <c r="O323" i="2"/>
  <c r="N329" i="2"/>
  <c r="N335" i="2"/>
  <c r="O340" i="2"/>
  <c r="I346" i="2"/>
  <c r="J351" i="2"/>
  <c r="M356" i="2"/>
  <c r="O361" i="2"/>
  <c r="P366" i="2"/>
  <c r="J372" i="2"/>
  <c r="K377" i="2"/>
  <c r="N382" i="2"/>
  <c r="O387" i="2"/>
  <c r="I393" i="2"/>
  <c r="O396" i="2"/>
  <c r="O399" i="2"/>
  <c r="N402" i="2"/>
  <c r="O405" i="2"/>
  <c r="O408" i="2"/>
  <c r="N411" i="2"/>
  <c r="N414" i="2"/>
  <c r="O417" i="2"/>
  <c r="M420" i="2"/>
  <c r="J423" i="2"/>
  <c r="O425" i="2"/>
  <c r="L428" i="2"/>
  <c r="I431" i="2"/>
  <c r="M433" i="2"/>
  <c r="K436" i="2"/>
  <c r="O438" i="2"/>
  <c r="L441" i="2"/>
  <c r="J444" i="2"/>
  <c r="N446" i="2"/>
  <c r="K449" i="2"/>
  <c r="O451" i="2"/>
  <c r="M454" i="2"/>
  <c r="J457" i="2"/>
  <c r="N459" i="2"/>
  <c r="L462" i="2"/>
  <c r="I465" i="2"/>
  <c r="M467" i="2"/>
  <c r="J470" i="2"/>
  <c r="O472" i="2"/>
  <c r="L475" i="2"/>
  <c r="I478" i="2"/>
  <c r="N480" i="2"/>
  <c r="K483" i="2"/>
  <c r="O485" i="2"/>
  <c r="L488" i="2"/>
  <c r="J491" i="2"/>
  <c r="N493" i="2"/>
  <c r="K496" i="2"/>
  <c r="P498" i="2"/>
  <c r="J501" i="2"/>
  <c r="L503" i="2"/>
  <c r="N505" i="2"/>
  <c r="I508" i="2"/>
  <c r="K510" i="2"/>
  <c r="M512" i="2"/>
  <c r="K514" i="2"/>
  <c r="K516" i="2"/>
  <c r="I518" i="2"/>
  <c r="P519" i="2"/>
  <c r="N521" i="2"/>
  <c r="L523" i="2"/>
  <c r="L525" i="2"/>
  <c r="P526" i="2"/>
  <c r="L528" i="2"/>
  <c r="N529" i="2"/>
  <c r="J531" i="2"/>
  <c r="L532" i="2"/>
  <c r="N533" i="2"/>
  <c r="I535" i="2"/>
  <c r="K536" i="2"/>
  <c r="M537" i="2"/>
  <c r="P538" i="2"/>
  <c r="K540" i="2"/>
  <c r="M541" i="2"/>
  <c r="P542" i="2"/>
  <c r="J544" i="2"/>
  <c r="L545" i="2"/>
  <c r="N546" i="2"/>
  <c r="I548" i="2"/>
  <c r="L549" i="2"/>
  <c r="N550" i="2"/>
  <c r="I552" i="2"/>
  <c r="K553" i="2"/>
  <c r="M554" i="2"/>
  <c r="P555" i="2"/>
  <c r="J557" i="2"/>
  <c r="M558" i="2"/>
  <c r="P559" i="2"/>
  <c r="J561" i="2"/>
  <c r="L562" i="2"/>
  <c r="N563" i="2"/>
  <c r="I565" i="2"/>
  <c r="K566" i="2"/>
  <c r="N567" i="2"/>
  <c r="I569" i="2"/>
  <c r="K570" i="2"/>
  <c r="M571" i="2"/>
  <c r="P572" i="2"/>
  <c r="J574" i="2"/>
  <c r="L575" i="2"/>
  <c r="P576" i="2"/>
  <c r="J578" i="2"/>
  <c r="L579" i="2"/>
  <c r="N580" i="2"/>
  <c r="I582" i="2"/>
  <c r="K583" i="2"/>
  <c r="M584" i="2"/>
  <c r="I586" i="2"/>
  <c r="K587" i="2"/>
  <c r="M588" i="2"/>
  <c r="P589" i="2"/>
  <c r="J591" i="2"/>
  <c r="L592" i="2"/>
  <c r="N593" i="2"/>
  <c r="J595" i="2"/>
  <c r="L596" i="2"/>
  <c r="N597" i="2"/>
  <c r="I599" i="2"/>
  <c r="K600" i="2"/>
  <c r="M601" i="2"/>
  <c r="P602" i="2"/>
  <c r="K604" i="2"/>
  <c r="M605" i="2"/>
  <c r="P606" i="2"/>
  <c r="J608" i="2"/>
  <c r="L609" i="2"/>
  <c r="N610" i="2"/>
  <c r="I612" i="2"/>
  <c r="L613" i="2"/>
  <c r="N614" i="2"/>
  <c r="I616" i="2"/>
  <c r="K617" i="2"/>
  <c r="M618" i="2"/>
  <c r="O619" i="2"/>
  <c r="P620" i="2"/>
  <c r="J622" i="2"/>
  <c r="K623" i="2"/>
  <c r="L624" i="2"/>
  <c r="M625" i="2"/>
  <c r="N626" i="2"/>
  <c r="O627" i="2"/>
  <c r="P628" i="2"/>
  <c r="J630" i="2"/>
  <c r="K631" i="2"/>
  <c r="L632" i="2"/>
  <c r="M633" i="2"/>
  <c r="N634" i="2"/>
  <c r="O635" i="2"/>
  <c r="P636" i="2"/>
  <c r="J638" i="2"/>
  <c r="K639" i="2"/>
  <c r="L640" i="2"/>
  <c r="M641" i="2"/>
  <c r="N642" i="2"/>
  <c r="O643" i="2"/>
  <c r="P644" i="2"/>
  <c r="J646" i="2"/>
  <c r="K647" i="2"/>
  <c r="L648" i="2"/>
  <c r="M649" i="2"/>
  <c r="N650" i="2"/>
  <c r="O651" i="2"/>
  <c r="P652" i="2"/>
  <c r="J654" i="2"/>
  <c r="K655" i="2"/>
  <c r="L656" i="2"/>
  <c r="M657" i="2"/>
  <c r="N658" i="2"/>
  <c r="O659" i="2"/>
  <c r="P660" i="2"/>
  <c r="J662" i="2"/>
  <c r="K663" i="2"/>
  <c r="L664" i="2"/>
  <c r="M665" i="2"/>
  <c r="N666" i="2"/>
  <c r="O667" i="2"/>
  <c r="P668" i="2"/>
  <c r="J670" i="2"/>
  <c r="K671" i="2"/>
  <c r="L672" i="2"/>
  <c r="M673" i="2"/>
  <c r="N674" i="2"/>
  <c r="O675" i="2"/>
  <c r="P676" i="2"/>
  <c r="J678" i="2"/>
  <c r="K679" i="2"/>
  <c r="L680" i="2"/>
  <c r="M681" i="2"/>
  <c r="N682" i="2"/>
  <c r="O683" i="2"/>
  <c r="P684" i="2"/>
  <c r="J686" i="2"/>
  <c r="K687" i="2"/>
  <c r="L688" i="2"/>
  <c r="M689" i="2"/>
  <c r="N690" i="2"/>
  <c r="O691" i="2"/>
  <c r="P692" i="2"/>
  <c r="J694" i="2"/>
  <c r="K695" i="2"/>
  <c r="L696" i="2"/>
  <c r="M697" i="2"/>
  <c r="N698" i="2"/>
  <c r="O699" i="2"/>
  <c r="P700" i="2"/>
  <c r="J702" i="2"/>
  <c r="K703" i="2"/>
  <c r="L704" i="2"/>
  <c r="M705" i="2"/>
  <c r="N706" i="2"/>
  <c r="O707" i="2"/>
  <c r="P708" i="2"/>
  <c r="J710" i="2"/>
  <c r="K711" i="2"/>
  <c r="L712" i="2"/>
  <c r="M713" i="2"/>
  <c r="N714" i="2"/>
  <c r="O715" i="2"/>
  <c r="P716" i="2"/>
  <c r="J718" i="2"/>
  <c r="K719" i="2"/>
  <c r="L720" i="2"/>
  <c r="M721" i="2"/>
  <c r="N722" i="2"/>
  <c r="O723" i="2"/>
  <c r="P724" i="2"/>
  <c r="J726" i="2"/>
  <c r="K727" i="2"/>
  <c r="L728" i="2"/>
  <c r="M729" i="2"/>
  <c r="N730" i="2"/>
  <c r="O731" i="2"/>
  <c r="P732" i="2"/>
  <c r="J734" i="2"/>
  <c r="K735" i="2"/>
  <c r="L736" i="2"/>
  <c r="M737" i="2"/>
  <c r="N738" i="2"/>
  <c r="O739" i="2"/>
  <c r="P740" i="2"/>
  <c r="J742" i="2"/>
  <c r="K743" i="2"/>
  <c r="L744" i="2"/>
  <c r="M745" i="2"/>
  <c r="N746" i="2"/>
  <c r="O747" i="2"/>
  <c r="P748" i="2"/>
  <c r="J750" i="2"/>
  <c r="K751" i="2"/>
  <c r="L752" i="2"/>
  <c r="M753" i="2"/>
  <c r="N754" i="2"/>
  <c r="O755" i="2"/>
  <c r="P756" i="2"/>
  <c r="J758" i="2"/>
  <c r="K759" i="2"/>
  <c r="L760" i="2"/>
  <c r="M761" i="2"/>
  <c r="N762" i="2"/>
  <c r="O763" i="2"/>
  <c r="P764" i="2"/>
  <c r="J766" i="2"/>
  <c r="K767" i="2"/>
  <c r="L768" i="2"/>
  <c r="M769" i="2"/>
  <c r="N770" i="2"/>
  <c r="O771" i="2"/>
  <c r="P772" i="2"/>
  <c r="J774" i="2"/>
  <c r="K775" i="2"/>
  <c r="L776" i="2"/>
  <c r="M777" i="2"/>
  <c r="N778" i="2"/>
  <c r="O779" i="2"/>
  <c r="P780" i="2"/>
  <c r="J782" i="2"/>
  <c r="K783" i="2"/>
  <c r="L784" i="2"/>
  <c r="M785" i="2"/>
  <c r="N786" i="2"/>
  <c r="O787" i="2"/>
  <c r="P788" i="2"/>
  <c r="J790" i="2"/>
  <c r="K791" i="2"/>
  <c r="L792" i="2"/>
  <c r="M793" i="2"/>
  <c r="N794" i="2"/>
  <c r="O795" i="2"/>
  <c r="P796" i="2"/>
  <c r="J798" i="2"/>
  <c r="K799" i="2"/>
  <c r="L800" i="2"/>
  <c r="M801" i="2"/>
  <c r="N802" i="2"/>
  <c r="O803" i="2"/>
  <c r="P804" i="2"/>
  <c r="J806" i="2"/>
  <c r="K807" i="2"/>
  <c r="L808" i="2"/>
  <c r="M809" i="2"/>
  <c r="N810" i="2"/>
  <c r="O811" i="2"/>
  <c r="P812" i="2"/>
  <c r="J814" i="2"/>
  <c r="K815" i="2"/>
  <c r="L816" i="2"/>
  <c r="M817" i="2"/>
  <c r="O818" i="2"/>
  <c r="P819" i="2"/>
  <c r="I821" i="2"/>
  <c r="K822" i="2"/>
  <c r="L823" i="2"/>
  <c r="M824" i="2"/>
  <c r="N825" i="2"/>
  <c r="O826" i="2"/>
  <c r="P827" i="2"/>
  <c r="I829" i="2"/>
  <c r="K830" i="2"/>
  <c r="L831" i="2"/>
  <c r="M832" i="2"/>
  <c r="N833" i="2"/>
  <c r="O834" i="2"/>
  <c r="P835" i="2"/>
  <c r="I837" i="2"/>
  <c r="K838" i="2"/>
  <c r="L839" i="2"/>
  <c r="M840" i="2"/>
  <c r="N841" i="2"/>
  <c r="O842" i="2"/>
  <c r="P843" i="2"/>
  <c r="I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O2" i="2"/>
  <c r="O3" i="2"/>
  <c r="O245" i="2"/>
  <c r="N266" i="2"/>
  <c r="K280" i="2"/>
  <c r="M292" i="2"/>
  <c r="K304" i="2"/>
  <c r="K316" i="2"/>
  <c r="J328" i="2"/>
  <c r="M339" i="2"/>
  <c r="P349" i="2"/>
  <c r="K360" i="2"/>
  <c r="P370" i="2"/>
  <c r="K381" i="2"/>
  <c r="O391" i="2"/>
  <c r="P398" i="2"/>
  <c r="P404" i="2"/>
  <c r="I411" i="2"/>
  <c r="P416" i="2"/>
  <c r="M422" i="2"/>
  <c r="N427" i="2"/>
  <c r="I433" i="2"/>
  <c r="J438" i="2"/>
  <c r="L443" i="2"/>
  <c r="N448" i="2"/>
  <c r="O453" i="2"/>
  <c r="J459" i="2"/>
  <c r="K464" i="2"/>
  <c r="M469" i="2"/>
  <c r="N474" i="2"/>
  <c r="I480" i="2"/>
  <c r="K485" i="2"/>
  <c r="L490" i="2"/>
  <c r="N495" i="2"/>
  <c r="M500" i="2"/>
  <c r="J505" i="2"/>
  <c r="N509" i="2"/>
  <c r="J514" i="2"/>
  <c r="N517" i="2"/>
  <c r="L521" i="2"/>
  <c r="J525" i="2"/>
  <c r="K528" i="2"/>
  <c r="P530" i="2"/>
  <c r="M533" i="2"/>
  <c r="J536" i="2"/>
  <c r="N538" i="2"/>
  <c r="L541" i="2"/>
  <c r="I544" i="2"/>
  <c r="M546" i="2"/>
  <c r="J549" i="2"/>
  <c r="P551" i="2"/>
  <c r="L554" i="2"/>
  <c r="I557" i="2"/>
  <c r="N559" i="2"/>
  <c r="K562" i="2"/>
  <c r="P564" i="2"/>
  <c r="L567" i="2"/>
  <c r="J570" i="2"/>
  <c r="N572" i="2"/>
  <c r="K575" i="2"/>
  <c r="I578" i="2"/>
  <c r="M580" i="2"/>
  <c r="J583" i="2"/>
  <c r="N585" i="2"/>
  <c r="L588" i="2"/>
  <c r="I591" i="2"/>
  <c r="M593" i="2"/>
  <c r="K596" i="2"/>
  <c r="P598" i="2"/>
  <c r="L601" i="2"/>
  <c r="I604" i="2"/>
  <c r="N606" i="2"/>
  <c r="K609" i="2"/>
  <c r="P611" i="2"/>
  <c r="M614" i="2"/>
  <c r="P616" i="2"/>
  <c r="P618" i="2"/>
  <c r="O620" i="2"/>
  <c r="M622" i="2"/>
  <c r="M624" i="2"/>
  <c r="K626" i="2"/>
  <c r="J628" i="2"/>
  <c r="P629" i="2"/>
  <c r="N631" i="2"/>
  <c r="N633" i="2"/>
  <c r="L635" i="2"/>
  <c r="O636" i="2"/>
  <c r="L638" i="2"/>
  <c r="P639" i="2"/>
  <c r="L641" i="2"/>
  <c r="P642" i="2"/>
  <c r="M644" i="2"/>
  <c r="P645" i="2"/>
  <c r="M647" i="2"/>
  <c r="O648" i="2"/>
  <c r="J650" i="2"/>
  <c r="L651" i="2"/>
  <c r="N652" i="2"/>
  <c r="P653" i="2"/>
  <c r="L655" i="2"/>
  <c r="N656" i="2"/>
  <c r="P657" i="2"/>
  <c r="K659" i="2"/>
  <c r="M660" i="2"/>
  <c r="O661" i="2"/>
  <c r="J663" i="2"/>
  <c r="M664" i="2"/>
  <c r="O665" i="2"/>
  <c r="J667" i="2"/>
  <c r="L668" i="2"/>
  <c r="N669" i="2"/>
  <c r="P670" i="2"/>
  <c r="K672" i="2"/>
  <c r="N673" i="2"/>
  <c r="P674" i="2"/>
  <c r="K676" i="2"/>
  <c r="M677" i="2"/>
  <c r="O678" i="2"/>
  <c r="J680" i="2"/>
  <c r="L681" i="2"/>
  <c r="O682" i="2"/>
  <c r="J684" i="2"/>
  <c r="L685" i="2"/>
  <c r="N686" i="2"/>
  <c r="P687" i="2"/>
  <c r="K689" i="2"/>
  <c r="M690" i="2"/>
  <c r="P691" i="2"/>
  <c r="K693" i="2"/>
  <c r="M694" i="2"/>
  <c r="O695" i="2"/>
  <c r="J697" i="2"/>
  <c r="L698" i="2"/>
  <c r="N699" i="2"/>
  <c r="J701" i="2"/>
  <c r="L702" i="2"/>
  <c r="N703" i="2"/>
  <c r="P704" i="2"/>
  <c r="K706" i="2"/>
  <c r="M707" i="2"/>
  <c r="O708" i="2"/>
  <c r="K710" i="2"/>
  <c r="M711" i="2"/>
  <c r="O712" i="2"/>
  <c r="J714" i="2"/>
  <c r="L715" i="2"/>
  <c r="N716" i="2"/>
  <c r="P717" i="2"/>
  <c r="L719" i="2"/>
  <c r="N720" i="2"/>
  <c r="P721" i="2"/>
  <c r="K723" i="2"/>
  <c r="M724" i="2"/>
  <c r="O725" i="2"/>
  <c r="J727" i="2"/>
  <c r="M728" i="2"/>
  <c r="O729" i="2"/>
  <c r="J731" i="2"/>
  <c r="L732" i="2"/>
  <c r="N733" i="2"/>
  <c r="P734" i="2"/>
  <c r="K736" i="2"/>
  <c r="N737" i="2"/>
  <c r="P738" i="2"/>
  <c r="K740" i="2"/>
  <c r="M741" i="2"/>
  <c r="O742" i="2"/>
  <c r="J744" i="2"/>
  <c r="L745" i="2"/>
  <c r="O746" i="2"/>
  <c r="J748" i="2"/>
  <c r="L749" i="2"/>
  <c r="N750" i="2"/>
  <c r="P751" i="2"/>
  <c r="K753" i="2"/>
  <c r="M754" i="2"/>
  <c r="P755" i="2"/>
  <c r="K757" i="2"/>
  <c r="M758" i="2"/>
  <c r="O759" i="2"/>
  <c r="J761" i="2"/>
  <c r="L762" i="2"/>
  <c r="N763" i="2"/>
  <c r="J765" i="2"/>
  <c r="L766" i="2"/>
  <c r="N767" i="2"/>
  <c r="P768" i="2"/>
  <c r="K770" i="2"/>
  <c r="M771" i="2"/>
  <c r="O772" i="2"/>
  <c r="K774" i="2"/>
  <c r="N250" i="2"/>
  <c r="N270" i="2"/>
  <c r="I283" i="2"/>
  <c r="I295" i="2"/>
  <c r="I307" i="2"/>
  <c r="P318" i="2"/>
  <c r="O330" i="2"/>
  <c r="O341" i="2"/>
  <c r="J352" i="2"/>
  <c r="N362" i="2"/>
  <c r="J373" i="2"/>
  <c r="N383" i="2"/>
  <c r="O393" i="2"/>
  <c r="I400" i="2"/>
  <c r="I406" i="2"/>
  <c r="I412" i="2"/>
  <c r="I418" i="2"/>
  <c r="M423" i="2"/>
  <c r="N428" i="2"/>
  <c r="I434" i="2"/>
  <c r="J439" i="2"/>
  <c r="L444" i="2"/>
  <c r="M449" i="2"/>
  <c r="O454" i="2"/>
  <c r="J460" i="2"/>
  <c r="K465" i="2"/>
  <c r="M470" i="2"/>
  <c r="N475" i="2"/>
  <c r="I481" i="2"/>
  <c r="J486" i="2"/>
  <c r="L491" i="2"/>
  <c r="N496" i="2"/>
  <c r="L501" i="2"/>
  <c r="I506" i="2"/>
  <c r="M510" i="2"/>
  <c r="M514" i="2"/>
  <c r="K518" i="2"/>
  <c r="I522" i="2"/>
  <c r="M525" i="2"/>
  <c r="M528" i="2"/>
  <c r="K531" i="2"/>
  <c r="P533" i="2"/>
  <c r="L536" i="2"/>
  <c r="J539" i="2"/>
  <c r="N541" i="2"/>
  <c r="K544" i="2"/>
  <c r="P546" i="2"/>
  <c r="M549" i="2"/>
  <c r="J552" i="2"/>
  <c r="N554" i="2"/>
  <c r="L557" i="2"/>
  <c r="I560" i="2"/>
  <c r="M562" i="2"/>
  <c r="J565" i="2"/>
  <c r="P567" i="2"/>
  <c r="L570" i="2"/>
  <c r="I573" i="2"/>
  <c r="N575" i="2"/>
  <c r="K578" i="2"/>
  <c r="P580" i="2"/>
  <c r="L583" i="2"/>
  <c r="J586" i="2"/>
  <c r="N588" i="2"/>
  <c r="K591" i="2"/>
  <c r="I594" i="2"/>
  <c r="M596" i="2"/>
  <c r="J599" i="2"/>
  <c r="N601" i="2"/>
  <c r="L604" i="2"/>
  <c r="I607" i="2"/>
  <c r="M609" i="2"/>
  <c r="K612" i="2"/>
  <c r="P614" i="2"/>
  <c r="J617" i="2"/>
  <c r="J619" i="2"/>
  <c r="J621" i="2"/>
  <c r="O622" i="2"/>
  <c r="N624" i="2"/>
  <c r="M626" i="2"/>
  <c r="K628" i="2"/>
  <c r="K630" i="2"/>
  <c r="P631" i="2"/>
  <c r="O633" i="2"/>
  <c r="M635" i="2"/>
  <c r="J637" i="2"/>
  <c r="M638" i="2"/>
  <c r="J640" i="2"/>
  <c r="N641" i="2"/>
  <c r="J643" i="2"/>
  <c r="N644" i="2"/>
  <c r="K646" i="2"/>
  <c r="N647" i="2"/>
  <c r="P648" i="2"/>
  <c r="K650" i="2"/>
  <c r="M651" i="2"/>
  <c r="O652" i="2"/>
  <c r="K654" i="2"/>
  <c r="M655" i="2"/>
  <c r="O656" i="2"/>
  <c r="J658" i="2"/>
  <c r="L659" i="2"/>
  <c r="N660" i="2"/>
  <c r="P661" i="2"/>
  <c r="L663" i="2"/>
  <c r="N664" i="2"/>
  <c r="P665" i="2"/>
  <c r="K667" i="2"/>
  <c r="M668" i="2"/>
  <c r="O669" i="2"/>
  <c r="J671" i="2"/>
  <c r="M672" i="2"/>
  <c r="O673" i="2"/>
  <c r="J675" i="2"/>
  <c r="L676" i="2"/>
  <c r="N677" i="2"/>
  <c r="P678" i="2"/>
  <c r="K680" i="2"/>
  <c r="N681" i="2"/>
  <c r="P682" i="2"/>
  <c r="K684" i="2"/>
  <c r="M685" i="2"/>
  <c r="O686" i="2"/>
  <c r="J688" i="2"/>
  <c r="L689" i="2"/>
  <c r="O690" i="2"/>
  <c r="J692" i="2"/>
  <c r="L693" i="2"/>
  <c r="N694" i="2"/>
  <c r="P695" i="2"/>
  <c r="K697" i="2"/>
  <c r="M698" i="2"/>
  <c r="P699" i="2"/>
  <c r="K701" i="2"/>
  <c r="M702" i="2"/>
  <c r="O703" i="2"/>
  <c r="J705" i="2"/>
  <c r="L706" i="2"/>
  <c r="N707" i="2"/>
  <c r="J709" i="2"/>
  <c r="L710" i="2"/>
  <c r="N711" i="2"/>
  <c r="P712" i="2"/>
  <c r="K714" i="2"/>
  <c r="M715" i="2"/>
  <c r="O716" i="2"/>
  <c r="K718" i="2"/>
  <c r="M719" i="2"/>
  <c r="O720" i="2"/>
  <c r="J722" i="2"/>
  <c r="L723" i="2"/>
  <c r="N724" i="2"/>
  <c r="P725" i="2"/>
  <c r="L727" i="2"/>
  <c r="N728" i="2"/>
  <c r="P729" i="2"/>
  <c r="K731" i="2"/>
  <c r="M732" i="2"/>
  <c r="O733" i="2"/>
  <c r="J735" i="2"/>
  <c r="M736" i="2"/>
  <c r="O737" i="2"/>
  <c r="J739" i="2"/>
  <c r="L740" i="2"/>
  <c r="N741" i="2"/>
  <c r="P742" i="2"/>
  <c r="K744" i="2"/>
  <c r="O250" i="2"/>
  <c r="P270" i="2"/>
  <c r="K283" i="2"/>
  <c r="J295" i="2"/>
  <c r="J307" i="2"/>
  <c r="I319" i="2"/>
  <c r="I331" i="2"/>
  <c r="P341" i="2"/>
  <c r="K352" i="2"/>
  <c r="P362" i="2"/>
  <c r="K373" i="2"/>
  <c r="O383" i="2"/>
  <c r="I394" i="2"/>
  <c r="J400" i="2"/>
  <c r="K406" i="2"/>
  <c r="K412" i="2"/>
  <c r="J418" i="2"/>
  <c r="N423" i="2"/>
  <c r="O428" i="2"/>
  <c r="J434" i="2"/>
  <c r="K439" i="2"/>
  <c r="M444" i="2"/>
  <c r="O449" i="2"/>
  <c r="I455" i="2"/>
  <c r="K460" i="2"/>
  <c r="L465" i="2"/>
  <c r="N470" i="2"/>
  <c r="O475" i="2"/>
  <c r="J481" i="2"/>
  <c r="L486" i="2"/>
  <c r="M491" i="2"/>
  <c r="O496" i="2"/>
  <c r="M501" i="2"/>
  <c r="J506" i="2"/>
  <c r="N510" i="2"/>
  <c r="P514" i="2"/>
  <c r="M518" i="2"/>
  <c r="J522" i="2"/>
  <c r="N525" i="2"/>
  <c r="P528" i="2"/>
  <c r="L531" i="2"/>
  <c r="I534" i="2"/>
  <c r="M536" i="2"/>
  <c r="K539" i="2"/>
  <c r="P541" i="2"/>
  <c r="L544" i="2"/>
  <c r="J547" i="2"/>
  <c r="N549" i="2"/>
  <c r="K552" i="2"/>
  <c r="P554" i="2"/>
  <c r="M557" i="2"/>
  <c r="J560" i="2"/>
  <c r="N562" i="2"/>
  <c r="L565" i="2"/>
  <c r="I568" i="2"/>
  <c r="M570" i="2"/>
  <c r="J573" i="2"/>
  <c r="P575" i="2"/>
  <c r="L578" i="2"/>
  <c r="I581" i="2"/>
  <c r="N583" i="2"/>
  <c r="K586" i="2"/>
  <c r="P588" i="2"/>
  <c r="L591" i="2"/>
  <c r="J594" i="2"/>
  <c r="N596" i="2"/>
  <c r="K599" i="2"/>
  <c r="I602" i="2"/>
  <c r="M604" i="2"/>
  <c r="J607" i="2"/>
  <c r="N609" i="2"/>
  <c r="L612" i="2"/>
  <c r="I615" i="2"/>
  <c r="L617" i="2"/>
  <c r="L619" i="2"/>
  <c r="K621" i="2"/>
  <c r="J623" i="2"/>
  <c r="O624" i="2"/>
  <c r="O626" i="2"/>
  <c r="M628" i="2"/>
  <c r="L630" i="2"/>
  <c r="K632" i="2"/>
  <c r="P633" i="2"/>
  <c r="N635" i="2"/>
  <c r="K637" i="2"/>
  <c r="O638" i="2"/>
  <c r="K640" i="2"/>
  <c r="O641" i="2"/>
  <c r="L643" i="2"/>
  <c r="O644" i="2"/>
  <c r="L646" i="2"/>
  <c r="O647" i="2"/>
  <c r="J649" i="2"/>
  <c r="L650" i="2"/>
  <c r="N651" i="2"/>
  <c r="J653" i="2"/>
  <c r="L654" i="2"/>
  <c r="N655" i="2"/>
  <c r="P656" i="2"/>
  <c r="K658" i="2"/>
  <c r="M659" i="2"/>
  <c r="O660" i="2"/>
  <c r="K662" i="2"/>
  <c r="M663" i="2"/>
  <c r="O664" i="2"/>
  <c r="J666" i="2"/>
  <c r="L667" i="2"/>
  <c r="N668" i="2"/>
  <c r="P669" i="2"/>
  <c r="L671" i="2"/>
  <c r="N672" i="2"/>
  <c r="P673" i="2"/>
  <c r="K675" i="2"/>
  <c r="M676" i="2"/>
  <c r="O677" i="2"/>
  <c r="J679" i="2"/>
  <c r="M680" i="2"/>
  <c r="O681" i="2"/>
  <c r="J683" i="2"/>
  <c r="L684" i="2"/>
  <c r="N685" i="2"/>
  <c r="P686" i="2"/>
  <c r="K688" i="2"/>
  <c r="N689" i="2"/>
  <c r="P690" i="2"/>
  <c r="K692" i="2"/>
  <c r="M693" i="2"/>
  <c r="O694" i="2"/>
  <c r="J696" i="2"/>
  <c r="L697" i="2"/>
  <c r="O698" i="2"/>
  <c r="J700" i="2"/>
  <c r="L701" i="2"/>
  <c r="N702" i="2"/>
  <c r="P703" i="2"/>
  <c r="K705" i="2"/>
  <c r="M706" i="2"/>
  <c r="P707" i="2"/>
  <c r="K709" i="2"/>
  <c r="M710" i="2"/>
  <c r="O711" i="2"/>
  <c r="J713" i="2"/>
  <c r="L714" i="2"/>
  <c r="N715" i="2"/>
  <c r="J717" i="2"/>
  <c r="L718" i="2"/>
  <c r="N719" i="2"/>
  <c r="P720" i="2"/>
  <c r="K722" i="2"/>
  <c r="M723" i="2"/>
  <c r="O724" i="2"/>
  <c r="K726" i="2"/>
  <c r="M727" i="2"/>
  <c r="O728" i="2"/>
  <c r="J730" i="2"/>
  <c r="L731" i="2"/>
  <c r="N732" i="2"/>
  <c r="P733" i="2"/>
  <c r="L735" i="2"/>
  <c r="N736" i="2"/>
  <c r="P737" i="2"/>
  <c r="K739" i="2"/>
  <c r="M740" i="2"/>
  <c r="O741" i="2"/>
  <c r="J743" i="2"/>
  <c r="M744" i="2"/>
  <c r="O745" i="2"/>
  <c r="J747" i="2"/>
  <c r="L748" i="2"/>
  <c r="N749" i="2"/>
  <c r="P750" i="2"/>
  <c r="K752" i="2"/>
  <c r="N753" i="2"/>
  <c r="P754" i="2"/>
  <c r="K756" i="2"/>
  <c r="M757" i="2"/>
  <c r="O758" i="2"/>
  <c r="J760" i="2"/>
  <c r="L761" i="2"/>
  <c r="O762" i="2"/>
  <c r="K235" i="2"/>
  <c r="J256" i="2"/>
  <c r="M274" i="2"/>
  <c r="M286" i="2"/>
  <c r="K298" i="2"/>
  <c r="J310" i="2"/>
  <c r="J322" i="2"/>
  <c r="J334" i="2"/>
  <c r="O344" i="2"/>
  <c r="J355" i="2"/>
  <c r="N365" i="2"/>
  <c r="I376" i="2"/>
  <c r="M386" i="2"/>
  <c r="I396" i="2"/>
  <c r="I402" i="2"/>
  <c r="P407" i="2"/>
  <c r="P413" i="2"/>
  <c r="O419" i="2"/>
  <c r="J425" i="2"/>
  <c r="L430" i="2"/>
  <c r="M435" i="2"/>
  <c r="O440" i="2"/>
  <c r="I446" i="2"/>
  <c r="K451" i="2"/>
  <c r="L456" i="2"/>
  <c r="N461" i="2"/>
  <c r="I467" i="2"/>
  <c r="J472" i="2"/>
  <c r="L477" i="2"/>
  <c r="M482" i="2"/>
  <c r="O487" i="2"/>
  <c r="I493" i="2"/>
  <c r="K498" i="2"/>
  <c r="P502" i="2"/>
  <c r="L507" i="2"/>
  <c r="I512" i="2"/>
  <c r="I516" i="2"/>
  <c r="N519" i="2"/>
  <c r="K523" i="2"/>
  <c r="N526" i="2"/>
  <c r="M529" i="2"/>
  <c r="K532" i="2"/>
  <c r="P534" i="2"/>
  <c r="L537" i="2"/>
  <c r="I540" i="2"/>
  <c r="N542" i="2"/>
  <c r="K545" i="2"/>
  <c r="P547" i="2"/>
  <c r="M550" i="2"/>
  <c r="J553" i="2"/>
  <c r="N555" i="2"/>
  <c r="K558" i="2"/>
  <c r="I561" i="2"/>
  <c r="M563" i="2"/>
  <c r="J566" i="2"/>
  <c r="P568" i="2"/>
  <c r="L571" i="2"/>
  <c r="I574" i="2"/>
  <c r="M576" i="2"/>
  <c r="K579" i="2"/>
  <c r="P581" i="2"/>
  <c r="L584" i="2"/>
  <c r="J587" i="2"/>
  <c r="N589" i="2"/>
  <c r="K592" i="2"/>
  <c r="P594" i="2"/>
  <c r="M597" i="2"/>
  <c r="J600" i="2"/>
  <c r="N602" i="2"/>
  <c r="L605" i="2"/>
  <c r="I608" i="2"/>
  <c r="M610" i="2"/>
  <c r="J613" i="2"/>
  <c r="P615" i="2"/>
  <c r="N617" i="2"/>
  <c r="P619" i="2"/>
  <c r="N621" i="2"/>
  <c r="M623" i="2"/>
  <c r="L625" i="2"/>
  <c r="J627" i="2"/>
  <c r="J629" i="2"/>
  <c r="O630" i="2"/>
  <c r="N632" i="2"/>
  <c r="M634" i="2"/>
  <c r="J636" i="2"/>
  <c r="N637" i="2"/>
  <c r="J639" i="2"/>
  <c r="N640" i="2"/>
  <c r="K642" i="2"/>
  <c r="N643" i="2"/>
  <c r="K645" i="2"/>
  <c r="O646" i="2"/>
  <c r="J648" i="2"/>
  <c r="L649" i="2"/>
  <c r="O650" i="2"/>
  <c r="J652" i="2"/>
  <c r="L653" i="2"/>
  <c r="N654" i="2"/>
  <c r="P655" i="2"/>
  <c r="K657" i="2"/>
  <c r="M658" i="2"/>
  <c r="P659" i="2"/>
  <c r="K661" i="2"/>
  <c r="M662" i="2"/>
  <c r="O663" i="2"/>
  <c r="J665" i="2"/>
  <c r="L666" i="2"/>
  <c r="N667" i="2"/>
  <c r="J669" i="2"/>
  <c r="L670" i="2"/>
  <c r="N671" i="2"/>
  <c r="P672" i="2"/>
  <c r="K674" i="2"/>
  <c r="M675" i="2"/>
  <c r="O676" i="2"/>
  <c r="K678" i="2"/>
  <c r="M679" i="2"/>
  <c r="O680" i="2"/>
  <c r="J682" i="2"/>
  <c r="L683" i="2"/>
  <c r="N684" i="2"/>
  <c r="P685" i="2"/>
  <c r="L687" i="2"/>
  <c r="N688" i="2"/>
  <c r="P689" i="2"/>
  <c r="K691" i="2"/>
  <c r="M692" i="2"/>
  <c r="O693" i="2"/>
  <c r="J695" i="2"/>
  <c r="M696" i="2"/>
  <c r="O697" i="2"/>
  <c r="J699" i="2"/>
  <c r="L700" i="2"/>
  <c r="N701" i="2"/>
  <c r="P702" i="2"/>
  <c r="K704" i="2"/>
  <c r="N705" i="2"/>
  <c r="P706" i="2"/>
  <c r="K708" i="2"/>
  <c r="M709" i="2"/>
  <c r="O710" i="2"/>
  <c r="J712" i="2"/>
  <c r="L713" i="2"/>
  <c r="O714" i="2"/>
  <c r="J716" i="2"/>
  <c r="L717" i="2"/>
  <c r="N718" i="2"/>
  <c r="P719" i="2"/>
  <c r="K721" i="2"/>
  <c r="M722" i="2"/>
  <c r="P723" i="2"/>
  <c r="K725" i="2"/>
  <c r="M726" i="2"/>
  <c r="O727" i="2"/>
  <c r="J729" i="2"/>
  <c r="L730" i="2"/>
  <c r="N731" i="2"/>
  <c r="J733" i="2"/>
  <c r="L734" i="2"/>
  <c r="N735" i="2"/>
  <c r="P736" i="2"/>
  <c r="K738" i="2"/>
  <c r="M739" i="2"/>
  <c r="O740" i="2"/>
  <c r="K742" i="2"/>
  <c r="M743" i="2"/>
  <c r="O744" i="2"/>
  <c r="J746" i="2"/>
  <c r="L747" i="2"/>
  <c r="N748" i="2"/>
  <c r="P749" i="2"/>
  <c r="L751" i="2"/>
  <c r="N752" i="2"/>
  <c r="P753" i="2"/>
  <c r="K755" i="2"/>
  <c r="M756" i="2"/>
  <c r="O757" i="2"/>
  <c r="J759" i="2"/>
  <c r="M760" i="2"/>
  <c r="O761" i="2"/>
  <c r="J763" i="2"/>
  <c r="L764" i="2"/>
  <c r="N765" i="2"/>
  <c r="P766" i="2"/>
  <c r="K768" i="2"/>
  <c r="N769" i="2"/>
  <c r="P770" i="2"/>
  <c r="K772" i="2"/>
  <c r="M773" i="2"/>
  <c r="O774" i="2"/>
  <c r="J776" i="2"/>
  <c r="L777" i="2"/>
  <c r="O778" i="2"/>
  <c r="J780" i="2"/>
  <c r="L781" i="2"/>
  <c r="N782" i="2"/>
  <c r="P783" i="2"/>
  <c r="K785" i="2"/>
  <c r="M786" i="2"/>
  <c r="P787" i="2"/>
  <c r="K789" i="2"/>
  <c r="M790" i="2"/>
  <c r="O791" i="2"/>
  <c r="J793" i="2"/>
  <c r="L794" i="2"/>
  <c r="N795" i="2"/>
  <c r="J797" i="2"/>
  <c r="L798" i="2"/>
  <c r="N799" i="2"/>
  <c r="P800" i="2"/>
  <c r="K802" i="2"/>
  <c r="M803" i="2"/>
  <c r="O804" i="2"/>
  <c r="K806" i="2"/>
  <c r="M807" i="2"/>
  <c r="O808" i="2"/>
  <c r="J810" i="2"/>
  <c r="L811" i="2"/>
  <c r="N812" i="2"/>
  <c r="P813" i="2"/>
  <c r="L815" i="2"/>
  <c r="N816" i="2"/>
  <c r="P817" i="2"/>
  <c r="L819" i="2"/>
  <c r="N820" i="2"/>
  <c r="P821" i="2"/>
  <c r="K823" i="2"/>
  <c r="N824" i="2"/>
  <c r="P825" i="2"/>
  <c r="K827" i="2"/>
  <c r="M828" i="2"/>
  <c r="O829" i="2"/>
  <c r="I831" i="2"/>
  <c r="L832" i="2"/>
  <c r="O833" i="2"/>
  <c r="I835" i="2"/>
  <c r="L836" i="2"/>
  <c r="N837" i="2"/>
  <c r="P838" i="2"/>
  <c r="K840" i="2"/>
  <c r="M841" i="2"/>
  <c r="P842" i="2"/>
  <c r="K844" i="2"/>
  <c r="M845" i="2"/>
  <c r="N846" i="2"/>
  <c r="O847" i="2"/>
  <c r="P848" i="2"/>
  <c r="I850" i="2"/>
  <c r="K851" i="2"/>
  <c r="L852" i="2"/>
  <c r="M853" i="2"/>
  <c r="N854" i="2"/>
  <c r="O855" i="2"/>
  <c r="P856" i="2"/>
  <c r="I858" i="2"/>
  <c r="K859" i="2"/>
  <c r="L860" i="2"/>
  <c r="M861" i="2"/>
  <c r="N862" i="2"/>
  <c r="O863" i="2"/>
  <c r="P864" i="2"/>
  <c r="I866" i="2"/>
  <c r="K867" i="2"/>
  <c r="L868" i="2"/>
  <c r="M869" i="2"/>
  <c r="N870" i="2"/>
  <c r="O871" i="2"/>
  <c r="P872" i="2"/>
  <c r="I874" i="2"/>
  <c r="K875" i="2"/>
  <c r="L876" i="2"/>
  <c r="M877" i="2"/>
  <c r="N878" i="2"/>
  <c r="O879" i="2"/>
  <c r="P880" i="2"/>
  <c r="I882" i="2"/>
  <c r="K883" i="2"/>
  <c r="L884" i="2"/>
  <c r="M885" i="2"/>
  <c r="N886" i="2"/>
  <c r="O887" i="2"/>
  <c r="P888" i="2"/>
  <c r="I890" i="2"/>
  <c r="K891" i="2"/>
  <c r="L892" i="2"/>
  <c r="M893" i="2"/>
  <c r="N894" i="2"/>
  <c r="O895" i="2"/>
  <c r="P896" i="2"/>
  <c r="I898" i="2"/>
  <c r="K899" i="2"/>
  <c r="L900" i="2"/>
  <c r="M901" i="2"/>
  <c r="N902" i="2"/>
  <c r="J2" i="2"/>
  <c r="I3" i="2"/>
  <c r="I251" i="2"/>
  <c r="M283" i="2"/>
  <c r="K307" i="2"/>
  <c r="J331" i="2"/>
  <c r="N352" i="2"/>
  <c r="M373" i="2"/>
  <c r="J394" i="2"/>
  <c r="M406" i="2"/>
  <c r="K418" i="2"/>
  <c r="I429" i="2"/>
  <c r="M439" i="2"/>
  <c r="I450" i="2"/>
  <c r="L460" i="2"/>
  <c r="O470" i="2"/>
  <c r="K481" i="2"/>
  <c r="N491" i="2"/>
  <c r="N501" i="2"/>
  <c r="P510" i="2"/>
  <c r="N518" i="2"/>
  <c r="I526" i="2"/>
  <c r="M531" i="2"/>
  <c r="P536" i="2"/>
  <c r="I542" i="2"/>
  <c r="K547" i="2"/>
  <c r="L552" i="2"/>
  <c r="N557" i="2"/>
  <c r="P562" i="2"/>
  <c r="J568" i="2"/>
  <c r="L573" i="2"/>
  <c r="M578" i="2"/>
  <c r="P583" i="2"/>
  <c r="I589" i="2"/>
  <c r="K594" i="2"/>
  <c r="L599" i="2"/>
  <c r="N604" i="2"/>
  <c r="I610" i="2"/>
  <c r="J615" i="2"/>
  <c r="N619" i="2"/>
  <c r="L623" i="2"/>
  <c r="P626" i="2"/>
  <c r="M630" i="2"/>
  <c r="K634" i="2"/>
  <c r="L637" i="2"/>
  <c r="M640" i="2"/>
  <c r="M643" i="2"/>
  <c r="M646" i="2"/>
  <c r="K649" i="2"/>
  <c r="P651" i="2"/>
  <c r="M654" i="2"/>
  <c r="J657" i="2"/>
  <c r="N659" i="2"/>
  <c r="L662" i="2"/>
  <c r="P664" i="2"/>
  <c r="M667" i="2"/>
  <c r="K670" i="2"/>
  <c r="O672" i="2"/>
  <c r="L675" i="2"/>
  <c r="P677" i="2"/>
  <c r="N680" i="2"/>
  <c r="K683" i="2"/>
  <c r="O685" i="2"/>
  <c r="M688" i="2"/>
  <c r="J691" i="2"/>
  <c r="N693" i="2"/>
  <c r="K696" i="2"/>
  <c r="P698" i="2"/>
  <c r="M701" i="2"/>
  <c r="J704" i="2"/>
  <c r="O706" i="2"/>
  <c r="L709" i="2"/>
  <c r="P711" i="2"/>
  <c r="M714" i="2"/>
  <c r="K717" i="2"/>
  <c r="O719" i="2"/>
  <c r="L722" i="2"/>
  <c r="J725" i="2"/>
  <c r="N727" i="2"/>
  <c r="K730" i="2"/>
  <c r="O732" i="2"/>
  <c r="M735" i="2"/>
  <c r="J738" i="2"/>
  <c r="N740" i="2"/>
  <c r="L743" i="2"/>
  <c r="N745" i="2"/>
  <c r="N747" i="2"/>
  <c r="O749" i="2"/>
  <c r="O751" i="2"/>
  <c r="J754" i="2"/>
  <c r="J756" i="2"/>
  <c r="K758" i="2"/>
  <c r="K760" i="2"/>
  <c r="K762" i="2"/>
  <c r="K764" i="2"/>
  <c r="P765" i="2"/>
  <c r="O767" i="2"/>
  <c r="L769" i="2"/>
  <c r="K771" i="2"/>
  <c r="J773" i="2"/>
  <c r="N774" i="2"/>
  <c r="K776" i="2"/>
  <c r="O777" i="2"/>
  <c r="K779" i="2"/>
  <c r="N780" i="2"/>
  <c r="K782" i="2"/>
  <c r="N783" i="2"/>
  <c r="J785" i="2"/>
  <c r="O786" i="2"/>
  <c r="K788" i="2"/>
  <c r="N789" i="2"/>
  <c r="J791" i="2"/>
  <c r="N792" i="2"/>
  <c r="J794" i="2"/>
  <c r="M795" i="2"/>
  <c r="K797" i="2"/>
  <c r="N798" i="2"/>
  <c r="J800" i="2"/>
  <c r="N801" i="2"/>
  <c r="J803" i="2"/>
  <c r="M804" i="2"/>
  <c r="P805" i="2"/>
  <c r="N807" i="2"/>
  <c r="J809" i="2"/>
  <c r="M810" i="2"/>
  <c r="J812" i="2"/>
  <c r="M813" i="2"/>
  <c r="P814" i="2"/>
  <c r="M816" i="2"/>
  <c r="K818" i="2"/>
  <c r="N819" i="2"/>
  <c r="K821" i="2"/>
  <c r="N822" i="2"/>
  <c r="I824" i="2"/>
  <c r="M825" i="2"/>
  <c r="I827" i="2"/>
  <c r="N828" i="2"/>
  <c r="I830" i="2"/>
  <c r="N831" i="2"/>
  <c r="I833" i="2"/>
  <c r="M834" i="2"/>
  <c r="I836" i="2"/>
  <c r="M837" i="2"/>
  <c r="I839" i="2"/>
  <c r="N840" i="2"/>
  <c r="I842" i="2"/>
  <c r="M843" i="2"/>
  <c r="P844" i="2"/>
  <c r="L846" i="2"/>
  <c r="N847" i="2"/>
  <c r="I849" i="2"/>
  <c r="L850" i="2"/>
  <c r="N851" i="2"/>
  <c r="P852" i="2"/>
  <c r="K854" i="2"/>
  <c r="M855" i="2"/>
  <c r="O856" i="2"/>
  <c r="K858" i="2"/>
  <c r="M859" i="2"/>
  <c r="O860" i="2"/>
  <c r="I862" i="2"/>
  <c r="L863" i="2"/>
  <c r="N864" i="2"/>
  <c r="P865" i="2"/>
  <c r="L867" i="2"/>
  <c r="N868" i="2"/>
  <c r="P869" i="2"/>
  <c r="K871" i="2"/>
  <c r="M872" i="2"/>
  <c r="O873" i="2"/>
  <c r="I875" i="2"/>
  <c r="M876" i="2"/>
  <c r="O877" i="2"/>
  <c r="I879" i="2"/>
  <c r="L880" i="2"/>
  <c r="N881" i="2"/>
  <c r="P882" i="2"/>
  <c r="K884" i="2"/>
  <c r="N885" i="2"/>
  <c r="P886" i="2"/>
  <c r="K888" i="2"/>
  <c r="M889" i="2"/>
  <c r="O890" i="2"/>
  <c r="I892" i="2"/>
  <c r="L893" i="2"/>
  <c r="O894" i="2"/>
  <c r="I896" i="2"/>
  <c r="L897" i="2"/>
  <c r="N898" i="2"/>
  <c r="P899" i="2"/>
  <c r="K901" i="2"/>
  <c r="M902" i="2"/>
  <c r="I2" i="2"/>
  <c r="M261" i="2"/>
  <c r="N378" i="2"/>
  <c r="N431" i="2"/>
  <c r="I463" i="2"/>
  <c r="L494" i="2"/>
  <c r="M520" i="2"/>
  <c r="J538" i="2"/>
  <c r="M548" i="2"/>
  <c r="K564" i="2"/>
  <c r="P579" i="2"/>
  <c r="M595" i="2"/>
  <c r="I606" i="2"/>
  <c r="M620" i="2"/>
  <c r="M631" i="2"/>
  <c r="K638" i="2"/>
  <c r="L647" i="2"/>
  <c r="J655" i="2"/>
  <c r="P662" i="2"/>
  <c r="K668" i="2"/>
  <c r="J676" i="2"/>
  <c r="K681" i="2"/>
  <c r="M686" i="2"/>
  <c r="L694" i="2"/>
  <c r="M699" i="2"/>
  <c r="L707" i="2"/>
  <c r="K715" i="2"/>
  <c r="N725" i="2"/>
  <c r="P730" i="2"/>
  <c r="O738" i="2"/>
  <c r="P743" i="2"/>
  <c r="M750" i="2"/>
  <c r="O756" i="2"/>
  <c r="O764" i="2"/>
  <c r="J770" i="2"/>
  <c r="L775" i="2"/>
  <c r="N779" i="2"/>
  <c r="K784" i="2"/>
  <c r="N788" i="2"/>
  <c r="K793" i="2"/>
  <c r="N797" i="2"/>
  <c r="N800" i="2"/>
  <c r="K805" i="2"/>
  <c r="N809" i="2"/>
  <c r="K814" i="2"/>
  <c r="N818" i="2"/>
  <c r="I823" i="2"/>
  <c r="N827" i="2"/>
  <c r="I832" i="2"/>
  <c r="N836" i="2"/>
  <c r="I841" i="2"/>
  <c r="N845" i="2"/>
  <c r="M849" i="2"/>
  <c r="L853" i="2"/>
  <c r="L857" i="2"/>
  <c r="K861" i="2"/>
  <c r="P863" i="2"/>
  <c r="O867" i="2"/>
  <c r="N871" i="2"/>
  <c r="P876" i="2"/>
  <c r="O880" i="2"/>
  <c r="O884" i="2"/>
  <c r="L887" i="2"/>
  <c r="L891" i="2"/>
  <c r="P893" i="2"/>
  <c r="O897" i="2"/>
  <c r="O901" i="2"/>
  <c r="I840" i="2"/>
  <c r="O891" i="2"/>
  <c r="P900" i="2"/>
  <c r="M277" i="2"/>
  <c r="K347" i="2"/>
  <c r="M403" i="2"/>
  <c r="L426" i="2"/>
  <c r="K468" i="2"/>
  <c r="M508" i="2"/>
  <c r="K530" i="2"/>
  <c r="J551" i="2"/>
  <c r="I572" i="2"/>
  <c r="I593" i="2"/>
  <c r="N618" i="2"/>
  <c r="N636" i="2"/>
  <c r="N648" i="2"/>
  <c r="N661" i="2"/>
  <c r="J672" i="2"/>
  <c r="M682" i="2"/>
  <c r="L690" i="2"/>
  <c r="K698" i="2"/>
  <c r="J706" i="2"/>
  <c r="P713" i="2"/>
  <c r="L724" i="2"/>
  <c r="L737" i="2"/>
  <c r="M749" i="2"/>
  <c r="P759" i="2"/>
  <c r="M767" i="2"/>
  <c r="M774" i="2"/>
  <c r="P781" i="2"/>
  <c r="M789" i="2"/>
  <c r="L795" i="2"/>
  <c r="P802" i="2"/>
  <c r="L810" i="2"/>
  <c r="K816" i="2"/>
  <c r="P823" i="2"/>
  <c r="P829" i="2"/>
  <c r="L837" i="2"/>
  <c r="O844" i="2"/>
  <c r="M851" i="2"/>
  <c r="P857" i="2"/>
  <c r="M864" i="2"/>
  <c r="L872" i="2"/>
  <c r="P878" i="2"/>
  <c r="I884" i="2"/>
  <c r="L889" i="2"/>
  <c r="P895" i="2"/>
  <c r="I901" i="2"/>
  <c r="I261" i="2"/>
  <c r="I289" i="2"/>
  <c r="P312" i="2"/>
  <c r="N336" i="2"/>
  <c r="M357" i="2"/>
  <c r="K378" i="2"/>
  <c r="J397" i="2"/>
  <c r="I409" i="2"/>
  <c r="O420" i="2"/>
  <c r="K431" i="2"/>
  <c r="O441" i="2"/>
  <c r="K452" i="2"/>
  <c r="N462" i="2"/>
  <c r="J473" i="2"/>
  <c r="M483" i="2"/>
  <c r="I494" i="2"/>
  <c r="N503" i="2"/>
  <c r="P512" i="2"/>
  <c r="I520" i="2"/>
  <c r="J527" i="2"/>
  <c r="M532" i="2"/>
  <c r="N537" i="2"/>
  <c r="I543" i="2"/>
  <c r="K548" i="2"/>
  <c r="L553" i="2"/>
  <c r="N558" i="2"/>
  <c r="P563" i="2"/>
  <c r="J569" i="2"/>
  <c r="K574" i="2"/>
  <c r="M579" i="2"/>
  <c r="P584" i="2"/>
  <c r="I590" i="2"/>
  <c r="K595" i="2"/>
  <c r="L600" i="2"/>
  <c r="N605" i="2"/>
  <c r="P610" i="2"/>
  <c r="J616" i="2"/>
  <c r="J620" i="2"/>
  <c r="N623" i="2"/>
  <c r="L627" i="2"/>
  <c r="J631" i="2"/>
  <c r="O634" i="2"/>
  <c r="O637" i="2"/>
  <c r="O640" i="2"/>
  <c r="P643" i="2"/>
  <c r="P646" i="2"/>
  <c r="N649" i="2"/>
  <c r="K652" i="2"/>
  <c r="O654" i="2"/>
  <c r="L657" i="2"/>
  <c r="J660" i="2"/>
  <c r="N662" i="2"/>
  <c r="K665" i="2"/>
  <c r="P667" i="2"/>
  <c r="M670" i="2"/>
  <c r="J673" i="2"/>
  <c r="N675" i="2"/>
  <c r="L678" i="2"/>
  <c r="P680" i="2"/>
  <c r="M683" i="2"/>
  <c r="K686" i="2"/>
  <c r="O688" i="2"/>
  <c r="L691" i="2"/>
  <c r="P693" i="2"/>
  <c r="N696" i="2"/>
  <c r="K699" i="2"/>
  <c r="O701" i="2"/>
  <c r="M704" i="2"/>
  <c r="J707" i="2"/>
  <c r="N709" i="2"/>
  <c r="K712" i="2"/>
  <c r="P714" i="2"/>
  <c r="M717" i="2"/>
  <c r="J720" i="2"/>
  <c r="O722" i="2"/>
  <c r="L725" i="2"/>
  <c r="P727" i="2"/>
  <c r="M730" i="2"/>
  <c r="K733" i="2"/>
  <c r="O735" i="2"/>
  <c r="L738" i="2"/>
  <c r="J741" i="2"/>
  <c r="N743" i="2"/>
  <c r="P745" i="2"/>
  <c r="P747" i="2"/>
  <c r="K750" i="2"/>
  <c r="J752" i="2"/>
  <c r="K754" i="2"/>
  <c r="L756" i="2"/>
  <c r="L758" i="2"/>
  <c r="N760" i="2"/>
  <c r="M762" i="2"/>
  <c r="M764" i="2"/>
  <c r="K766" i="2"/>
  <c r="P767" i="2"/>
  <c r="O769" i="2"/>
  <c r="L771" i="2"/>
  <c r="K773" i="2"/>
  <c r="P774" i="2"/>
  <c r="M776" i="2"/>
  <c r="P777" i="2"/>
  <c r="L779" i="2"/>
  <c r="O780" i="2"/>
  <c r="L782" i="2"/>
  <c r="O783" i="2"/>
  <c r="L785" i="2"/>
  <c r="P786" i="2"/>
  <c r="L788" i="2"/>
  <c r="O789" i="2"/>
  <c r="L791" i="2"/>
  <c r="O792" i="2"/>
  <c r="K794" i="2"/>
  <c r="P795" i="2"/>
  <c r="L797" i="2"/>
  <c r="O798" i="2"/>
  <c r="K800" i="2"/>
  <c r="O801" i="2"/>
  <c r="K803" i="2"/>
  <c r="N804" i="2"/>
  <c r="L806" i="2"/>
  <c r="O807" i="2"/>
  <c r="K809" i="2"/>
  <c r="O810" i="2"/>
  <c r="K812" i="2"/>
  <c r="N813" i="2"/>
  <c r="J815" i="2"/>
  <c r="O816" i="2"/>
  <c r="L818" i="2"/>
  <c r="O819" i="2"/>
  <c r="L821" i="2"/>
  <c r="O822" i="2"/>
  <c r="K824" i="2"/>
  <c r="O825" i="2"/>
  <c r="L827" i="2"/>
  <c r="O828" i="2"/>
  <c r="L830" i="2"/>
  <c r="O831" i="2"/>
  <c r="K833" i="2"/>
  <c r="N834" i="2"/>
  <c r="K836" i="2"/>
  <c r="O837" i="2"/>
  <c r="K839" i="2"/>
  <c r="O840" i="2"/>
  <c r="K842" i="2"/>
  <c r="N843" i="2"/>
  <c r="K845" i="2"/>
  <c r="M846" i="2"/>
  <c r="P847" i="2"/>
  <c r="K849" i="2"/>
  <c r="M850" i="2"/>
  <c r="O851" i="2"/>
  <c r="I853" i="2"/>
  <c r="L854" i="2"/>
  <c r="N855" i="2"/>
  <c r="I857" i="2"/>
  <c r="L858" i="2"/>
  <c r="N859" i="2"/>
  <c r="P860" i="2"/>
  <c r="K862" i="2"/>
  <c r="M863" i="2"/>
  <c r="O864" i="2"/>
  <c r="K866" i="2"/>
  <c r="M867" i="2"/>
  <c r="O868" i="2"/>
  <c r="I870" i="2"/>
  <c r="L871" i="2"/>
  <c r="N872" i="2"/>
  <c r="P873" i="2"/>
  <c r="L875" i="2"/>
  <c r="N876" i="2"/>
  <c r="P877" i="2"/>
  <c r="K879" i="2"/>
  <c r="M880" i="2"/>
  <c r="O881" i="2"/>
  <c r="I883" i="2"/>
  <c r="M884" i="2"/>
  <c r="O885" i="2"/>
  <c r="I887" i="2"/>
  <c r="L888" i="2"/>
  <c r="N889" i="2"/>
  <c r="P890" i="2"/>
  <c r="K892" i="2"/>
  <c r="N893" i="2"/>
  <c r="P894" i="2"/>
  <c r="K896" i="2"/>
  <c r="M897" i="2"/>
  <c r="O898" i="2"/>
  <c r="I900" i="2"/>
  <c r="L901" i="2"/>
  <c r="O902" i="2"/>
  <c r="P3" i="2"/>
  <c r="K313" i="2"/>
  <c r="O357" i="2"/>
  <c r="K409" i="2"/>
  <c r="J442" i="2"/>
  <c r="L473" i="2"/>
  <c r="I504" i="2"/>
  <c r="L527" i="2"/>
  <c r="N553" i="2"/>
  <c r="L569" i="2"/>
  <c r="J585" i="2"/>
  <c r="P600" i="2"/>
  <c r="L616" i="2"/>
  <c r="P627" i="2"/>
  <c r="K641" i="2"/>
  <c r="P649" i="2"/>
  <c r="L660" i="2"/>
  <c r="O670" i="2"/>
  <c r="N678" i="2"/>
  <c r="N691" i="2"/>
  <c r="K702" i="2"/>
  <c r="N712" i="2"/>
  <c r="M720" i="2"/>
  <c r="K728" i="2"/>
  <c r="J736" i="2"/>
  <c r="L746" i="2"/>
  <c r="O754" i="2"/>
  <c r="P760" i="2"/>
  <c r="N766" i="2"/>
  <c r="P771" i="2"/>
  <c r="O776" i="2"/>
  <c r="K781" i="2"/>
  <c r="O785" i="2"/>
  <c r="K790" i="2"/>
  <c r="O794" i="2"/>
  <c r="J799" i="2"/>
  <c r="N803" i="2"/>
  <c r="J808" i="2"/>
  <c r="M812" i="2"/>
  <c r="J817" i="2"/>
  <c r="N821" i="2"/>
  <c r="K826" i="2"/>
  <c r="N830" i="2"/>
  <c r="K835" i="2"/>
  <c r="N839" i="2"/>
  <c r="I844" i="2"/>
  <c r="K848" i="2"/>
  <c r="I852" i="2"/>
  <c r="I856" i="2"/>
  <c r="P859" i="2"/>
  <c r="K865" i="2"/>
  <c r="L870" i="2"/>
  <c r="L874" i="2"/>
  <c r="K878" i="2"/>
  <c r="K882" i="2"/>
  <c r="I886" i="2"/>
  <c r="P889" i="2"/>
  <c r="K895" i="2"/>
  <c r="M900" i="2"/>
  <c r="M3" i="2"/>
  <c r="N838" i="2"/>
  <c r="P887" i="2"/>
  <c r="I897" i="2"/>
  <c r="K902" i="2"/>
  <c r="J368" i="2"/>
  <c r="M415" i="2"/>
  <c r="O457" i="2"/>
  <c r="L499" i="2"/>
  <c r="L535" i="2"/>
  <c r="M561" i="2"/>
  <c r="M582" i="2"/>
  <c r="L603" i="2"/>
  <c r="L622" i="2"/>
  <c r="N639" i="2"/>
  <c r="O653" i="2"/>
  <c r="K664" i="2"/>
  <c r="L677" i="2"/>
  <c r="O687" i="2"/>
  <c r="M703" i="2"/>
  <c r="M716" i="2"/>
  <c r="N729" i="2"/>
  <c r="J740" i="2"/>
  <c r="N751" i="2"/>
  <c r="J762" i="2"/>
  <c r="K769" i="2"/>
  <c r="N777" i="2"/>
  <c r="P784" i="2"/>
  <c r="P790" i="2"/>
  <c r="M798" i="2"/>
  <c r="O805" i="2"/>
  <c r="P811" i="2"/>
  <c r="M819" i="2"/>
  <c r="L825" i="2"/>
  <c r="P832" i="2"/>
  <c r="L840" i="2"/>
  <c r="M847" i="2"/>
  <c r="I854" i="2"/>
  <c r="N860" i="2"/>
  <c r="O865" i="2"/>
  <c r="O869" i="2"/>
  <c r="K876" i="2"/>
  <c r="O882" i="2"/>
  <c r="I888" i="2"/>
  <c r="K893" i="2"/>
  <c r="M898" i="2"/>
  <c r="K261" i="2"/>
  <c r="J289" i="2"/>
  <c r="I313" i="2"/>
  <c r="O336" i="2"/>
  <c r="N357" i="2"/>
  <c r="M378" i="2"/>
  <c r="K397" i="2"/>
  <c r="J409" i="2"/>
  <c r="I421" i="2"/>
  <c r="M431" i="2"/>
  <c r="I442" i="2"/>
  <c r="L452" i="2"/>
  <c r="O462" i="2"/>
  <c r="K473" i="2"/>
  <c r="N483" i="2"/>
  <c r="J494" i="2"/>
  <c r="P503" i="2"/>
  <c r="I513" i="2"/>
  <c r="K520" i="2"/>
  <c r="K527" i="2"/>
  <c r="N532" i="2"/>
  <c r="I538" i="2"/>
  <c r="J543" i="2"/>
  <c r="L548" i="2"/>
  <c r="M553" i="2"/>
  <c r="P558" i="2"/>
  <c r="I564" i="2"/>
  <c r="K569" i="2"/>
  <c r="M574" i="2"/>
  <c r="N579" i="2"/>
  <c r="I585" i="2"/>
  <c r="J590" i="2"/>
  <c r="L595" i="2"/>
  <c r="M600" i="2"/>
  <c r="P605" i="2"/>
  <c r="J611" i="2"/>
  <c r="K616" i="2"/>
  <c r="K620" i="2"/>
  <c r="P623" i="2"/>
  <c r="N627" i="2"/>
  <c r="L631" i="2"/>
  <c r="P634" i="2"/>
  <c r="P637" i="2"/>
  <c r="J641" i="2"/>
  <c r="J644" i="2"/>
  <c r="J647" i="2"/>
  <c r="O649" i="2"/>
  <c r="L652" i="2"/>
  <c r="P654" i="2"/>
  <c r="N657" i="2"/>
  <c r="K660" i="2"/>
  <c r="O662" i="2"/>
  <c r="L665" i="2"/>
  <c r="J668" i="2"/>
  <c r="N670" i="2"/>
  <c r="K673" i="2"/>
  <c r="P675" i="2"/>
  <c r="M678" i="2"/>
  <c r="J681" i="2"/>
  <c r="N683" i="2"/>
  <c r="L686" i="2"/>
  <c r="P688" i="2"/>
  <c r="M691" i="2"/>
  <c r="K694" i="2"/>
  <c r="O696" i="2"/>
  <c r="L699" i="2"/>
  <c r="P701" i="2"/>
  <c r="N704" i="2"/>
  <c r="K707" i="2"/>
  <c r="O709" i="2"/>
  <c r="M712" i="2"/>
  <c r="J715" i="2"/>
  <c r="N717" i="2"/>
  <c r="K720" i="2"/>
  <c r="P722" i="2"/>
  <c r="M725" i="2"/>
  <c r="J728" i="2"/>
  <c r="O730" i="2"/>
  <c r="L733" i="2"/>
  <c r="P735" i="2"/>
  <c r="M738" i="2"/>
  <c r="K741" i="2"/>
  <c r="O743" i="2"/>
  <c r="K746" i="2"/>
  <c r="K748" i="2"/>
  <c r="L750" i="2"/>
  <c r="M752" i="2"/>
  <c r="L754" i="2"/>
  <c r="N756" i="2"/>
  <c r="N758" i="2"/>
  <c r="O760" i="2"/>
  <c r="P762" i="2"/>
  <c r="N764" i="2"/>
  <c r="M766" i="2"/>
  <c r="J768" i="2"/>
  <c r="P769" i="2"/>
  <c r="N771" i="2"/>
  <c r="L773" i="2"/>
  <c r="J775" i="2"/>
  <c r="N776" i="2"/>
  <c r="J778" i="2"/>
  <c r="M779" i="2"/>
  <c r="J781" i="2"/>
  <c r="M782" i="2"/>
  <c r="J784" i="2"/>
  <c r="N785" i="2"/>
  <c r="J787" i="2"/>
  <c r="M788" i="2"/>
  <c r="P789" i="2"/>
  <c r="M791" i="2"/>
  <c r="P792" i="2"/>
  <c r="M794" i="2"/>
  <c r="J796" i="2"/>
  <c r="M797" i="2"/>
  <c r="P798" i="2"/>
  <c r="M800" i="2"/>
  <c r="P801" i="2"/>
  <c r="L803" i="2"/>
  <c r="J805" i="2"/>
  <c r="M806" i="2"/>
  <c r="P807" i="2"/>
  <c r="L809" i="2"/>
  <c r="P810" i="2"/>
  <c r="L812" i="2"/>
  <c r="O813" i="2"/>
  <c r="M815" i="2"/>
  <c r="P816" i="2"/>
  <c r="M818" i="2"/>
  <c r="I820" i="2"/>
  <c r="M821" i="2"/>
  <c r="P822" i="2"/>
  <c r="L824" i="2"/>
  <c r="I826" i="2"/>
  <c r="M827" i="2"/>
  <c r="P828" i="2"/>
  <c r="M830" i="2"/>
  <c r="P831" i="2"/>
  <c r="L833" i="2"/>
  <c r="P834" i="2"/>
  <c r="M836" i="2"/>
  <c r="P837" i="2"/>
  <c r="M839" i="2"/>
  <c r="P840" i="2"/>
  <c r="L842" i="2"/>
  <c r="O843" i="2"/>
  <c r="L845" i="2"/>
  <c r="O846" i="2"/>
  <c r="I848" i="2"/>
  <c r="L849" i="2"/>
  <c r="N850" i="2"/>
  <c r="P851" i="2"/>
  <c r="K853" i="2"/>
  <c r="M854" i="2"/>
  <c r="P855" i="2"/>
  <c r="K857" i="2"/>
  <c r="M858" i="2"/>
  <c r="O859" i="2"/>
  <c r="I861" i="2"/>
  <c r="L862" i="2"/>
  <c r="N863" i="2"/>
  <c r="I865" i="2"/>
  <c r="L866" i="2"/>
  <c r="N867" i="2"/>
  <c r="P868" i="2"/>
  <c r="K870" i="2"/>
  <c r="M871" i="2"/>
  <c r="O872" i="2"/>
  <c r="K874" i="2"/>
  <c r="M875" i="2"/>
  <c r="O876" i="2"/>
  <c r="I878" i="2"/>
  <c r="L879" i="2"/>
  <c r="N880" i="2"/>
  <c r="P881" i="2"/>
  <c r="L883" i="2"/>
  <c r="N884" i="2"/>
  <c r="P885" i="2"/>
  <c r="K887" i="2"/>
  <c r="M888" i="2"/>
  <c r="O889" i="2"/>
  <c r="I891" i="2"/>
  <c r="M892" i="2"/>
  <c r="O893" i="2"/>
  <c r="I895" i="2"/>
  <c r="L896" i="2"/>
  <c r="N897" i="2"/>
  <c r="P898" i="2"/>
  <c r="K900" i="2"/>
  <c r="N901" i="2"/>
  <c r="P902" i="2"/>
  <c r="N3" i="2"/>
  <c r="K289" i="2"/>
  <c r="P336" i="2"/>
  <c r="M397" i="2"/>
  <c r="K421" i="2"/>
  <c r="M452" i="2"/>
  <c r="O483" i="2"/>
  <c r="J513" i="2"/>
  <c r="P532" i="2"/>
  <c r="K543" i="2"/>
  <c r="I559" i="2"/>
  <c r="N574" i="2"/>
  <c r="K590" i="2"/>
  <c r="K611" i="2"/>
  <c r="K624" i="2"/>
  <c r="J635" i="2"/>
  <c r="K644" i="2"/>
  <c r="M652" i="2"/>
  <c r="O657" i="2"/>
  <c r="N665" i="2"/>
  <c r="L673" i="2"/>
  <c r="P683" i="2"/>
  <c r="J689" i="2"/>
  <c r="P696" i="2"/>
  <c r="O704" i="2"/>
  <c r="P709" i="2"/>
  <c r="O717" i="2"/>
  <c r="J723" i="2"/>
  <c r="M733" i="2"/>
  <c r="L741" i="2"/>
  <c r="M748" i="2"/>
  <c r="O752" i="2"/>
  <c r="P758" i="2"/>
  <c r="K763" i="2"/>
  <c r="M768" i="2"/>
  <c r="N773" i="2"/>
  <c r="K778" i="2"/>
  <c r="O782" i="2"/>
  <c r="K787" i="2"/>
  <c r="N791" i="2"/>
  <c r="K796" i="2"/>
  <c r="J802" i="2"/>
  <c r="N806" i="2"/>
  <c r="J811" i="2"/>
  <c r="N815" i="2"/>
  <c r="K820" i="2"/>
  <c r="O824" i="2"/>
  <c r="K829" i="2"/>
  <c r="M833" i="2"/>
  <c r="I838" i="2"/>
  <c r="M842" i="2"/>
  <c r="P846" i="2"/>
  <c r="O850" i="2"/>
  <c r="O854" i="2"/>
  <c r="N858" i="2"/>
  <c r="M862" i="2"/>
  <c r="M866" i="2"/>
  <c r="I869" i="2"/>
  <c r="I873" i="2"/>
  <c r="N875" i="2"/>
  <c r="M879" i="2"/>
  <c r="M883" i="2"/>
  <c r="N888" i="2"/>
  <c r="N892" i="2"/>
  <c r="M896" i="2"/>
  <c r="I899" i="2"/>
  <c r="P2" i="2"/>
  <c r="N835" i="2"/>
  <c r="K889" i="2"/>
  <c r="N899" i="2"/>
  <c r="J3" i="2"/>
  <c r="M240" i="2"/>
  <c r="K325" i="2"/>
  <c r="J389" i="2"/>
  <c r="O436" i="2"/>
  <c r="N478" i="2"/>
  <c r="P516" i="2"/>
  <c r="I546" i="2"/>
  <c r="P566" i="2"/>
  <c r="N587" i="2"/>
  <c r="P613" i="2"/>
  <c r="N629" i="2"/>
  <c r="O645" i="2"/>
  <c r="M656" i="2"/>
  <c r="M669" i="2"/>
  <c r="P679" i="2"/>
  <c r="N695" i="2"/>
  <c r="N708" i="2"/>
  <c r="O721" i="2"/>
  <c r="K732" i="2"/>
  <c r="K745" i="2"/>
  <c r="N755" i="2"/>
  <c r="J764" i="2"/>
  <c r="N772" i="2"/>
  <c r="M780" i="2"/>
  <c r="L786" i="2"/>
  <c r="P793" i="2"/>
  <c r="P799" i="2"/>
  <c r="L807" i="2"/>
  <c r="O814" i="2"/>
  <c r="P820" i="2"/>
  <c r="L828" i="2"/>
  <c r="O835" i="2"/>
  <c r="L843" i="2"/>
  <c r="K850" i="2"/>
  <c r="N856" i="2"/>
  <c r="K863" i="2"/>
  <c r="M868" i="2"/>
  <c r="P874" i="2"/>
  <c r="K880" i="2"/>
  <c r="L885" i="2"/>
  <c r="N890" i="2"/>
  <c r="K897" i="2"/>
  <c r="L902" i="2"/>
  <c r="I230" i="2"/>
  <c r="J271" i="2"/>
  <c r="K295" i="2"/>
  <c r="J319" i="2"/>
  <c r="I342" i="2"/>
  <c r="I363" i="2"/>
  <c r="P383" i="2"/>
  <c r="N400" i="2"/>
  <c r="M412" i="2"/>
  <c r="O423" i="2"/>
  <c r="K434" i="2"/>
  <c r="N444" i="2"/>
  <c r="J455" i="2"/>
  <c r="M465" i="2"/>
  <c r="J476" i="2"/>
  <c r="M486" i="2"/>
  <c r="I497" i="2"/>
  <c r="K506" i="2"/>
  <c r="J515" i="2"/>
  <c r="K522" i="2"/>
  <c r="I529" i="2"/>
  <c r="J534" i="2"/>
  <c r="L539" i="2"/>
  <c r="M544" i="2"/>
  <c r="P549" i="2"/>
  <c r="J555" i="2"/>
  <c r="K560" i="2"/>
  <c r="M565" i="2"/>
  <c r="N570" i="2"/>
  <c r="I576" i="2"/>
  <c r="J581" i="2"/>
  <c r="L586" i="2"/>
  <c r="N591" i="2"/>
  <c r="P596" i="2"/>
  <c r="J602" i="2"/>
  <c r="K607" i="2"/>
  <c r="M612" i="2"/>
  <c r="M617" i="2"/>
  <c r="L621" i="2"/>
  <c r="J625" i="2"/>
  <c r="O628" i="2"/>
  <c r="M632" i="2"/>
  <c r="P635" i="2"/>
  <c r="P638" i="2"/>
  <c r="P641" i="2"/>
  <c r="J645" i="2"/>
  <c r="P647" i="2"/>
  <c r="M650" i="2"/>
  <c r="K653" i="2"/>
  <c r="O655" i="2"/>
  <c r="L658" i="2"/>
  <c r="J661" i="2"/>
  <c r="N663" i="2"/>
  <c r="K666" i="2"/>
  <c r="O668" i="2"/>
  <c r="M671" i="2"/>
  <c r="J674" i="2"/>
  <c r="N676" i="2"/>
  <c r="L679" i="2"/>
  <c r="P681" i="2"/>
  <c r="M684" i="2"/>
  <c r="J687" i="2"/>
  <c r="O689" i="2"/>
  <c r="L692" i="2"/>
  <c r="P694" i="2"/>
  <c r="N697" i="2"/>
  <c r="K700" i="2"/>
  <c r="O702" i="2"/>
  <c r="L705" i="2"/>
  <c r="J708" i="2"/>
  <c r="N710" i="2"/>
  <c r="K713" i="2"/>
  <c r="P715" i="2"/>
  <c r="M718" i="2"/>
  <c r="J721" i="2"/>
  <c r="N723" i="2"/>
  <c r="L726" i="2"/>
  <c r="P728" i="2"/>
  <c r="M731" i="2"/>
  <c r="K734" i="2"/>
  <c r="O736" i="2"/>
  <c r="L739" i="2"/>
  <c r="P741" i="2"/>
  <c r="N744" i="2"/>
  <c r="M746" i="2"/>
  <c r="O748" i="2"/>
  <c r="O750" i="2"/>
  <c r="P752" i="2"/>
  <c r="J755" i="2"/>
  <c r="J757" i="2"/>
  <c r="L759" i="2"/>
  <c r="K761" i="2"/>
  <c r="L763" i="2"/>
  <c r="K765" i="2"/>
  <c r="O766" i="2"/>
  <c r="N768" i="2"/>
  <c r="L770" i="2"/>
  <c r="J772" i="2"/>
  <c r="O773" i="2"/>
  <c r="M775" i="2"/>
  <c r="P776" i="2"/>
  <c r="L778" i="2"/>
  <c r="P779" i="2"/>
  <c r="M781" i="2"/>
  <c r="P782" i="2"/>
  <c r="M784" i="2"/>
  <c r="P785" i="2"/>
  <c r="L787" i="2"/>
  <c r="O788" i="2"/>
  <c r="L790" i="2"/>
  <c r="P791" i="2"/>
  <c r="L793" i="2"/>
  <c r="P794" i="2"/>
  <c r="L796" i="2"/>
  <c r="O797" i="2"/>
  <c r="L799" i="2"/>
  <c r="O800" i="2"/>
  <c r="L802" i="2"/>
  <c r="P803" i="2"/>
  <c r="L805" i="2"/>
  <c r="O806" i="2"/>
  <c r="K808" i="2"/>
  <c r="O809" i="2"/>
  <c r="K811" i="2"/>
  <c r="O812" i="2"/>
  <c r="L814" i="2"/>
  <c r="O815" i="2"/>
  <c r="K817" i="2"/>
  <c r="P818" i="2"/>
  <c r="L820" i="2"/>
  <c r="O821" i="2"/>
  <c r="M823" i="2"/>
  <c r="P824" i="2"/>
  <c r="L826" i="2"/>
  <c r="O827" i="2"/>
  <c r="L829" i="2"/>
  <c r="O830" i="2"/>
  <c r="K832" i="2"/>
  <c r="P833" i="2"/>
  <c r="L835" i="2"/>
  <c r="O836" i="2"/>
  <c r="L838" i="2"/>
  <c r="O839" i="2"/>
  <c r="K841" i="2"/>
  <c r="N842" i="2"/>
  <c r="L844" i="2"/>
  <c r="O845" i="2"/>
  <c r="I847" i="2"/>
  <c r="L848" i="2"/>
  <c r="N849" i="2"/>
  <c r="P850" i="2"/>
  <c r="K852" i="2"/>
  <c r="N853" i="2"/>
  <c r="P854" i="2"/>
  <c r="K856" i="2"/>
  <c r="M857" i="2"/>
  <c r="O858" i="2"/>
  <c r="I860" i="2"/>
  <c r="L861" i="2"/>
  <c r="O862" i="2"/>
  <c r="I864" i="2"/>
  <c r="L865" i="2"/>
  <c r="N866" i="2"/>
  <c r="P867" i="2"/>
  <c r="K869" i="2"/>
  <c r="M870" i="2"/>
  <c r="P871" i="2"/>
  <c r="K873" i="2"/>
  <c r="M874" i="2"/>
  <c r="O875" i="2"/>
  <c r="I877" i="2"/>
  <c r="L878" i="2"/>
  <c r="N879" i="2"/>
  <c r="I881" i="2"/>
  <c r="L882" i="2"/>
  <c r="N883" i="2"/>
  <c r="P884" i="2"/>
  <c r="K886" i="2"/>
  <c r="M887" i="2"/>
  <c r="O888" i="2"/>
  <c r="K890" i="2"/>
  <c r="M891" i="2"/>
  <c r="O892" i="2"/>
  <c r="I894" i="2"/>
  <c r="L895" i="2"/>
  <c r="N896" i="2"/>
  <c r="P897" i="2"/>
  <c r="L899" i="2"/>
  <c r="N900" i="2"/>
  <c r="P901" i="2"/>
  <c r="N2" i="2"/>
  <c r="L3" i="2"/>
  <c r="J240" i="2"/>
  <c r="I277" i="2"/>
  <c r="P300" i="2"/>
  <c r="O324" i="2"/>
  <c r="I347" i="2"/>
  <c r="P367" i="2"/>
  <c r="O388" i="2"/>
  <c r="J403" i="2"/>
  <c r="I415" i="2"/>
  <c r="J426" i="2"/>
  <c r="M436" i="2"/>
  <c r="I447" i="2"/>
  <c r="L457" i="2"/>
  <c r="O467" i="2"/>
  <c r="L478" i="2"/>
  <c r="O488" i="2"/>
  <c r="J499" i="2"/>
  <c r="K508" i="2"/>
  <c r="L516" i="2"/>
  <c r="N523" i="2"/>
  <c r="I530" i="2"/>
  <c r="J535" i="2"/>
  <c r="L540" i="2"/>
  <c r="M545" i="2"/>
  <c r="P550" i="2"/>
  <c r="I556" i="2"/>
  <c r="K561" i="2"/>
  <c r="M566" i="2"/>
  <c r="N571" i="2"/>
  <c r="I577" i="2"/>
  <c r="J582" i="2"/>
  <c r="L587" i="2"/>
  <c r="M592" i="2"/>
  <c r="P597" i="2"/>
  <c r="J603" i="2"/>
  <c r="K608" i="2"/>
  <c r="M613" i="2"/>
  <c r="J618" i="2"/>
  <c r="P621" i="2"/>
  <c r="N625" i="2"/>
  <c r="K629" i="2"/>
  <c r="O632" i="2"/>
  <c r="K636" i="2"/>
  <c r="L639" i="2"/>
  <c r="L642" i="2"/>
  <c r="L645" i="2"/>
  <c r="K648" i="2"/>
  <c r="P650" i="2"/>
  <c r="M653" i="2"/>
  <c r="J656" i="2"/>
  <c r="O658" i="2"/>
  <c r="L661" i="2"/>
  <c r="P663" i="2"/>
  <c r="M666" i="2"/>
  <c r="K669" i="2"/>
  <c r="O671" i="2"/>
  <c r="L674" i="2"/>
  <c r="J677" i="2"/>
  <c r="N679" i="2"/>
  <c r="K682" i="2"/>
  <c r="O684" i="2"/>
  <c r="M687" i="2"/>
  <c r="J690" i="2"/>
  <c r="N692" i="2"/>
  <c r="L695" i="2"/>
  <c r="P697" i="2"/>
  <c r="M700" i="2"/>
  <c r="J703" i="2"/>
  <c r="O705" i="2"/>
  <c r="L708" i="2"/>
  <c r="P710" i="2"/>
  <c r="N713" i="2"/>
  <c r="K716" i="2"/>
  <c r="O718" i="2"/>
  <c r="L721" i="2"/>
  <c r="J724" i="2"/>
  <c r="N726" i="2"/>
  <c r="K729" i="2"/>
  <c r="P731" i="2"/>
  <c r="M734" i="2"/>
  <c r="J737" i="2"/>
  <c r="N739" i="2"/>
  <c r="L742" i="2"/>
  <c r="P744" i="2"/>
  <c r="P746" i="2"/>
  <c r="J749" i="2"/>
  <c r="J751" i="2"/>
  <c r="J753" i="2"/>
  <c r="L755" i="2"/>
  <c r="L757" i="2"/>
  <c r="M759" i="2"/>
  <c r="N761" i="2"/>
  <c r="M763" i="2"/>
  <c r="L765" i="2"/>
  <c r="J767" i="2"/>
  <c r="O768" i="2"/>
  <c r="M770" i="2"/>
  <c r="L772" i="2"/>
  <c r="P773" i="2"/>
  <c r="N775" i="2"/>
  <c r="J777" i="2"/>
  <c r="M778" i="2"/>
  <c r="K780" i="2"/>
  <c r="N781" i="2"/>
  <c r="J783" i="2"/>
  <c r="N784" i="2"/>
  <c r="J786" i="2"/>
  <c r="M787" i="2"/>
  <c r="J789" i="2"/>
  <c r="N790" i="2"/>
  <c r="J792" i="2"/>
  <c r="N793" i="2"/>
  <c r="J795" i="2"/>
  <c r="M796" i="2"/>
  <c r="P797" i="2"/>
  <c r="M799" i="2"/>
  <c r="J801" i="2"/>
  <c r="M802" i="2"/>
  <c r="J804" i="2"/>
  <c r="M805" i="2"/>
  <c r="P806" i="2"/>
  <c r="M808" i="2"/>
  <c r="P809" i="2"/>
  <c r="M811" i="2"/>
  <c r="J813" i="2"/>
  <c r="M814" i="2"/>
  <c r="P815" i="2"/>
  <c r="L817" i="2"/>
  <c r="I819" i="2"/>
  <c r="M820" i="2"/>
  <c r="I822" i="2"/>
  <c r="N823" i="2"/>
  <c r="I825" i="2"/>
  <c r="M826" i="2"/>
  <c r="I828" i="2"/>
  <c r="M829" i="2"/>
  <c r="P830" i="2"/>
  <c r="N832" i="2"/>
  <c r="I834" i="2"/>
  <c r="M835" i="2"/>
  <c r="P836" i="2"/>
  <c r="M838" i="2"/>
  <c r="P839" i="2"/>
  <c r="L841" i="2"/>
  <c r="I843" i="2"/>
  <c r="M844" i="2"/>
  <c r="P845" i="2"/>
  <c r="K847" i="2"/>
  <c r="M848" i="2"/>
  <c r="O849" i="2"/>
  <c r="I851" i="2"/>
  <c r="M852" i="2"/>
  <c r="O853" i="2"/>
  <c r="I855" i="2"/>
  <c r="L856" i="2"/>
  <c r="N857" i="2"/>
  <c r="P858" i="2"/>
  <c r="K860" i="2"/>
  <c r="N861" i="2"/>
  <c r="P862" i="2"/>
  <c r="K864" i="2"/>
  <c r="M865" i="2"/>
  <c r="O866" i="2"/>
  <c r="I868" i="2"/>
  <c r="L869" i="2"/>
  <c r="O870" i="2"/>
  <c r="I872" i="2"/>
  <c r="L873" i="2"/>
  <c r="N874" i="2"/>
  <c r="P875" i="2"/>
  <c r="K877" i="2"/>
  <c r="M878" i="2"/>
  <c r="P879" i="2"/>
  <c r="K881" i="2"/>
  <c r="M882" i="2"/>
  <c r="O883" i="2"/>
  <c r="I885" i="2"/>
  <c r="L886" i="2"/>
  <c r="N887" i="2"/>
  <c r="I889" i="2"/>
  <c r="L890" i="2"/>
  <c r="N891" i="2"/>
  <c r="P892" i="2"/>
  <c r="K894" i="2"/>
  <c r="M895" i="2"/>
  <c r="O896" i="2"/>
  <c r="K898" i="2"/>
  <c r="M899" i="2"/>
  <c r="O900" i="2"/>
  <c r="I902" i="2"/>
  <c r="M2" i="2"/>
  <c r="K3" i="2"/>
  <c r="K240" i="2"/>
  <c r="K277" i="2"/>
  <c r="I301" i="2"/>
  <c r="I325" i="2"/>
  <c r="J347" i="2"/>
  <c r="I368" i="2"/>
  <c r="P388" i="2"/>
  <c r="K403" i="2"/>
  <c r="J415" i="2"/>
  <c r="K426" i="2"/>
  <c r="N436" i="2"/>
  <c r="J447" i="2"/>
  <c r="M457" i="2"/>
  <c r="J468" i="2"/>
  <c r="M478" i="2"/>
  <c r="I489" i="2"/>
  <c r="K499" i="2"/>
  <c r="L508" i="2"/>
  <c r="M516" i="2"/>
  <c r="I524" i="2"/>
  <c r="J530" i="2"/>
  <c r="K535" i="2"/>
  <c r="M540" i="2"/>
  <c r="N545" i="2"/>
  <c r="I551" i="2"/>
  <c r="K556" i="2"/>
  <c r="L561" i="2"/>
  <c r="N566" i="2"/>
  <c r="P571" i="2"/>
  <c r="J577" i="2"/>
  <c r="K582" i="2"/>
  <c r="M587" i="2"/>
  <c r="P592" i="2"/>
  <c r="I598" i="2"/>
  <c r="K603" i="2"/>
  <c r="L608" i="2"/>
  <c r="N613" i="2"/>
  <c r="L618" i="2"/>
  <c r="K622" i="2"/>
  <c r="O625" i="2"/>
  <c r="L629" i="2"/>
  <c r="J633" i="2"/>
  <c r="M636" i="2"/>
  <c r="M639" i="2"/>
  <c r="M642" i="2"/>
  <c r="N645" i="2"/>
  <c r="M648" i="2"/>
  <c r="J651" i="2"/>
  <c r="N653" i="2"/>
  <c r="K656" i="2"/>
  <c r="P658" i="2"/>
  <c r="M661" i="2"/>
  <c r="J664" i="2"/>
  <c r="O666" i="2"/>
  <c r="L669" i="2"/>
  <c r="P671" i="2"/>
  <c r="M674" i="2"/>
  <c r="K677" i="2"/>
  <c r="O679" i="2"/>
  <c r="L682" i="2"/>
  <c r="J685" i="2"/>
  <c r="N687" i="2"/>
  <c r="K690" i="2"/>
  <c r="O692" i="2"/>
  <c r="M695" i="2"/>
  <c r="J698" i="2"/>
  <c r="N700" i="2"/>
  <c r="L703" i="2"/>
  <c r="P705" i="2"/>
  <c r="M708" i="2"/>
  <c r="J711" i="2"/>
  <c r="O713" i="2"/>
  <c r="L716" i="2"/>
  <c r="P718" i="2"/>
  <c r="N721" i="2"/>
  <c r="K724" i="2"/>
  <c r="O726" i="2"/>
  <c r="L729" i="2"/>
  <c r="J732" i="2"/>
  <c r="N734" i="2"/>
  <c r="K737" i="2"/>
  <c r="P739" i="2"/>
  <c r="M742" i="2"/>
  <c r="J745" i="2"/>
  <c r="K747" i="2"/>
  <c r="K749" i="2"/>
  <c r="M751" i="2"/>
  <c r="L753" i="2"/>
  <c r="M755" i="2"/>
  <c r="N757" i="2"/>
  <c r="N759" i="2"/>
  <c r="P761" i="2"/>
  <c r="P763" i="2"/>
  <c r="M765" i="2"/>
  <c r="L767" i="2"/>
  <c r="J769" i="2"/>
  <c r="O770" i="2"/>
  <c r="M772" i="2"/>
  <c r="L774" i="2"/>
  <c r="O775" i="2"/>
  <c r="K777" i="2"/>
  <c r="P778" i="2"/>
  <c r="L780" i="2"/>
  <c r="O781" i="2"/>
  <c r="L783" i="2"/>
  <c r="O784" i="2"/>
  <c r="K786" i="2"/>
  <c r="N787" i="2"/>
  <c r="L789" i="2"/>
  <c r="O790" i="2"/>
  <c r="K792" i="2"/>
  <c r="O793" i="2"/>
  <c r="K795" i="2"/>
  <c r="N796" i="2"/>
  <c r="K798" i="2"/>
  <c r="O799" i="2"/>
  <c r="K801" i="2"/>
  <c r="O802" i="2"/>
  <c r="K804" i="2"/>
  <c r="N805" i="2"/>
  <c r="J807" i="2"/>
  <c r="N808" i="2"/>
  <c r="K810" i="2"/>
  <c r="N811" i="2"/>
  <c r="K813" i="2"/>
  <c r="N814" i="2"/>
  <c r="J816" i="2"/>
  <c r="N817" i="2"/>
  <c r="K819" i="2"/>
  <c r="O820" i="2"/>
  <c r="L822" i="2"/>
  <c r="O823" i="2"/>
  <c r="K825" i="2"/>
  <c r="N826" i="2"/>
  <c r="K828" i="2"/>
  <c r="N829" i="2"/>
  <c r="K831" i="2"/>
  <c r="O832" i="2"/>
  <c r="K834" i="2"/>
  <c r="K837" i="2"/>
  <c r="O841" i="2"/>
  <c r="K843" i="2"/>
  <c r="N844" i="2"/>
  <c r="I846" i="2"/>
  <c r="L847" i="2"/>
  <c r="N848" i="2"/>
  <c r="P849" i="2"/>
  <c r="L851" i="2"/>
  <c r="N852" i="2"/>
  <c r="P853" i="2"/>
  <c r="K855" i="2"/>
  <c r="M856" i="2"/>
  <c r="O857" i="2"/>
  <c r="I859" i="2"/>
  <c r="M860" i="2"/>
  <c r="O861" i="2"/>
  <c r="I863" i="2"/>
  <c r="L864" i="2"/>
  <c r="N865" i="2"/>
  <c r="P866" i="2"/>
  <c r="K868" i="2"/>
  <c r="N869" i="2"/>
  <c r="P870" i="2"/>
  <c r="K872" i="2"/>
  <c r="M873" i="2"/>
  <c r="O874" i="2"/>
  <c r="I876" i="2"/>
  <c r="L877" i="2"/>
  <c r="O878" i="2"/>
  <c r="I880" i="2"/>
  <c r="L881" i="2"/>
  <c r="N882" i="2"/>
  <c r="P883" i="2"/>
  <c r="K885" i="2"/>
  <c r="M886" i="2"/>
  <c r="M890" i="2"/>
  <c r="I893" i="2"/>
  <c r="L894" i="2"/>
  <c r="N895" i="2"/>
  <c r="L898" i="2"/>
  <c r="L2" i="2"/>
  <c r="K301" i="2"/>
  <c r="K447" i="2"/>
  <c r="J489" i="2"/>
  <c r="K524" i="2"/>
  <c r="N540" i="2"/>
  <c r="L556" i="2"/>
  <c r="K577" i="2"/>
  <c r="J598" i="2"/>
  <c r="M608" i="2"/>
  <c r="P625" i="2"/>
  <c r="L633" i="2"/>
  <c r="O642" i="2"/>
  <c r="K651" i="2"/>
  <c r="J659" i="2"/>
  <c r="P666" i="2"/>
  <c r="O674" i="2"/>
  <c r="K685" i="2"/>
  <c r="J693" i="2"/>
  <c r="O700" i="2"/>
  <c r="L711" i="2"/>
  <c r="J719" i="2"/>
  <c r="P726" i="2"/>
  <c r="O734" i="2"/>
  <c r="N742" i="2"/>
  <c r="M747" i="2"/>
  <c r="O753" i="2"/>
  <c r="P757" i="2"/>
  <c r="O765" i="2"/>
  <c r="J771" i="2"/>
  <c r="P775" i="2"/>
  <c r="J779" i="2"/>
  <c r="M783" i="2"/>
  <c r="J788" i="2"/>
  <c r="M792" i="2"/>
  <c r="O796" i="2"/>
  <c r="L801" i="2"/>
  <c r="L804" i="2"/>
  <c r="P808" i="2"/>
  <c r="L813" i="2"/>
  <c r="O817" i="2"/>
  <c r="M822" i="2"/>
  <c r="P826" i="2"/>
  <c r="M831" i="2"/>
  <c r="L834" i="2"/>
  <c r="O838" i="2"/>
  <c r="P841" i="2"/>
  <c r="K846" i="2"/>
  <c r="O848" i="2"/>
  <c r="O852" i="2"/>
  <c r="L855" i="2"/>
  <c r="L859" i="2"/>
  <c r="P861" i="2"/>
  <c r="I867" i="2"/>
  <c r="I871" i="2"/>
  <c r="N873" i="2"/>
  <c r="N877" i="2"/>
  <c r="M881" i="2"/>
  <c r="O886" i="2"/>
  <c r="P891" i="2"/>
  <c r="M894" i="2"/>
  <c r="O899" i="2"/>
  <c r="K2" i="2"/>
  <c r="D359" i="2"/>
  <c r="D295" i="2"/>
  <c r="D610" i="2"/>
  <c r="D157" i="2"/>
  <c r="D349" i="2"/>
  <c r="D174" i="2"/>
  <c r="D440" i="2"/>
  <c r="D496" i="2"/>
  <c r="D249" i="2"/>
  <c r="D407" i="2"/>
  <c r="D120" i="2"/>
  <c r="D518" i="2"/>
  <c r="D9" i="2"/>
  <c r="D356" i="2"/>
  <c r="D611" i="2"/>
  <c r="D413" i="2"/>
  <c r="D121" i="2"/>
  <c r="D155" i="2"/>
  <c r="D168" i="2"/>
  <c r="D136" i="2"/>
  <c r="D253" i="2"/>
  <c r="D259" i="2"/>
  <c r="D56" i="2"/>
  <c r="D146" i="2"/>
  <c r="D233" i="2"/>
  <c r="D102" i="2"/>
  <c r="D152" i="2"/>
  <c r="D235" i="2"/>
  <c r="D105" i="2"/>
  <c r="D154" i="2"/>
  <c r="D242" i="2"/>
  <c r="D140" i="2"/>
  <c r="D210" i="2"/>
  <c r="D343" i="2"/>
  <c r="D142" i="2"/>
  <c r="D225" i="2"/>
  <c r="D364" i="2"/>
  <c r="D141" i="2"/>
  <c r="D228" i="2"/>
  <c r="D408" i="2"/>
  <c r="D173" i="2"/>
  <c r="D143" i="2"/>
  <c r="D412" i="2"/>
  <c r="D4" i="2"/>
  <c r="D346" i="2"/>
  <c r="D248" i="2"/>
  <c r="D251" i="2"/>
  <c r="D294" i="2"/>
  <c r="D20" i="2"/>
  <c r="D348" i="2"/>
  <c r="D443" i="2"/>
  <c r="D445" i="2"/>
  <c r="D119" i="2"/>
  <c r="D406" i="2"/>
  <c r="D8" i="2"/>
  <c r="D156" i="2"/>
  <c r="D267" i="2"/>
  <c r="D352" i="2"/>
  <c r="D416" i="2"/>
  <c r="D495" i="2"/>
  <c r="D13" i="2"/>
  <c r="D160" i="2"/>
  <c r="D287" i="2"/>
  <c r="D355" i="2"/>
  <c r="D428" i="2"/>
  <c r="D513" i="2"/>
  <c r="D358" i="2"/>
  <c r="D517" i="2"/>
  <c r="D24" i="2"/>
  <c r="D182" i="2"/>
  <c r="D298" i="2"/>
  <c r="D368" i="2"/>
  <c r="D437" i="2"/>
  <c r="D530" i="2"/>
  <c r="D432" i="2"/>
  <c r="D83" i="2"/>
  <c r="D215" i="2"/>
  <c r="D302" i="2"/>
  <c r="D373" i="2"/>
  <c r="D439" i="2"/>
  <c r="D546" i="2"/>
  <c r="D243" i="2"/>
  <c r="D325" i="2"/>
  <c r="D385" i="2"/>
  <c r="D441" i="2"/>
  <c r="AV172" i="2"/>
  <c r="AV178" i="2"/>
  <c r="AV142" i="2"/>
  <c r="AV137" i="2"/>
  <c r="AV63" i="2"/>
  <c r="AV163" i="2"/>
  <c r="AV80" i="2"/>
  <c r="AV116" i="2"/>
  <c r="AV74" i="2"/>
  <c r="AV58" i="2"/>
  <c r="AV49" i="2"/>
  <c r="AV42" i="2"/>
  <c r="AV33" i="2"/>
  <c r="AV89" i="2"/>
  <c r="AV99" i="2"/>
  <c r="AV106" i="2"/>
  <c r="AV159" i="2"/>
  <c r="AV146" i="2"/>
  <c r="AV139" i="2"/>
  <c r="AV132" i="2"/>
  <c r="AV167" i="2"/>
  <c r="AV152" i="2"/>
  <c r="AV179" i="2"/>
  <c r="AV23" i="2"/>
  <c r="AV15" i="2"/>
  <c r="AZ1" i="2"/>
  <c r="L10" i="6"/>
  <c r="M10" i="6" s="1"/>
  <c r="K10" i="6"/>
  <c r="J10" i="6"/>
  <c r="I10" i="6"/>
  <c r="H10" i="6"/>
  <c r="G10" i="6"/>
  <c r="F10" i="6"/>
  <c r="D184" i="2" l="1"/>
  <c r="AD602" i="6"/>
  <c r="AD35" i="6"/>
  <c r="AD65" i="6"/>
  <c r="AD576" i="6"/>
  <c r="AD532" i="6"/>
  <c r="AD46" i="6"/>
  <c r="AD16" i="6"/>
  <c r="AD157" i="6"/>
  <c r="AD485" i="6"/>
  <c r="AD105" i="6"/>
  <c r="AD427" i="6"/>
  <c r="AD265" i="6"/>
  <c r="AD302" i="6"/>
  <c r="AD777" i="6"/>
  <c r="AD299" i="6"/>
  <c r="AD691" i="6"/>
  <c r="AD372" i="6"/>
  <c r="AD757" i="6"/>
  <c r="AD125" i="6"/>
  <c r="AD560" i="6"/>
  <c r="AD43" i="6"/>
  <c r="AD685" i="6"/>
  <c r="AD496" i="6"/>
  <c r="AD79" i="6"/>
  <c r="AD149" i="6"/>
  <c r="AD156" i="6"/>
  <c r="AD180" i="6"/>
  <c r="AD561" i="6"/>
  <c r="AD702" i="6"/>
  <c r="AD256" i="6"/>
  <c r="AD528" i="6"/>
  <c r="AD10" i="6"/>
  <c r="AD734" i="6"/>
  <c r="AD376" i="6"/>
  <c r="AD433" i="6"/>
  <c r="AD753" i="6"/>
  <c r="AD737" i="6"/>
  <c r="AD5" i="6"/>
  <c r="AD276" i="6"/>
  <c r="AD473" i="6"/>
  <c r="AD713" i="6"/>
  <c r="AD251" i="6"/>
  <c r="AD39" i="6"/>
  <c r="AD205" i="6"/>
  <c r="AD497" i="6"/>
  <c r="AD297" i="6"/>
  <c r="AD257" i="6"/>
  <c r="AD458" i="6"/>
  <c r="AD552" i="6"/>
  <c r="AD136" i="6"/>
  <c r="AD19" i="6"/>
  <c r="AD178" i="6"/>
  <c r="AD78" i="6"/>
  <c r="AD278" i="6"/>
  <c r="AD208" i="6"/>
  <c r="AD236" i="6"/>
  <c r="AD73" i="6"/>
  <c r="AD655" i="6"/>
  <c r="AD666" i="6"/>
  <c r="AD207" i="6"/>
  <c r="AD456" i="6"/>
  <c r="AD229" i="6"/>
  <c r="AD484" i="6"/>
  <c r="AD714" i="6"/>
  <c r="AD158" i="6"/>
  <c r="AD409" i="6"/>
  <c r="AD789" i="6"/>
  <c r="AD91" i="6"/>
  <c r="AD724" i="6"/>
  <c r="AD22" i="6"/>
  <c r="AD36" i="6"/>
  <c r="AD291" i="6"/>
  <c r="AD582" i="6"/>
  <c r="AD440" i="6"/>
  <c r="AD37" i="6"/>
  <c r="AD286" i="6"/>
  <c r="AD314" i="6"/>
  <c r="AD715" i="6"/>
  <c r="AD197" i="6"/>
  <c r="AD24" i="6"/>
  <c r="AD441" i="6"/>
  <c r="AD510" i="6"/>
  <c r="AD684" i="6"/>
  <c r="AD112" i="6"/>
  <c r="AD531" i="6"/>
  <c r="AD335" i="6"/>
  <c r="AD315" i="6"/>
  <c r="AD169" i="6"/>
  <c r="AD419" i="6"/>
  <c r="AD232" i="6"/>
  <c r="AD128" i="6"/>
  <c r="AD145" i="6"/>
  <c r="AD395" i="6"/>
  <c r="AD706" i="6"/>
  <c r="AD761" i="6"/>
  <c r="AD617" i="6"/>
  <c r="AD95" i="6"/>
  <c r="AD273" i="6"/>
  <c r="AD332" i="6"/>
  <c r="AD783" i="6"/>
  <c r="AD296" i="6"/>
  <c r="AD411" i="6"/>
  <c r="AD17" i="6"/>
  <c r="AD592" i="6"/>
  <c r="AD4" i="6"/>
  <c r="AD23" i="6"/>
  <c r="AD293" i="6"/>
  <c r="AD477" i="6"/>
  <c r="AD644" i="6"/>
  <c r="AD49" i="6"/>
  <c r="AD634" i="6"/>
  <c r="AD762" i="6"/>
  <c r="AD628" i="6"/>
  <c r="AD373" i="6"/>
  <c r="AD745" i="6"/>
  <c r="AD680" i="6"/>
  <c r="AD323" i="6"/>
  <c r="AD450" i="6"/>
  <c r="AD11" i="6"/>
  <c r="AD316" i="6"/>
  <c r="AD122" i="6"/>
  <c r="AD380" i="6"/>
  <c r="AD652" i="6"/>
  <c r="AD220" i="6"/>
  <c r="AD673" i="6"/>
  <c r="AD106" i="6"/>
  <c r="AD462" i="6"/>
  <c r="AD613" i="6"/>
  <c r="AD542" i="6"/>
  <c r="AD329" i="6"/>
  <c r="AD758" i="6"/>
  <c r="AD170" i="6"/>
  <c r="AD442" i="6"/>
  <c r="AD41" i="6"/>
  <c r="AD481" i="6"/>
  <c r="AD68" i="6"/>
  <c r="AD513" i="6"/>
  <c r="AD614" i="6"/>
  <c r="AD294" i="6"/>
  <c r="AD787" i="6"/>
  <c r="AD479" i="6"/>
  <c r="AD184" i="6"/>
  <c r="AD129" i="6"/>
  <c r="AD662" i="6"/>
  <c r="AD253" i="6"/>
  <c r="AD238" i="6"/>
  <c r="AD213" i="6"/>
  <c r="AD537" i="6"/>
  <c r="AD103" i="6"/>
  <c r="AD568" i="6"/>
  <c r="AD432" i="6"/>
  <c r="AD71" i="6"/>
  <c r="AD523" i="6"/>
  <c r="AD535" i="6"/>
  <c r="AD230" i="6"/>
  <c r="AD512" i="6"/>
  <c r="AD633" i="6"/>
  <c r="AD336" i="6"/>
  <c r="AD203" i="6"/>
  <c r="AD69" i="6"/>
  <c r="AD255" i="6"/>
  <c r="AD18" i="6"/>
  <c r="AD130" i="6"/>
  <c r="AD143" i="6"/>
  <c r="AD669" i="6"/>
  <c r="AD488" i="6"/>
  <c r="AD52" i="6"/>
  <c r="AD74" i="6"/>
  <c r="AD579" i="6"/>
  <c r="AD295" i="6"/>
  <c r="AD81" i="6"/>
  <c r="AD681" i="6"/>
  <c r="AD472" i="6"/>
  <c r="AD303" i="6"/>
  <c r="AD225" i="6"/>
  <c r="AD640" i="6"/>
  <c r="AD725" i="6"/>
  <c r="AD272" i="6"/>
  <c r="AD495" i="6"/>
  <c r="AD705" i="6"/>
  <c r="AD621" i="6"/>
  <c r="AD686" i="6"/>
  <c r="AD545" i="6"/>
  <c r="AD575" i="6"/>
  <c r="AD799" i="6"/>
  <c r="AD279" i="6"/>
  <c r="AD163" i="6"/>
  <c r="AD668" i="6"/>
  <c r="AD627" i="6"/>
  <c r="AD241" i="6"/>
  <c r="AD593" i="6"/>
  <c r="AD704" i="6"/>
  <c r="AD28" i="6"/>
  <c r="AD455" i="6"/>
  <c r="AD564" i="6"/>
  <c r="AD135" i="6"/>
  <c r="AD605" i="6"/>
  <c r="AD736" i="6"/>
  <c r="AD94" i="6"/>
  <c r="AD515" i="6"/>
  <c r="AD565" i="6"/>
  <c r="AD703" i="6"/>
  <c r="AD138" i="6"/>
  <c r="AD749" i="6"/>
  <c r="AD352" i="6"/>
  <c r="AD650" i="6"/>
  <c r="AD217" i="6"/>
  <c r="AD218" i="6"/>
  <c r="AD283" i="6"/>
  <c r="AD243" i="6"/>
  <c r="AD214" i="6"/>
  <c r="AD301" i="6"/>
  <c r="AD719" i="6"/>
  <c r="AD244" i="6"/>
  <c r="AD566" i="6"/>
  <c r="AD574" i="6"/>
  <c r="AD667" i="6"/>
  <c r="AD305" i="6"/>
  <c r="AD398" i="6"/>
  <c r="AD356" i="6"/>
  <c r="AD318" i="6"/>
  <c r="AD193" i="6"/>
  <c r="AD15" i="6"/>
  <c r="AD589" i="6"/>
  <c r="AD663" i="6"/>
  <c r="AD175" i="6"/>
  <c r="AD606" i="6"/>
  <c r="AD421" i="6"/>
  <c r="AD623" i="6"/>
  <c r="AD344" i="6"/>
  <c r="AD321" i="6"/>
  <c r="AD608" i="6"/>
  <c r="AD610" i="6"/>
  <c r="AD349" i="6"/>
  <c r="AD793" i="6"/>
  <c r="AD25" i="6"/>
  <c r="AD368" i="6"/>
  <c r="AD661" i="6"/>
  <c r="AD530" i="6"/>
  <c r="AD8" i="6"/>
  <c r="AD435" i="6"/>
  <c r="AD353" i="6"/>
  <c r="AD285" i="6"/>
  <c r="AD741" i="6"/>
  <c r="AD509" i="6"/>
  <c r="AD117" i="6"/>
  <c r="AD683" i="6"/>
  <c r="AD514" i="6"/>
  <c r="AD467" i="6"/>
  <c r="AD505" i="6"/>
  <c r="AD649" i="6"/>
  <c r="AD393" i="6"/>
  <c r="AD9" i="6"/>
  <c r="AD664" i="6"/>
  <c r="AD381" i="6"/>
  <c r="AD162" i="6"/>
  <c r="AD226" i="6"/>
  <c r="AD227" i="6"/>
  <c r="AD604" i="6"/>
  <c r="AD317" i="6"/>
  <c r="AD430" i="6"/>
  <c r="AD728" i="6"/>
  <c r="AD489" i="6"/>
  <c r="AD379" i="6"/>
  <c r="AD689" i="6"/>
  <c r="AD60" i="6"/>
  <c r="AD522" i="6"/>
  <c r="AD563" i="6"/>
  <c r="AD682" i="6"/>
  <c r="AD59" i="6"/>
  <c r="AD33" i="6"/>
  <c r="AD351" i="6"/>
  <c r="AD268" i="6"/>
  <c r="AD63" i="6"/>
  <c r="AD369" i="6"/>
  <c r="AD570" i="6"/>
  <c r="AD245" i="6"/>
  <c r="AD519" i="6"/>
  <c r="AD742" i="6"/>
  <c r="AD642" i="6"/>
  <c r="AD222" i="6"/>
  <c r="AD370" i="6"/>
  <c r="AD690" i="6"/>
  <c r="AD320" i="6"/>
  <c r="AD798" i="6"/>
  <c r="AD637" i="6"/>
  <c r="AD646" i="6"/>
  <c r="AD607" i="6"/>
  <c r="AD771" i="6"/>
  <c r="AD701" i="6"/>
  <c r="AD338" i="6"/>
  <c r="AD721" i="6"/>
  <c r="AD596" i="6"/>
  <c r="AD319" i="6"/>
  <c r="AD132" i="6"/>
  <c r="AD365" i="6"/>
  <c r="AD396" i="6"/>
  <c r="AD541" i="6"/>
  <c r="AD397" i="6"/>
  <c r="AD539" i="6"/>
  <c r="AD600" i="6"/>
  <c r="AD280" i="6"/>
  <c r="AD330" i="6"/>
  <c r="AD62" i="6"/>
  <c r="AD358" i="6"/>
  <c r="AD38" i="6"/>
  <c r="AD460" i="6"/>
  <c r="AD308" i="6"/>
  <c r="AD712" i="6"/>
  <c r="AD309" i="6"/>
  <c r="AD173" i="6"/>
  <c r="AD310" i="6"/>
  <c r="AD388" i="6"/>
  <c r="AD354" i="6"/>
  <c r="AD726" i="6"/>
  <c r="AD61" i="6"/>
  <c r="AD580" i="6"/>
  <c r="AD248" i="6"/>
  <c r="AD538" i="6"/>
  <c r="AD635" i="6"/>
  <c r="AD363" i="6"/>
  <c r="AD401" i="6"/>
  <c r="AD191" i="6"/>
  <c r="AD357" i="6"/>
  <c r="AD524" i="6"/>
  <c r="AD31" i="6"/>
  <c r="AD638" i="6"/>
  <c r="AD550" i="6"/>
  <c r="AD394" i="6"/>
  <c r="AD337" i="6"/>
  <c r="AD266" i="6"/>
  <c r="AD407" i="6"/>
  <c r="AD517" i="6"/>
  <c r="AD511" i="6"/>
  <c r="AD641" i="6"/>
  <c r="AD364" i="6"/>
  <c r="AD121" i="6"/>
  <c r="AD174" i="6"/>
  <c r="AD347" i="6"/>
  <c r="AD770" i="6"/>
  <c r="AD201" i="6"/>
  <c r="AD492" i="6"/>
  <c r="AD192" i="6"/>
  <c r="AD468" i="6"/>
  <c r="AD449" i="6"/>
  <c r="AD482" i="6"/>
  <c r="AD547" i="6"/>
  <c r="AD439" i="6"/>
  <c r="AD417" i="6"/>
  <c r="AD198" i="6"/>
  <c r="AD438" i="6"/>
  <c r="AD54" i="6"/>
  <c r="AD677" i="6"/>
  <c r="AD290" i="6"/>
  <c r="AD64" i="6"/>
  <c r="AD622" i="6"/>
  <c r="AD137" i="6"/>
  <c r="AD57" i="6"/>
  <c r="AD507" i="6"/>
  <c r="AD42" i="6"/>
  <c r="AD249" i="6"/>
  <c r="AD717" i="6"/>
  <c r="AD92" i="6"/>
  <c r="AD768" i="6"/>
  <c r="AD643" i="6"/>
  <c r="AD219" i="6"/>
  <c r="AD400" i="6"/>
  <c r="AD403" i="6"/>
  <c r="AD366" i="6"/>
  <c r="AD76" i="6"/>
  <c r="AD133" i="6"/>
  <c r="AD404" i="6"/>
  <c r="AD120" i="6"/>
  <c r="AD160" i="6"/>
  <c r="AD56" i="6"/>
  <c r="AD67" i="6"/>
  <c r="AD660" i="6"/>
  <c r="AD386" i="6"/>
  <c r="AD764" i="6"/>
  <c r="AD483" i="6"/>
  <c r="AD111" i="6"/>
  <c r="AD599" i="6"/>
  <c r="AD508" i="6"/>
  <c r="AD48" i="6"/>
  <c r="AD697" i="6"/>
  <c r="AD80" i="6"/>
  <c r="AD731" i="6"/>
  <c r="AD414" i="6"/>
  <c r="AD172" i="6"/>
  <c r="AD348" i="6"/>
  <c r="AD425" i="6"/>
  <c r="AD653" i="6"/>
  <c r="AD181" i="6"/>
  <c r="AD50" i="6"/>
  <c r="AD534" i="6"/>
  <c r="AD555" i="6"/>
  <c r="AD586" i="6"/>
  <c r="AD312" i="6"/>
  <c r="AD647" i="6"/>
  <c r="AD87" i="6"/>
  <c r="AD431" i="6"/>
  <c r="AD383" i="6"/>
  <c r="AD698" i="6"/>
  <c r="AD585" i="6"/>
  <c r="AD659" i="6"/>
  <c r="AD89" i="6"/>
  <c r="AD471" i="6"/>
  <c r="AD102" i="6"/>
  <c r="AD651" i="6"/>
  <c r="AD744" i="6"/>
  <c r="AD260" i="6"/>
  <c r="AD609" i="6"/>
  <c r="AD86" i="6"/>
  <c r="AD269" i="6"/>
  <c r="AD743" i="6"/>
  <c r="AD778" i="6"/>
  <c r="AD182" i="6"/>
  <c r="AD784" i="6"/>
  <c r="AD711" i="6"/>
  <c r="AD289" i="6"/>
  <c r="AD551" i="6"/>
  <c r="AD447" i="6"/>
  <c r="AD769" i="6"/>
  <c r="AD264" i="6"/>
  <c r="AD785" i="6"/>
  <c r="AD359" i="6"/>
  <c r="AD797" i="6"/>
  <c r="AD525" i="6"/>
  <c r="AD631" i="6"/>
  <c r="AD108" i="6"/>
  <c r="AD55" i="6"/>
  <c r="AD657" i="6"/>
  <c r="AD270" i="6"/>
  <c r="AD70" i="6"/>
  <c r="AD6" i="6"/>
  <c r="AD470" i="6"/>
  <c r="AD562" i="6"/>
  <c r="AD774" i="6"/>
  <c r="AD540" i="6"/>
  <c r="AD360" i="6"/>
  <c r="AD546" i="6"/>
  <c r="AD110" i="6"/>
  <c r="AD3" i="6"/>
  <c r="AD325" i="6"/>
  <c r="AD254" i="6"/>
  <c r="AD732" i="6"/>
  <c r="AD277" i="6"/>
  <c r="AD406" i="6"/>
  <c r="AD636" i="6"/>
  <c r="AD573" i="6"/>
  <c r="AD548" i="6"/>
  <c r="AD766" i="6"/>
  <c r="AD776" i="6"/>
  <c r="AD124" i="6"/>
  <c r="AD775" i="6"/>
  <c r="AD520" i="6"/>
  <c r="AD390" i="6"/>
  <c r="AD767" i="6"/>
  <c r="AD148" i="6"/>
  <c r="AD185" i="6"/>
  <c r="AD413" i="6"/>
  <c r="AD502" i="6"/>
  <c r="AD171" i="6"/>
  <c r="AD503" i="6"/>
  <c r="AD367" i="6"/>
  <c r="AD428" i="6"/>
  <c r="AD687" i="6"/>
  <c r="AD374" i="6"/>
  <c r="AD558" i="6"/>
  <c r="AD730" i="6"/>
  <c r="AD271" i="6"/>
  <c r="AD504" i="6"/>
  <c r="AD209" i="6"/>
  <c r="AD448" i="6"/>
  <c r="AD415" i="6"/>
  <c r="AD792" i="6"/>
  <c r="AD151" i="6"/>
  <c r="AD107" i="6"/>
  <c r="AD147" i="6"/>
  <c r="AD202" i="6"/>
  <c r="AD377" i="6"/>
  <c r="AD665" i="6"/>
  <c r="AD324" i="6"/>
  <c r="AD342" i="6"/>
  <c r="AD99" i="6"/>
  <c r="AD756" i="6"/>
  <c r="AD40" i="6"/>
  <c r="AD656" i="6"/>
  <c r="AD231" i="6"/>
  <c r="AD134" i="6"/>
  <c r="AD327" i="6"/>
  <c r="AD114" i="6"/>
  <c r="AD109" i="6"/>
  <c r="AD215" i="6"/>
  <c r="AD469" i="6"/>
  <c r="AD422" i="6"/>
  <c r="AD206" i="6"/>
  <c r="AD710" i="6"/>
  <c r="AD506" i="6"/>
  <c r="AD429" i="6"/>
  <c r="AD75" i="6"/>
  <c r="AD553" i="6"/>
  <c r="AD670" i="6"/>
  <c r="AD494" i="6"/>
  <c r="AD339" i="6"/>
  <c r="AD146" i="6"/>
  <c r="AD426" i="6"/>
  <c r="AD501" i="6"/>
  <c r="AD98" i="6"/>
  <c r="AD620" i="6"/>
  <c r="AD212" i="6"/>
  <c r="AD603" i="6"/>
  <c r="AD752" i="6"/>
  <c r="AD709" i="6"/>
  <c r="AD361" i="6"/>
  <c r="AD362" i="6"/>
  <c r="AD165" i="6"/>
  <c r="AD311" i="6"/>
  <c r="AD755" i="6"/>
  <c r="AD195" i="6"/>
  <c r="AD654" i="6"/>
  <c r="AD648" i="6"/>
  <c r="AD250" i="6"/>
  <c r="AD693" i="6"/>
  <c r="AD51" i="6"/>
  <c r="AD331" i="6"/>
  <c r="AD350" i="6"/>
  <c r="AD748" i="6"/>
  <c r="AD90" i="6"/>
  <c r="AD26" i="6"/>
  <c r="AD267" i="6"/>
  <c r="AD228" i="6"/>
  <c r="AD210" i="6"/>
  <c r="AD153" i="6"/>
  <c r="AD487" i="6"/>
  <c r="AD794" i="6"/>
  <c r="AD727" i="6"/>
  <c r="AD464" i="6"/>
  <c r="AD760" i="6"/>
  <c r="AD735" i="6"/>
  <c r="AD200" i="6"/>
  <c r="AD581" i="6"/>
  <c r="AD101" i="6"/>
  <c r="AD12" i="6"/>
  <c r="AD186" i="6"/>
  <c r="AD678" i="6"/>
  <c r="AD772" i="6"/>
  <c r="AD306" i="6"/>
  <c r="AD782" i="6"/>
  <c r="AD722" i="6"/>
  <c r="AD423" i="6"/>
  <c r="AD765" i="6"/>
  <c r="AD66" i="6"/>
  <c r="AD34" i="6"/>
  <c r="AD300" i="6"/>
  <c r="AD387" i="6"/>
  <c r="AD85" i="6"/>
  <c r="AD142" i="6"/>
  <c r="AD382" i="6"/>
  <c r="AD526" i="6"/>
  <c r="AD754" i="6"/>
  <c r="AD559" i="6"/>
  <c r="AD53" i="6"/>
  <c r="AD779" i="6"/>
  <c r="AD720" i="6"/>
  <c r="AD632" i="6"/>
  <c r="AD190" i="6"/>
  <c r="AD739" i="6"/>
  <c r="AD21" i="6"/>
  <c r="AD738" i="6"/>
  <c r="AD177" i="6"/>
  <c r="AD740" i="6"/>
  <c r="AD176" i="6"/>
  <c r="AD141" i="6"/>
  <c r="AD45" i="6"/>
  <c r="AD140" i="6"/>
  <c r="AD313" i="6"/>
  <c r="AD751" i="6"/>
  <c r="AD692" i="6"/>
  <c r="AD83" i="6"/>
  <c r="AD549" i="6"/>
  <c r="AD688" i="6"/>
  <c r="AD123" i="6"/>
  <c r="AD759" i="6"/>
  <c r="AD307" i="6"/>
  <c r="AD154" i="6"/>
  <c r="AD569" i="6"/>
  <c r="AD399" i="6"/>
  <c r="AD518" i="6"/>
  <c r="AD674" i="6"/>
  <c r="AD527" i="6"/>
  <c r="AD699" i="6"/>
  <c r="AD233" i="6"/>
  <c r="AD543" i="6"/>
  <c r="AD478" i="6"/>
  <c r="AD474" i="6"/>
  <c r="AD189" i="6"/>
  <c r="AD716" i="6"/>
  <c r="AD275" i="6"/>
  <c r="AD14" i="6"/>
  <c r="AD235" i="6"/>
  <c r="AD601" i="6"/>
  <c r="AD434" i="6"/>
  <c r="AD696" i="6"/>
  <c r="AD194" i="6"/>
  <c r="AD598" i="6"/>
  <c r="AD104" i="6"/>
  <c r="AD780" i="6"/>
  <c r="AD118" i="6"/>
  <c r="AD619" i="6"/>
  <c r="AD333" i="6"/>
  <c r="AD113" i="6"/>
  <c r="AD7" i="6"/>
  <c r="AD384" i="6"/>
  <c r="AD287" i="6"/>
  <c r="AD645" i="6"/>
  <c r="AD322" i="6"/>
  <c r="AD139" i="6"/>
  <c r="AD199" i="6"/>
  <c r="AD247" i="6"/>
  <c r="AD343" i="6"/>
  <c r="AD567" i="6"/>
  <c r="AD773" i="6"/>
  <c r="AD624" i="6"/>
  <c r="AD675" i="6"/>
  <c r="AD781" i="6"/>
  <c r="AD261" i="6"/>
  <c r="AD262" i="6"/>
  <c r="AD234" i="6"/>
  <c r="AD196" i="6"/>
  <c r="AD284" i="6"/>
  <c r="AD412" i="6"/>
  <c r="AD597" i="6"/>
  <c r="AD216" i="6"/>
  <c r="AD97" i="6"/>
  <c r="AD84" i="6"/>
  <c r="AD626" i="6"/>
  <c r="AD391" i="6"/>
  <c r="AD786" i="6"/>
  <c r="AD392" i="6"/>
  <c r="AD126" i="6"/>
  <c r="AD463" i="6"/>
  <c r="AD371" i="6"/>
  <c r="AD707" i="6"/>
  <c r="AD595" i="6"/>
  <c r="AD708" i="6"/>
  <c r="AD451" i="6"/>
  <c r="AD408" i="6"/>
  <c r="AD452" i="6"/>
  <c r="AD453" i="6"/>
  <c r="AD93" i="6"/>
  <c r="AD47" i="6"/>
  <c r="AD159" i="6"/>
  <c r="AD29" i="6"/>
  <c r="AD788" i="6"/>
  <c r="AD144" i="6"/>
  <c r="AD405" i="6"/>
  <c r="AD188" i="6"/>
  <c r="AD341" i="6"/>
  <c r="AD459" i="6"/>
  <c r="AD164" i="6"/>
  <c r="AD572" i="6"/>
  <c r="AD480" i="6"/>
  <c r="AD499" i="6"/>
  <c r="AD588" i="6"/>
  <c r="AD629" i="6"/>
  <c r="AD378" i="6"/>
  <c r="AD282" i="6"/>
  <c r="AD258" i="6"/>
  <c r="AD259" i="6"/>
  <c r="AD166" i="6"/>
  <c r="AD224" i="6"/>
  <c r="AD237" i="6"/>
  <c r="AD281" i="6"/>
  <c r="AD131" i="6"/>
  <c r="AD223" i="6"/>
  <c r="AD298" i="6"/>
  <c r="AD30" i="6"/>
  <c r="AD263" i="6"/>
  <c r="AD521" i="6"/>
  <c r="AD723" i="6"/>
  <c r="AD88" i="6"/>
  <c r="AD32" i="6"/>
  <c r="AD27" i="6"/>
  <c r="AD750" i="6"/>
  <c r="AD242" i="6"/>
  <c r="AD77" i="6"/>
  <c r="AD152" i="6"/>
  <c r="AD695" i="6"/>
  <c r="AD334" i="6"/>
  <c r="AD328" i="6"/>
  <c r="AD796" i="6"/>
  <c r="AD436" i="6"/>
  <c r="AD625" i="6"/>
  <c r="AD500" i="6"/>
  <c r="AD127" i="6"/>
  <c r="AD612" i="6"/>
  <c r="AD454" i="6"/>
  <c r="AD44" i="6"/>
  <c r="AD615" i="6"/>
  <c r="AD96" i="6"/>
  <c r="AD616" i="6"/>
  <c r="AD583" i="6"/>
  <c r="AD461" i="6"/>
  <c r="AD100" i="6"/>
  <c r="AD292" i="6"/>
  <c r="AD486" i="6"/>
  <c r="AD211" i="6"/>
  <c r="AD790" i="6"/>
  <c r="AD416" i="6"/>
  <c r="AD746" i="6"/>
  <c r="AD639" i="6"/>
  <c r="AD700" i="6"/>
  <c r="AD733" i="6"/>
  <c r="AD747" i="6"/>
  <c r="AD529" i="6"/>
  <c r="AD252" i="6"/>
  <c r="AD694" i="6"/>
  <c r="AD577" i="6"/>
  <c r="AD763" i="6"/>
  <c r="AD591" i="6"/>
  <c r="AD571" i="6"/>
  <c r="AD288" i="6"/>
  <c r="AD221" i="6"/>
  <c r="AD465" i="6"/>
  <c r="AD420" i="6"/>
  <c r="AD630" i="6"/>
  <c r="AD385" i="6"/>
  <c r="AD658" i="6"/>
  <c r="AD418" i="6"/>
  <c r="AD795" i="6"/>
  <c r="AD578" i="6"/>
  <c r="AD424" i="6"/>
  <c r="AD389" i="6"/>
  <c r="AD345" i="6"/>
  <c r="AD375" i="6"/>
  <c r="AD150" i="6"/>
  <c r="AD544" i="6"/>
  <c r="AD115" i="6"/>
  <c r="AD671" i="6"/>
  <c r="AD533" i="6"/>
  <c r="AD498" i="6"/>
  <c r="AD587" i="6"/>
  <c r="AD355" i="6"/>
  <c r="AD491" i="6"/>
  <c r="AD457" i="6"/>
  <c r="AD167" i="6"/>
  <c r="AD239" i="6"/>
  <c r="AD672" i="6"/>
  <c r="AD155" i="6"/>
  <c r="AD729" i="6"/>
  <c r="AD516" i="6"/>
  <c r="AD246" i="6"/>
  <c r="AD557" i="6"/>
  <c r="AD326" i="6"/>
  <c r="AD240" i="6"/>
  <c r="AD791" i="6"/>
  <c r="AD676" i="6"/>
  <c r="AD466" i="6"/>
  <c r="AD20" i="6"/>
  <c r="AD72" i="6"/>
  <c r="AD475" i="6"/>
  <c r="AD82" i="6"/>
  <c r="AD116" i="6"/>
  <c r="AD410" i="6"/>
  <c r="AD493" i="6"/>
  <c r="AD556" i="6"/>
  <c r="AD161" i="6"/>
  <c r="AD183" i="6"/>
  <c r="AD119" i="6"/>
  <c r="AD718" i="6"/>
  <c r="AD584" i="6"/>
  <c r="AD446" i="6"/>
  <c r="AD590" i="6"/>
  <c r="AD594" i="6"/>
  <c r="AD58" i="6"/>
  <c r="AD445" i="6"/>
  <c r="AD443" i="6"/>
  <c r="AD444" i="6"/>
  <c r="AD402" i="6"/>
  <c r="AD340" i="6"/>
  <c r="AD168" i="6"/>
  <c r="AD490" i="6"/>
  <c r="AD179" i="6"/>
  <c r="AD204" i="6"/>
  <c r="AD304" i="6"/>
  <c r="AD679" i="6"/>
  <c r="AD611" i="6"/>
  <c r="AD13" i="6"/>
  <c r="AD437" i="6"/>
  <c r="AD346" i="6"/>
  <c r="AD536" i="6"/>
  <c r="AD554" i="6"/>
  <c r="AD187" i="6"/>
  <c r="AD476" i="6"/>
  <c r="AD618" i="6"/>
  <c r="AD274" i="6"/>
  <c r="AY1" i="2"/>
  <c r="F4" i="6" l="1"/>
  <c r="G4" i="6"/>
  <c r="H4" i="6"/>
  <c r="I4" i="6"/>
  <c r="J4" i="6"/>
  <c r="K4" i="6"/>
  <c r="K5" i="6"/>
  <c r="J5" i="6"/>
  <c r="I5" i="6"/>
  <c r="H5" i="6"/>
  <c r="G5" i="6"/>
  <c r="F5" i="6"/>
  <c r="M4" i="6" l="1"/>
  <c r="M5" i="6"/>
  <c r="L5" i="6"/>
  <c r="L4" i="6"/>
  <c r="O2" i="6" l="1"/>
  <c r="O3" i="6" l="1"/>
  <c r="O4" i="6" s="1"/>
  <c r="O5" i="6" s="1"/>
  <c r="O6" i="6" s="1"/>
  <c r="O7" i="6" s="1"/>
  <c r="O8" i="6" s="1"/>
  <c r="O9" i="6" s="1"/>
  <c r="O10" i="6" s="1"/>
  <c r="O11" i="6" s="1"/>
  <c r="O12" i="6" s="1"/>
  <c r="O13" i="6" s="1"/>
  <c r="O14" i="6" s="1"/>
  <c r="O15" i="6" s="1"/>
  <c r="O16" i="6" s="1"/>
  <c r="O17" i="6" s="1"/>
  <c r="O18" i="6" s="1"/>
  <c r="O19" i="6" s="1"/>
  <c r="O20" i="6" s="1"/>
  <c r="O21" i="6" s="1"/>
  <c r="O22" i="6" s="1"/>
  <c r="O23" i="6" s="1"/>
  <c r="O24" i="6" s="1"/>
  <c r="O25" i="6" s="1"/>
  <c r="O26" i="6" s="1"/>
  <c r="O27" i="6" s="1"/>
  <c r="O28" i="6" s="1"/>
  <c r="O29" i="6" s="1"/>
  <c r="O30" i="6" s="1"/>
  <c r="O31" i="6" s="1"/>
  <c r="O32" i="6" s="1"/>
  <c r="O33" i="6" s="1"/>
  <c r="O34" i="6" s="1"/>
  <c r="O35" i="6" s="1"/>
  <c r="O36" i="6" s="1"/>
  <c r="O37" i="6" s="1"/>
  <c r="O38" i="6" s="1"/>
  <c r="O39" i="6" s="1"/>
  <c r="O40" i="6" s="1"/>
  <c r="O41" i="6" s="1"/>
  <c r="O42" i="6" s="1"/>
  <c r="O43" i="6" s="1"/>
  <c r="O44" i="6" s="1"/>
  <c r="O45" i="6" s="1"/>
  <c r="O46" i="6" s="1"/>
  <c r="O47" i="6" s="1"/>
  <c r="O48" i="6" s="1"/>
  <c r="O49" i="6" s="1"/>
  <c r="O50" i="6" s="1"/>
  <c r="O51" i="6" s="1"/>
  <c r="O52" i="6" s="1"/>
  <c r="O53" i="6" s="1"/>
  <c r="O54" i="6" s="1"/>
  <c r="O55" i="6" s="1"/>
  <c r="O56" i="6" s="1"/>
  <c r="O57" i="6" s="1"/>
  <c r="O58" i="6" s="1"/>
  <c r="O59" i="6" s="1"/>
  <c r="O60" i="6" s="1"/>
  <c r="O61" i="6" s="1"/>
  <c r="O62" i="6" s="1"/>
  <c r="O63" i="6" s="1"/>
  <c r="O64" i="6" s="1"/>
  <c r="O65" i="6" s="1"/>
  <c r="O66" i="6" s="1"/>
  <c r="O67" i="6" s="1"/>
  <c r="O68" i="6" s="1"/>
  <c r="O69" i="6" s="1"/>
  <c r="O70" i="6" s="1"/>
  <c r="O71" i="6" s="1"/>
  <c r="O72" i="6" s="1"/>
  <c r="O73" i="6" s="1"/>
  <c r="O74" i="6" s="1"/>
  <c r="O75" i="6" s="1"/>
  <c r="O76" i="6" s="1"/>
  <c r="O77" i="6" s="1"/>
  <c r="O78" i="6" s="1"/>
  <c r="O79" i="6" s="1"/>
  <c r="O80" i="6" s="1"/>
  <c r="O81" i="6" s="1"/>
  <c r="O82" i="6" s="1"/>
  <c r="O83" i="6" s="1"/>
  <c r="O84" i="6" s="1"/>
  <c r="O85" i="6" s="1"/>
  <c r="O86" i="6" s="1"/>
  <c r="O87" i="6" s="1"/>
  <c r="O88" i="6" s="1"/>
  <c r="O89" i="6" s="1"/>
  <c r="O90" i="6" s="1"/>
  <c r="O91" i="6" s="1"/>
  <c r="O92" i="6" s="1"/>
  <c r="O93" i="6" s="1"/>
  <c r="O94" i="6" s="1"/>
  <c r="O95" i="6" s="1"/>
  <c r="O96" i="6" s="1"/>
  <c r="O97" i="6" s="1"/>
  <c r="O98" i="6" s="1"/>
  <c r="O99" i="6" s="1"/>
  <c r="O100" i="6" s="1"/>
  <c r="O101" i="6" s="1"/>
  <c r="O102" i="6" s="1"/>
  <c r="O103" i="6" s="1"/>
  <c r="O104" i="6" s="1"/>
  <c r="O105" i="6" s="1"/>
  <c r="O106" i="6" s="1"/>
  <c r="O107" i="6" s="1"/>
  <c r="O108" i="6" s="1"/>
  <c r="O109" i="6" s="1"/>
  <c r="O110" i="6" s="1"/>
  <c r="O111" i="6" s="1"/>
  <c r="O112" i="6" s="1"/>
  <c r="O113" i="6" s="1"/>
  <c r="O114" i="6" s="1"/>
  <c r="O115" i="6" s="1"/>
  <c r="O116" i="6" s="1"/>
  <c r="O117" i="6" s="1"/>
  <c r="O118" i="6" s="1"/>
  <c r="O119" i="6" s="1"/>
  <c r="O120" i="6" s="1"/>
  <c r="O121" i="6" s="1"/>
  <c r="O122" i="6" s="1"/>
  <c r="O123" i="6" s="1"/>
  <c r="O124" i="6" s="1"/>
  <c r="O125" i="6" s="1"/>
  <c r="O126" i="6" s="1"/>
  <c r="O127" i="6" s="1"/>
  <c r="O128" i="6" s="1"/>
  <c r="O129" i="6" s="1"/>
  <c r="O130" i="6" s="1"/>
  <c r="O131" i="6" s="1"/>
  <c r="O132" i="6" s="1"/>
  <c r="O133" i="6" s="1"/>
  <c r="O134" i="6" s="1"/>
  <c r="O135" i="6" s="1"/>
  <c r="O136" i="6" s="1"/>
  <c r="O137" i="6" s="1"/>
  <c r="O138" i="6" s="1"/>
  <c r="O139" i="6" s="1"/>
  <c r="O140" i="6" s="1"/>
  <c r="O141" i="6" s="1"/>
  <c r="O142" i="6" s="1"/>
  <c r="O143" i="6" s="1"/>
  <c r="O144" i="6" s="1"/>
  <c r="O145" i="6" s="1"/>
  <c r="O146" i="6" s="1"/>
  <c r="O147" i="6" s="1"/>
  <c r="O148" i="6" s="1"/>
  <c r="O149" i="6" s="1"/>
  <c r="O150" i="6" s="1"/>
  <c r="O151" i="6" s="1"/>
  <c r="O152" i="6" s="1"/>
  <c r="O153" i="6" s="1"/>
  <c r="O154" i="6" s="1"/>
  <c r="O155" i="6" s="1"/>
  <c r="O156" i="6" s="1"/>
  <c r="O157" i="6" s="1"/>
  <c r="O158" i="6" s="1"/>
  <c r="O159" i="6" s="1"/>
  <c r="O160" i="6" s="1"/>
  <c r="O161" i="6" s="1"/>
  <c r="O162" i="6" s="1"/>
  <c r="O163" i="6" s="1"/>
  <c r="O164" i="6" s="1"/>
  <c r="O165" i="6" s="1"/>
  <c r="O166" i="6" s="1"/>
  <c r="O167" i="6" s="1"/>
  <c r="O168" i="6" s="1"/>
  <c r="O169" i="6" s="1"/>
  <c r="O170" i="6" s="1"/>
  <c r="O171" i="6" s="1"/>
  <c r="O172" i="6" s="1"/>
  <c r="O173" i="6" s="1"/>
  <c r="O174" i="6" s="1"/>
  <c r="O175" i="6" s="1"/>
  <c r="O176" i="6" s="1"/>
  <c r="O177" i="6" s="1"/>
  <c r="O178" i="6" s="1"/>
  <c r="O179" i="6" s="1"/>
  <c r="O180" i="6" s="1"/>
  <c r="O181" i="6" s="1"/>
  <c r="O182" i="6" s="1"/>
  <c r="O183" i="6" s="1"/>
  <c r="O184" i="6" s="1"/>
  <c r="O185" i="6" s="1"/>
  <c r="O186" i="6" s="1"/>
  <c r="O187" i="6" s="1"/>
  <c r="O188" i="6" s="1"/>
  <c r="O189" i="6" s="1"/>
  <c r="O190" i="6" s="1"/>
  <c r="O191" i="6" s="1"/>
  <c r="O192" i="6" s="1"/>
  <c r="O193" i="6" s="1"/>
  <c r="O194" i="6" s="1"/>
  <c r="O195" i="6" s="1"/>
  <c r="O196" i="6" s="1"/>
  <c r="O197" i="6" s="1"/>
  <c r="O198" i="6" s="1"/>
  <c r="O199" i="6" s="1"/>
  <c r="O200" i="6" s="1"/>
  <c r="O201" i="6" s="1"/>
  <c r="O202" i="6" s="1"/>
  <c r="O203" i="6" s="1"/>
  <c r="O204" i="6" s="1"/>
  <c r="O205" i="6" s="1"/>
  <c r="O206" i="6" s="1"/>
  <c r="O207" i="6" s="1"/>
  <c r="O208" i="6" s="1"/>
  <c r="O209" i="6" s="1"/>
  <c r="O210" i="6" s="1"/>
  <c r="O211" i="6" s="1"/>
  <c r="O212" i="6" s="1"/>
  <c r="O213" i="6" s="1"/>
  <c r="O214" i="6" s="1"/>
  <c r="O215" i="6" s="1"/>
  <c r="O216" i="6" s="1"/>
  <c r="O217" i="6" s="1"/>
  <c r="O218" i="6" s="1"/>
  <c r="O219" i="6" s="1"/>
  <c r="O220" i="6" s="1"/>
  <c r="O221" i="6" s="1"/>
  <c r="O222" i="6" s="1"/>
  <c r="O223" i="6" s="1"/>
  <c r="O224" i="6" s="1"/>
  <c r="O225" i="6" s="1"/>
  <c r="O226" i="6" s="1"/>
  <c r="O227" i="6" s="1"/>
  <c r="O228" i="6" s="1"/>
  <c r="O229" i="6" s="1"/>
  <c r="O230" i="6" s="1"/>
  <c r="O231" i="6" s="1"/>
  <c r="O232" i="6" s="1"/>
  <c r="O233" i="6" s="1"/>
  <c r="O234" i="6" s="1"/>
  <c r="O235" i="6" s="1"/>
  <c r="O236" i="6" s="1"/>
  <c r="O237" i="6" s="1"/>
  <c r="O238" i="6" s="1"/>
  <c r="O239" i="6" s="1"/>
  <c r="O240" i="6" s="1"/>
  <c r="O241" i="6" s="1"/>
  <c r="O242" i="6" s="1"/>
  <c r="O243" i="6" s="1"/>
  <c r="O244" i="6" s="1"/>
  <c r="O245" i="6" s="1"/>
  <c r="O246" i="6" s="1"/>
  <c r="O247" i="6" s="1"/>
  <c r="O248" i="6" s="1"/>
  <c r="O249" i="6" s="1"/>
  <c r="O250" i="6" s="1"/>
  <c r="O251" i="6" s="1"/>
  <c r="O252" i="6" s="1"/>
  <c r="O253" i="6" s="1"/>
  <c r="O254" i="6" s="1"/>
  <c r="O255" i="6" s="1"/>
  <c r="O256" i="6" s="1"/>
  <c r="O257" i="6" s="1"/>
  <c r="O258" i="6" s="1"/>
  <c r="O259" i="6" s="1"/>
  <c r="O260" i="6" s="1"/>
  <c r="O261" i="6" s="1"/>
  <c r="O262" i="6" s="1"/>
  <c r="O263" i="6" s="1"/>
  <c r="O264" i="6" s="1"/>
  <c r="O265" i="6" s="1"/>
  <c r="O266" i="6" s="1"/>
  <c r="O267" i="6" s="1"/>
  <c r="O268" i="6" s="1"/>
  <c r="O269" i="6" s="1"/>
  <c r="O270" i="6" s="1"/>
  <c r="O271" i="6" s="1"/>
  <c r="O272" i="6" s="1"/>
  <c r="O273" i="6" s="1"/>
  <c r="O274" i="6" s="1"/>
  <c r="O275" i="6" s="1"/>
  <c r="O276" i="6" s="1"/>
  <c r="O277" i="6" s="1"/>
  <c r="O278" i="6" s="1"/>
  <c r="O279" i="6" s="1"/>
  <c r="O280" i="6" s="1"/>
  <c r="O281" i="6" s="1"/>
  <c r="O282" i="6" s="1"/>
  <c r="O283" i="6" s="1"/>
  <c r="O284" i="6" s="1"/>
  <c r="O285" i="6" s="1"/>
  <c r="O286" i="6" s="1"/>
  <c r="O287" i="6" s="1"/>
  <c r="O288" i="6" s="1"/>
  <c r="O289" i="6" s="1"/>
  <c r="O290" i="6" s="1"/>
  <c r="O291" i="6" s="1"/>
  <c r="O292" i="6" s="1"/>
  <c r="O293" i="6" s="1"/>
  <c r="O294" i="6" s="1"/>
  <c r="O295" i="6" s="1"/>
  <c r="O296" i="6" s="1"/>
  <c r="O297" i="6" s="1"/>
  <c r="O298" i="6" s="1"/>
  <c r="O299" i="6" s="1"/>
  <c r="O300" i="6" s="1"/>
  <c r="O301" i="6" s="1"/>
  <c r="O302" i="6" s="1"/>
  <c r="O303" i="6" s="1"/>
  <c r="O304" i="6" s="1"/>
  <c r="O305" i="6" s="1"/>
  <c r="O306" i="6" s="1"/>
  <c r="O307" i="6" s="1"/>
  <c r="O308" i="6" s="1"/>
  <c r="O309" i="6" s="1"/>
  <c r="O310" i="6" s="1"/>
  <c r="O311" i="6" s="1"/>
  <c r="O312" i="6" s="1"/>
  <c r="O313" i="6" s="1"/>
  <c r="O314" i="6" s="1"/>
  <c r="O315" i="6" s="1"/>
  <c r="O316" i="6" s="1"/>
  <c r="O317" i="6" s="1"/>
  <c r="O318" i="6" s="1"/>
  <c r="O319" i="6" s="1"/>
  <c r="O320" i="6" s="1"/>
  <c r="O321" i="6" s="1"/>
  <c r="O322" i="6" s="1"/>
  <c r="O323" i="6" s="1"/>
  <c r="O324" i="6" s="1"/>
  <c r="O325" i="6" s="1"/>
  <c r="O326" i="6" s="1"/>
  <c r="O327" i="6" s="1"/>
  <c r="O328" i="6" s="1"/>
  <c r="O329" i="6" s="1"/>
  <c r="O330" i="6" s="1"/>
  <c r="O331" i="6" s="1"/>
  <c r="O332" i="6" s="1"/>
  <c r="O333" i="6" s="1"/>
  <c r="O334" i="6" s="1"/>
  <c r="O335" i="6" s="1"/>
  <c r="O336" i="6" s="1"/>
  <c r="O337" i="6" s="1"/>
  <c r="O338" i="6" s="1"/>
  <c r="O339" i="6" s="1"/>
  <c r="O340" i="6" s="1"/>
  <c r="O341" i="6" s="1"/>
  <c r="O342" i="6" s="1"/>
  <c r="O343" i="6" s="1"/>
  <c r="O344" i="6" s="1"/>
  <c r="O345" i="6" s="1"/>
  <c r="O346" i="6" s="1"/>
  <c r="O347" i="6" s="1"/>
  <c r="O348" i="6" s="1"/>
  <c r="O349" i="6" s="1"/>
  <c r="O350" i="6" s="1"/>
  <c r="O351" i="6" s="1"/>
  <c r="O352" i="6" s="1"/>
  <c r="O353" i="6" s="1"/>
  <c r="O354" i="6" s="1"/>
  <c r="O355" i="6" s="1"/>
  <c r="O356" i="6" s="1"/>
  <c r="O357" i="6" s="1"/>
  <c r="O358" i="6" s="1"/>
  <c r="O359" i="6" s="1"/>
  <c r="O360" i="6" s="1"/>
  <c r="O361" i="6" s="1"/>
  <c r="O362" i="6" s="1"/>
  <c r="O363" i="6" s="1"/>
  <c r="O364" i="6" s="1"/>
  <c r="O365" i="6" s="1"/>
  <c r="O366" i="6" s="1"/>
  <c r="O367" i="6" s="1"/>
  <c r="O368" i="6" s="1"/>
  <c r="O369" i="6" s="1"/>
  <c r="O370" i="6" s="1"/>
  <c r="O371" i="6" s="1"/>
  <c r="O372" i="6" s="1"/>
  <c r="O373" i="6" s="1"/>
  <c r="O374" i="6" s="1"/>
  <c r="O375" i="6" s="1"/>
  <c r="O376" i="6" s="1"/>
  <c r="O377" i="6" s="1"/>
  <c r="O378" i="6" s="1"/>
  <c r="O379" i="6" s="1"/>
  <c r="O380" i="6" s="1"/>
  <c r="O381" i="6" s="1"/>
  <c r="O382" i="6" s="1"/>
  <c r="O383" i="6" s="1"/>
  <c r="O384" i="6" s="1"/>
  <c r="O385" i="6" s="1"/>
  <c r="O386" i="6" s="1"/>
  <c r="O387" i="6" s="1"/>
  <c r="O388" i="6" s="1"/>
  <c r="O389" i="6" s="1"/>
  <c r="O390" i="6" s="1"/>
  <c r="O391" i="6" s="1"/>
  <c r="O392" i="6" s="1"/>
  <c r="O393" i="6" s="1"/>
  <c r="O394" i="6" s="1"/>
  <c r="O395" i="6" s="1"/>
  <c r="O396" i="6" s="1"/>
  <c r="O397" i="6" s="1"/>
  <c r="O398" i="6" s="1"/>
  <c r="O399" i="6" s="1"/>
  <c r="O400" i="6" s="1"/>
  <c r="O401" i="6" s="1"/>
  <c r="O402" i="6" s="1"/>
  <c r="O403" i="6" s="1"/>
  <c r="O404" i="6" s="1"/>
  <c r="O405" i="6" s="1"/>
  <c r="O406" i="6" s="1"/>
  <c r="O407" i="6" s="1"/>
  <c r="O408" i="6" s="1"/>
  <c r="O409" i="6" s="1"/>
  <c r="O410" i="6" s="1"/>
  <c r="O411" i="6" s="1"/>
  <c r="O412" i="6" s="1"/>
  <c r="O413" i="6" s="1"/>
  <c r="O414" i="6" s="1"/>
  <c r="O415" i="6" s="1"/>
  <c r="O416" i="6" s="1"/>
  <c r="O417" i="6" s="1"/>
  <c r="O418" i="6" s="1"/>
  <c r="O419" i="6" s="1"/>
  <c r="O420" i="6" s="1"/>
  <c r="O421" i="6" s="1"/>
  <c r="O422" i="6" s="1"/>
  <c r="O423" i="6" s="1"/>
  <c r="O424" i="6" s="1"/>
  <c r="O425" i="6" s="1"/>
  <c r="O426" i="6" s="1"/>
  <c r="O427" i="6" s="1"/>
  <c r="O428" i="6" s="1"/>
  <c r="O429" i="6" s="1"/>
  <c r="O430" i="6" s="1"/>
  <c r="O431" i="6" s="1"/>
  <c r="O432" i="6" s="1"/>
  <c r="O433" i="6" s="1"/>
  <c r="O434" i="6" s="1"/>
  <c r="O435" i="6" s="1"/>
  <c r="O436" i="6" s="1"/>
  <c r="O437" i="6" s="1"/>
  <c r="O438" i="6" s="1"/>
  <c r="O439" i="6" s="1"/>
  <c r="O440" i="6" s="1"/>
  <c r="O441" i="6" s="1"/>
  <c r="O442" i="6" s="1"/>
  <c r="O443" i="6" s="1"/>
  <c r="O444" i="6" s="1"/>
  <c r="O445" i="6" s="1"/>
  <c r="O446" i="6" s="1"/>
  <c r="O447" i="6" s="1"/>
  <c r="O448" i="6" s="1"/>
  <c r="O449" i="6" s="1"/>
  <c r="O450" i="6" s="1"/>
  <c r="O451" i="6" s="1"/>
  <c r="O452" i="6" s="1"/>
  <c r="O453" i="6" s="1"/>
  <c r="O454" i="6" s="1"/>
  <c r="O455" i="6" s="1"/>
  <c r="O456" i="6" s="1"/>
  <c r="O457" i="6" s="1"/>
  <c r="O458" i="6" s="1"/>
  <c r="O459" i="6" s="1"/>
  <c r="O460" i="6" s="1"/>
  <c r="O461" i="6" s="1"/>
  <c r="O462" i="6" s="1"/>
  <c r="O463" i="6" s="1"/>
  <c r="O464" i="6" s="1"/>
  <c r="O465" i="6" s="1"/>
  <c r="O466" i="6" s="1"/>
  <c r="O467" i="6" s="1"/>
  <c r="O468" i="6" s="1"/>
  <c r="O469" i="6" s="1"/>
  <c r="O470" i="6" s="1"/>
  <c r="O471" i="6" s="1"/>
  <c r="O472" i="6" s="1"/>
  <c r="O473" i="6" s="1"/>
  <c r="O474" i="6" s="1"/>
  <c r="O475" i="6" s="1"/>
  <c r="O476" i="6" s="1"/>
  <c r="O477" i="6" s="1"/>
  <c r="O478" i="6" s="1"/>
  <c r="O479" i="6" s="1"/>
  <c r="O480" i="6" s="1"/>
  <c r="O481" i="6" s="1"/>
  <c r="O482" i="6" s="1"/>
  <c r="O483" i="6" s="1"/>
  <c r="O484" i="6" s="1"/>
  <c r="O485" i="6" s="1"/>
  <c r="O486" i="6" s="1"/>
  <c r="O487" i="6" s="1"/>
  <c r="O488" i="6" s="1"/>
  <c r="O489" i="6" s="1"/>
  <c r="O490" i="6" s="1"/>
  <c r="O491" i="6" s="1"/>
  <c r="O492" i="6" s="1"/>
  <c r="O493" i="6" s="1"/>
  <c r="O494" i="6" s="1"/>
  <c r="O495" i="6" s="1"/>
  <c r="O496" i="6" s="1"/>
  <c r="O497" i="6" s="1"/>
  <c r="O498" i="6" s="1"/>
  <c r="O499" i="6" s="1"/>
  <c r="O500" i="6" s="1"/>
  <c r="O501" i="6" s="1"/>
  <c r="O502" i="6" s="1"/>
  <c r="O503" i="6" s="1"/>
  <c r="O504" i="6" s="1"/>
  <c r="O505" i="6" s="1"/>
  <c r="O506" i="6" s="1"/>
  <c r="O507" i="6" s="1"/>
  <c r="O508" i="6" s="1"/>
  <c r="O509" i="6" s="1"/>
  <c r="O510" i="6" s="1"/>
  <c r="O511" i="6" s="1"/>
  <c r="O512" i="6" s="1"/>
  <c r="O513" i="6" s="1"/>
  <c r="O514" i="6" s="1"/>
  <c r="O515" i="6" s="1"/>
  <c r="O516" i="6" s="1"/>
  <c r="O517" i="6" s="1"/>
  <c r="O518" i="6" s="1"/>
  <c r="O519" i="6" s="1"/>
  <c r="O520" i="6" s="1"/>
  <c r="O521" i="6" s="1"/>
  <c r="O522" i="6" s="1"/>
  <c r="O523" i="6" s="1"/>
  <c r="O524" i="6" s="1"/>
  <c r="O525" i="6" s="1"/>
  <c r="O526" i="6" s="1"/>
  <c r="O527" i="6" s="1"/>
  <c r="O528" i="6" s="1"/>
  <c r="O529" i="6" s="1"/>
  <c r="O530" i="6" s="1"/>
  <c r="O531" i="6" s="1"/>
  <c r="O532" i="6" s="1"/>
  <c r="O533" i="6" s="1"/>
  <c r="O534" i="6" s="1"/>
  <c r="O535" i="6" s="1"/>
  <c r="O536" i="6" s="1"/>
  <c r="O537" i="6" s="1"/>
  <c r="O538" i="6" s="1"/>
  <c r="O539" i="6" s="1"/>
  <c r="O540" i="6" s="1"/>
  <c r="O541" i="6" s="1"/>
  <c r="O542" i="6" s="1"/>
  <c r="O543" i="6" s="1"/>
  <c r="O544" i="6" s="1"/>
  <c r="O545" i="6" s="1"/>
  <c r="O546" i="6" s="1"/>
  <c r="O547" i="6" s="1"/>
  <c r="O548" i="6" s="1"/>
  <c r="O549" i="6" s="1"/>
  <c r="O550" i="6" s="1"/>
  <c r="O551" i="6" s="1"/>
  <c r="O552" i="6" s="1"/>
  <c r="O553" i="6" s="1"/>
  <c r="O554" i="6" s="1"/>
  <c r="O555" i="6" s="1"/>
  <c r="O556" i="6" s="1"/>
  <c r="O557" i="6" s="1"/>
  <c r="O558" i="6" s="1"/>
  <c r="O559" i="6" s="1"/>
  <c r="O560" i="6" s="1"/>
  <c r="O561" i="6" s="1"/>
  <c r="O562" i="6" s="1"/>
  <c r="O563" i="6" s="1"/>
  <c r="O564" i="6" s="1"/>
  <c r="O565" i="6" s="1"/>
  <c r="O566" i="6" s="1"/>
  <c r="O567" i="6" s="1"/>
  <c r="O568" i="6" s="1"/>
  <c r="O569" i="6" s="1"/>
  <c r="O570" i="6" s="1"/>
  <c r="O571" i="6" s="1"/>
  <c r="O572" i="6" s="1"/>
  <c r="O573" i="6" s="1"/>
  <c r="O574" i="6" s="1"/>
  <c r="O575" i="6" s="1"/>
  <c r="O576" i="6" s="1"/>
  <c r="O577" i="6" s="1"/>
  <c r="O578" i="6" s="1"/>
  <c r="O579" i="6" s="1"/>
  <c r="O580" i="6" s="1"/>
  <c r="O581" i="6" s="1"/>
  <c r="O582" i="6" s="1"/>
  <c r="O583" i="6" s="1"/>
  <c r="O584" i="6" s="1"/>
  <c r="O585" i="6" s="1"/>
  <c r="O586" i="6" s="1"/>
  <c r="O587" i="6" s="1"/>
  <c r="O588" i="6" s="1"/>
  <c r="O589" i="6" s="1"/>
  <c r="O590" i="6" s="1"/>
  <c r="O591" i="6" s="1"/>
  <c r="O592" i="6" s="1"/>
  <c r="O593" i="6" s="1"/>
  <c r="O594" i="6" s="1"/>
  <c r="O595" i="6" s="1"/>
  <c r="O596" i="6" s="1"/>
  <c r="O597" i="6" s="1"/>
  <c r="O598" i="6" s="1"/>
  <c r="O599" i="6" s="1"/>
  <c r="O600" i="6" s="1"/>
  <c r="O601" i="6" s="1"/>
  <c r="O602" i="6" s="1"/>
  <c r="O603" i="6" s="1"/>
  <c r="O604" i="6" s="1"/>
  <c r="O605" i="6" s="1"/>
  <c r="O606" i="6" s="1"/>
  <c r="O607" i="6" s="1"/>
  <c r="O608" i="6" s="1"/>
  <c r="O609" i="6" s="1"/>
  <c r="O610" i="6" s="1"/>
  <c r="O611" i="6" s="1"/>
  <c r="O612" i="6" s="1"/>
  <c r="O613" i="6" s="1"/>
  <c r="O614" i="6" s="1"/>
  <c r="O615" i="6" s="1"/>
  <c r="O616" i="6" s="1"/>
  <c r="O617" i="6" s="1"/>
  <c r="O618" i="6" s="1"/>
  <c r="O619" i="6" s="1"/>
  <c r="O620" i="6" s="1"/>
  <c r="O621" i="6" s="1"/>
  <c r="O622" i="6" s="1"/>
  <c r="O623" i="6" s="1"/>
  <c r="O624" i="6" s="1"/>
  <c r="O625" i="6" s="1"/>
  <c r="O626" i="6" s="1"/>
  <c r="O627" i="6" s="1"/>
  <c r="O628" i="6" s="1"/>
  <c r="O629" i="6" s="1"/>
  <c r="O630" i="6" s="1"/>
  <c r="O631" i="6" s="1"/>
  <c r="O632" i="6" s="1"/>
  <c r="O633" i="6" s="1"/>
  <c r="O634" i="6" s="1"/>
  <c r="O635" i="6" s="1"/>
  <c r="O636" i="6" s="1"/>
  <c r="O637" i="6" s="1"/>
  <c r="O638" i="6" s="1"/>
  <c r="O639" i="6" s="1"/>
  <c r="O640" i="6" s="1"/>
  <c r="O641" i="6" s="1"/>
  <c r="O642" i="6" s="1"/>
  <c r="O643" i="6" s="1"/>
  <c r="O644" i="6" s="1"/>
  <c r="O645" i="6" s="1"/>
  <c r="O646" i="6" s="1"/>
  <c r="O647" i="6" s="1"/>
  <c r="O648" i="6" s="1"/>
  <c r="O649" i="6" s="1"/>
  <c r="O650" i="6" s="1"/>
  <c r="O651" i="6" s="1"/>
  <c r="O652" i="6" s="1"/>
  <c r="O653" i="6" s="1"/>
  <c r="O654" i="6" s="1"/>
  <c r="O655" i="6" s="1"/>
  <c r="O656" i="6" s="1"/>
  <c r="O657" i="6" s="1"/>
  <c r="O658" i="6" s="1"/>
  <c r="O659" i="6" s="1"/>
  <c r="O660" i="6" s="1"/>
  <c r="O661" i="6" s="1"/>
  <c r="O662" i="6" s="1"/>
  <c r="O663" i="6" s="1"/>
  <c r="O664" i="6" s="1"/>
  <c r="O665" i="6" s="1"/>
  <c r="O666" i="6" s="1"/>
  <c r="O667" i="6" s="1"/>
  <c r="O668" i="6" s="1"/>
  <c r="O669" i="6" s="1"/>
  <c r="O670" i="6" s="1"/>
  <c r="O671" i="6" s="1"/>
  <c r="O672" i="6" s="1"/>
  <c r="O673" i="6" s="1"/>
  <c r="O674" i="6" s="1"/>
  <c r="O675" i="6" s="1"/>
  <c r="O676" i="6" s="1"/>
  <c r="O677" i="6" s="1"/>
  <c r="O678" i="6" s="1"/>
  <c r="O679" i="6" s="1"/>
  <c r="O680" i="6" s="1"/>
  <c r="O681" i="6" s="1"/>
  <c r="O682" i="6" s="1"/>
  <c r="O683" i="6" s="1"/>
  <c r="O684" i="6" s="1"/>
  <c r="O685" i="6" s="1"/>
  <c r="O686" i="6" s="1"/>
  <c r="O687" i="6" s="1"/>
  <c r="O688" i="6" s="1"/>
  <c r="O689" i="6" s="1"/>
  <c r="O690" i="6" s="1"/>
  <c r="O691" i="6" s="1"/>
  <c r="O692" i="6" s="1"/>
  <c r="O693" i="6" s="1"/>
  <c r="O694" i="6" s="1"/>
  <c r="O695" i="6" s="1"/>
  <c r="O696" i="6" s="1"/>
  <c r="O697" i="6" s="1"/>
  <c r="O698" i="6" s="1"/>
  <c r="O699" i="6" s="1"/>
  <c r="O700" i="6" s="1"/>
  <c r="O701" i="6" s="1"/>
  <c r="O702" i="6" s="1"/>
  <c r="O703" i="6" s="1"/>
  <c r="O704" i="6" s="1"/>
  <c r="O705" i="6" s="1"/>
  <c r="O706" i="6" s="1"/>
  <c r="O707" i="6" s="1"/>
  <c r="O708" i="6" s="1"/>
  <c r="O709" i="6" s="1"/>
  <c r="O710" i="6" s="1"/>
  <c r="O711" i="6" s="1"/>
  <c r="O712" i="6" s="1"/>
  <c r="O713" i="6" s="1"/>
  <c r="O714" i="6" s="1"/>
  <c r="O715" i="6" s="1"/>
  <c r="O716" i="6" s="1"/>
  <c r="O717" i="6" s="1"/>
  <c r="O718" i="6" s="1"/>
  <c r="O719" i="6" s="1"/>
  <c r="O720" i="6" s="1"/>
  <c r="O721" i="6" s="1"/>
  <c r="O722" i="6" s="1"/>
  <c r="O723" i="6" s="1"/>
  <c r="O724" i="6" s="1"/>
  <c r="O725" i="6" s="1"/>
  <c r="O726" i="6" s="1"/>
  <c r="O727" i="6" s="1"/>
  <c r="O728" i="6" s="1"/>
  <c r="O729" i="6" s="1"/>
  <c r="O730" i="6" s="1"/>
  <c r="O731" i="6" s="1"/>
  <c r="O732" i="6" s="1"/>
  <c r="O733" i="6" s="1"/>
  <c r="O734" i="6" s="1"/>
  <c r="O735" i="6" s="1"/>
  <c r="O736" i="6" s="1"/>
  <c r="O737" i="6" s="1"/>
  <c r="O738" i="6" s="1"/>
  <c r="O739" i="6" s="1"/>
  <c r="O740" i="6" s="1"/>
  <c r="O741" i="6" s="1"/>
  <c r="O742" i="6" s="1"/>
  <c r="O743" i="6" s="1"/>
  <c r="O744" i="6" s="1"/>
  <c r="O745" i="6" s="1"/>
  <c r="O746" i="6" s="1"/>
  <c r="O747" i="6" s="1"/>
  <c r="O748" i="6" s="1"/>
  <c r="O749" i="6" s="1"/>
  <c r="O750" i="6" s="1"/>
  <c r="O751" i="6" s="1"/>
  <c r="O752" i="6" s="1"/>
  <c r="O753" i="6" s="1"/>
  <c r="O754" i="6" s="1"/>
  <c r="O755" i="6" s="1"/>
  <c r="O756" i="6" s="1"/>
  <c r="O757" i="6" s="1"/>
  <c r="O758" i="6" s="1"/>
  <c r="O759" i="6" s="1"/>
  <c r="O760" i="6" s="1"/>
  <c r="O761" i="6" s="1"/>
  <c r="O762" i="6" s="1"/>
  <c r="O763" i="6" s="1"/>
  <c r="O764" i="6" s="1"/>
  <c r="O765" i="6" s="1"/>
  <c r="O766" i="6" s="1"/>
  <c r="O767" i="6" s="1"/>
  <c r="O768" i="6" s="1"/>
  <c r="O769" i="6" s="1"/>
  <c r="O770" i="6" s="1"/>
  <c r="O771" i="6" s="1"/>
  <c r="O772" i="6" s="1"/>
  <c r="O773" i="6" s="1"/>
  <c r="O774" i="6" s="1"/>
  <c r="O775" i="6" s="1"/>
  <c r="O776" i="6" s="1"/>
  <c r="O777" i="6" s="1"/>
  <c r="O778" i="6" s="1"/>
  <c r="O779" i="6" s="1"/>
  <c r="O780" i="6" s="1"/>
  <c r="O781" i="6" s="1"/>
  <c r="O782" i="6" s="1"/>
  <c r="O783" i="6" s="1"/>
  <c r="O784" i="6" s="1"/>
  <c r="O785" i="6" s="1"/>
  <c r="O786" i="6" s="1"/>
  <c r="O787" i="6" s="1"/>
  <c r="O788" i="6" s="1"/>
  <c r="O789" i="6" s="1"/>
  <c r="O790" i="6" s="1"/>
  <c r="O791" i="6" s="1"/>
  <c r="O792" i="6" s="1"/>
  <c r="O793" i="6" s="1"/>
  <c r="O794" i="6" s="1"/>
  <c r="O795" i="6" s="1"/>
  <c r="O796" i="6" s="1"/>
  <c r="O797" i="6" s="1"/>
  <c r="O798" i="6" s="1"/>
  <c r="O799" i="6" s="1"/>
  <c r="O800" i="6" s="1"/>
  <c r="O801" i="6" s="1"/>
  <c r="O802" i="6" s="1"/>
  <c r="O803" i="6" s="1"/>
  <c r="O804" i="6" s="1"/>
  <c r="O805" i="6" s="1"/>
  <c r="O806" i="6" s="1"/>
  <c r="O807" i="6" s="1"/>
  <c r="O808" i="6" s="1"/>
  <c r="O809" i="6" s="1"/>
  <c r="O810" i="6" s="1"/>
  <c r="O811" i="6" s="1"/>
  <c r="O812" i="6" s="1"/>
  <c r="O813" i="6" s="1"/>
  <c r="O814" i="6" s="1"/>
  <c r="O815" i="6" s="1"/>
  <c r="O816" i="6" s="1"/>
  <c r="O817" i="6" s="1"/>
  <c r="O818" i="6" s="1"/>
  <c r="O819" i="6" s="1"/>
  <c r="O820" i="6" s="1"/>
  <c r="O821" i="6" s="1"/>
  <c r="O822" i="6" s="1"/>
  <c r="O823" i="6" s="1"/>
  <c r="O824" i="6" s="1"/>
  <c r="O825" i="6" s="1"/>
  <c r="O826" i="6" s="1"/>
  <c r="O827" i="6" s="1"/>
  <c r="O828" i="6" s="1"/>
  <c r="O829" i="6" s="1"/>
  <c r="O830" i="6" s="1"/>
  <c r="O831" i="6" s="1"/>
  <c r="O832" i="6" s="1"/>
  <c r="O833" i="6" s="1"/>
  <c r="O834" i="6" s="1"/>
  <c r="O835" i="6" s="1"/>
  <c r="O836" i="6" s="1"/>
  <c r="O837" i="6" s="1"/>
  <c r="O838" i="6" s="1"/>
  <c r="O839" i="6" s="1"/>
  <c r="O840" i="6" s="1"/>
  <c r="O841" i="6" s="1"/>
  <c r="O842" i="6" s="1"/>
  <c r="O843" i="6" s="1"/>
  <c r="O844" i="6" s="1"/>
  <c r="O845" i="6" s="1"/>
  <c r="O846" i="6" s="1"/>
  <c r="O847" i="6" s="1"/>
  <c r="O848" i="6" s="1"/>
  <c r="O849" i="6" s="1"/>
  <c r="O850" i="6" s="1"/>
  <c r="O851" i="6" s="1"/>
  <c r="O852" i="6" s="1"/>
  <c r="O853" i="6" s="1"/>
  <c r="O854" i="6" s="1"/>
  <c r="O855" i="6" s="1"/>
  <c r="O856" i="6" s="1"/>
  <c r="O857" i="6" s="1"/>
  <c r="O858" i="6" s="1"/>
  <c r="O859" i="6" s="1"/>
  <c r="O860" i="6" s="1"/>
  <c r="O861" i="6" s="1"/>
  <c r="O862" i="6" s="1"/>
  <c r="O863" i="6" s="1"/>
  <c r="O864" i="6" s="1"/>
  <c r="O865" i="6" s="1"/>
  <c r="O866" i="6" s="1"/>
  <c r="O867" i="6" s="1"/>
  <c r="O868" i="6" s="1"/>
  <c r="O869" i="6" s="1"/>
  <c r="O870" i="6" s="1"/>
  <c r="O871" i="6" s="1"/>
  <c r="O872" i="6" s="1"/>
  <c r="O873" i="6" s="1"/>
  <c r="O874" i="6" s="1"/>
  <c r="O875" i="6" s="1"/>
  <c r="O876" i="6" s="1"/>
  <c r="O877" i="6" s="1"/>
  <c r="O878" i="6" s="1"/>
  <c r="O879" i="6" s="1"/>
  <c r="O880" i="6" s="1"/>
  <c r="O881" i="6" s="1"/>
  <c r="O882" i="6" s="1"/>
  <c r="O883" i="6" s="1"/>
  <c r="O884" i="6" s="1"/>
  <c r="O885" i="6" s="1"/>
  <c r="O886" i="6" s="1"/>
  <c r="O887" i="6" s="1"/>
  <c r="O888" i="6" s="1"/>
  <c r="O889" i="6" s="1"/>
  <c r="O890" i="6" s="1"/>
  <c r="O891" i="6" s="1"/>
  <c r="O892" i="6" s="1"/>
  <c r="O893" i="6" s="1"/>
  <c r="O894" i="6" s="1"/>
  <c r="O895" i="6" s="1"/>
  <c r="O896" i="6" s="1"/>
  <c r="O897" i="6" s="1"/>
  <c r="O898" i="6" s="1"/>
  <c r="O899" i="6" s="1"/>
  <c r="O900" i="6" s="1"/>
  <c r="O901" i="6" s="1"/>
  <c r="O902" i="6" s="1"/>
  <c r="D7" i="6" l="1"/>
  <c r="J11" i="6" l="1"/>
  <c r="F11" i="6"/>
  <c r="H11" i="6"/>
  <c r="I11" i="6"/>
  <c r="M11" i="6"/>
  <c r="L11" i="6"/>
  <c r="G11" i="6"/>
  <c r="K11" i="6"/>
  <c r="M9" i="6"/>
  <c r="L9" i="6"/>
  <c r="K9" i="6"/>
  <c r="J9" i="6"/>
  <c r="I9" i="6"/>
  <c r="H9" i="6"/>
  <c r="G9" i="6"/>
  <c r="F9" i="6"/>
  <c r="F2" i="6"/>
  <c r="G2" i="6"/>
  <c r="H2" i="6"/>
  <c r="I2" i="6"/>
  <c r="J2" i="6"/>
  <c r="K2" i="6"/>
  <c r="F3" i="6"/>
  <c r="G3" i="6"/>
  <c r="H3" i="6"/>
  <c r="I3" i="6"/>
  <c r="J3" i="6"/>
  <c r="K3" i="6"/>
  <c r="M3" i="6"/>
  <c r="M2" i="6"/>
  <c r="L3" i="6"/>
  <c r="L2" i="6"/>
  <c r="I12" i="6" l="1"/>
  <c r="L12" i="6"/>
  <c r="H12" i="6"/>
  <c r="J12" i="6"/>
  <c r="K12" i="6"/>
  <c r="M12" i="6"/>
  <c r="F12" i="6"/>
  <c r="G12" i="6"/>
  <c r="AX1" i="2"/>
  <c r="L2" i="4" l="1"/>
  <c r="A3" i="2"/>
  <c r="A4" i="2" l="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N2" i="4"/>
  <c r="O2" i="4"/>
  <c r="S2" i="4"/>
  <c r="P2" i="4"/>
  <c r="Q2" i="4"/>
  <c r="R2" i="4"/>
  <c r="T2" i="4"/>
  <c r="K3" i="4"/>
  <c r="L3" i="4"/>
  <c r="M2" i="4"/>
  <c r="A1" i="6" l="1"/>
  <c r="O3" i="4"/>
  <c r="P3" i="4"/>
  <c r="T3" i="4"/>
  <c r="N3" i="4"/>
  <c r="Q3" i="4"/>
  <c r="S3" i="4"/>
  <c r="R3" i="4"/>
  <c r="M3" i="4"/>
  <c r="K4" i="4"/>
  <c r="L4" i="4"/>
  <c r="S4" i="4" l="1"/>
  <c r="O4" i="4"/>
  <c r="P4" i="4"/>
  <c r="N4" i="4"/>
  <c r="T4" i="4"/>
  <c r="R4" i="4"/>
  <c r="Q4" i="4"/>
  <c r="M4" i="4"/>
  <c r="L5" i="4"/>
  <c r="K5" i="4"/>
  <c r="T5" i="4" l="1"/>
  <c r="M5" i="4"/>
  <c r="P5" i="4"/>
  <c r="P6" i="4" s="1"/>
  <c r="O5" i="4"/>
  <c r="R5" i="4"/>
  <c r="S5" i="4"/>
  <c r="N5" i="4"/>
  <c r="Q5" i="4"/>
  <c r="K6" i="4"/>
  <c r="L6" i="4"/>
  <c r="S6" i="4" l="1"/>
  <c r="Q6" i="4"/>
  <c r="N6" i="4"/>
  <c r="O6" i="4"/>
  <c r="R6" i="4"/>
  <c r="T6" i="4"/>
  <c r="M6" i="4"/>
  <c r="K7" i="4"/>
  <c r="L7" i="4"/>
  <c r="R7" i="4" l="1"/>
  <c r="T7" i="4"/>
  <c r="N7" i="4"/>
  <c r="P7" i="4"/>
  <c r="Q7" i="4"/>
  <c r="O7" i="4"/>
  <c r="S7" i="4"/>
  <c r="M7" i="4"/>
  <c r="L8" i="4"/>
  <c r="K8" i="4"/>
  <c r="O8" i="4" l="1"/>
  <c r="P8" i="4"/>
  <c r="Q8" i="4"/>
  <c r="R8" i="4"/>
  <c r="S8" i="4"/>
  <c r="T8" i="4"/>
  <c r="N8" i="4"/>
  <c r="M8" i="4"/>
  <c r="L9" i="4"/>
  <c r="K9" i="4"/>
  <c r="M9" i="4" l="1"/>
  <c r="N9" i="4"/>
  <c r="P9" i="4"/>
  <c r="T9" i="4"/>
  <c r="R9" i="4"/>
  <c r="Q9" i="4"/>
  <c r="O9" i="4"/>
  <c r="S9" i="4"/>
  <c r="K10" i="4"/>
  <c r="L10" i="4"/>
  <c r="Q10" i="4" l="1"/>
  <c r="S10" i="4"/>
  <c r="R10" i="4"/>
  <c r="N10" i="4"/>
  <c r="P10" i="4"/>
  <c r="T10" i="4"/>
  <c r="O10" i="4"/>
  <c r="M10" i="4"/>
  <c r="K11" i="4"/>
  <c r="L11" i="4"/>
  <c r="N11" i="4" l="1"/>
  <c r="O11" i="4"/>
  <c r="T11" i="4"/>
  <c r="P11" i="4"/>
  <c r="Q11" i="4"/>
  <c r="S11" i="4"/>
  <c r="R11" i="4"/>
  <c r="M11" i="4"/>
  <c r="L12" i="4"/>
  <c r="K12" i="4"/>
  <c r="M12" i="4" l="1"/>
  <c r="O12" i="4"/>
  <c r="P12" i="4"/>
  <c r="T12" i="4"/>
  <c r="N12" i="4"/>
  <c r="Q12" i="4"/>
  <c r="S12" i="4"/>
  <c r="R12" i="4"/>
  <c r="K13" i="4"/>
  <c r="L13" i="4"/>
  <c r="S13" i="4" l="1"/>
  <c r="N13" i="4"/>
  <c r="O13" i="4"/>
  <c r="T13" i="4"/>
  <c r="P13" i="4"/>
  <c r="Q13" i="4"/>
  <c r="R13" i="4"/>
  <c r="M13" i="4"/>
  <c r="L14" i="4"/>
  <c r="K14" i="4"/>
  <c r="R14" i="4" l="1"/>
  <c r="O14" i="4"/>
  <c r="N14" i="4"/>
  <c r="P14" i="4"/>
  <c r="T14" i="4"/>
  <c r="S14" i="4"/>
  <c r="Q14" i="4"/>
  <c r="M14" i="4"/>
  <c r="K15" i="4"/>
  <c r="L15" i="4"/>
  <c r="N15" i="4" l="1"/>
  <c r="P15" i="4"/>
  <c r="R15" i="4"/>
  <c r="O15" i="4"/>
  <c r="S15" i="4"/>
  <c r="T15" i="4"/>
  <c r="Q15" i="4"/>
  <c r="M15" i="4"/>
  <c r="K16" i="4"/>
  <c r="L16" i="4"/>
  <c r="O16" i="4" l="1"/>
  <c r="P16" i="4"/>
  <c r="R16" i="4"/>
  <c r="S16" i="4"/>
  <c r="N16" i="4"/>
  <c r="Q16" i="4"/>
  <c r="T16" i="4"/>
  <c r="M16" i="4"/>
  <c r="L17" i="4"/>
  <c r="K17" i="4"/>
  <c r="M17" i="4" l="1"/>
  <c r="P17" i="4"/>
  <c r="Q17" i="4"/>
  <c r="R17" i="4"/>
  <c r="S17" i="4"/>
  <c r="N17" i="4"/>
  <c r="O17" i="4"/>
  <c r="T17" i="4"/>
  <c r="L18" i="4"/>
  <c r="K18" i="4"/>
  <c r="Q18" i="4" l="1"/>
  <c r="R18" i="4"/>
  <c r="N18" i="4"/>
  <c r="O18" i="4"/>
  <c r="P18" i="4"/>
  <c r="S18" i="4"/>
  <c r="T18" i="4"/>
  <c r="M18" i="4"/>
  <c r="K19" i="4"/>
  <c r="L19" i="4"/>
  <c r="R19" i="4" l="1"/>
  <c r="S19" i="4"/>
  <c r="T19" i="4"/>
  <c r="N19" i="4"/>
  <c r="O19" i="4"/>
  <c r="P19" i="4"/>
  <c r="Q19" i="4"/>
  <c r="M19" i="4"/>
  <c r="K20" i="4"/>
  <c r="L20" i="4"/>
  <c r="S20" i="4" l="1"/>
  <c r="T20" i="4"/>
  <c r="P20" i="4"/>
  <c r="O20" i="4"/>
  <c r="N20" i="4"/>
  <c r="Q20" i="4"/>
  <c r="R20" i="4"/>
  <c r="M20" i="4"/>
  <c r="K21" i="4"/>
  <c r="L21" i="4"/>
  <c r="T21" i="4" l="1"/>
  <c r="N21" i="4"/>
  <c r="P21" i="4"/>
  <c r="R21" i="4"/>
  <c r="S21" i="4"/>
  <c r="O21" i="4"/>
  <c r="Q21" i="4"/>
  <c r="M21" i="4"/>
  <c r="K22" i="4"/>
  <c r="L22" i="4"/>
  <c r="N22" i="4" l="1"/>
  <c r="Q22" i="4"/>
  <c r="P22" i="4"/>
  <c r="O22" i="4"/>
  <c r="R22" i="4"/>
  <c r="S22" i="4"/>
  <c r="T22" i="4"/>
  <c r="M22" i="4"/>
  <c r="L23" i="4"/>
  <c r="K23" i="4"/>
  <c r="N23" i="4" l="1"/>
  <c r="O23" i="4"/>
  <c r="Q23" i="4"/>
  <c r="T23" i="4"/>
  <c r="P23" i="4"/>
  <c r="R23" i="4"/>
  <c r="S23" i="4"/>
  <c r="M23" i="4"/>
  <c r="K24" i="4"/>
  <c r="L24" i="4"/>
  <c r="O24" i="4" l="1"/>
  <c r="P24" i="4"/>
  <c r="Q24" i="4"/>
  <c r="S24" i="4"/>
  <c r="T24" i="4"/>
  <c r="N24" i="4"/>
  <c r="R24" i="4"/>
  <c r="M24" i="4"/>
  <c r="K25" i="4"/>
  <c r="L25" i="4"/>
  <c r="P25" i="4" l="1"/>
  <c r="Q25" i="4"/>
  <c r="S25" i="4"/>
  <c r="T25" i="4"/>
  <c r="N25" i="4"/>
  <c r="O25" i="4"/>
  <c r="R25" i="4"/>
  <c r="M25" i="4"/>
  <c r="K26" i="4"/>
  <c r="L26" i="4"/>
  <c r="Q26" i="4" l="1"/>
  <c r="S26" i="4"/>
  <c r="N26" i="4"/>
  <c r="T26" i="4"/>
  <c r="O26" i="4"/>
  <c r="P26" i="4"/>
  <c r="R26" i="4"/>
  <c r="M26" i="4"/>
  <c r="K27" i="4"/>
  <c r="L27" i="4"/>
  <c r="R27" i="4" l="1"/>
  <c r="S27" i="4"/>
  <c r="T27" i="4"/>
  <c r="N27" i="4"/>
  <c r="P27" i="4"/>
  <c r="Q27" i="4"/>
  <c r="O27" i="4"/>
  <c r="M27" i="4"/>
</calcChain>
</file>

<file path=xl/sharedStrings.xml><?xml version="1.0" encoding="utf-8"?>
<sst xmlns="http://schemas.openxmlformats.org/spreadsheetml/2006/main" count="3088" uniqueCount="1073">
  <si>
    <t>Shuckle</t>
  </si>
  <si>
    <t>Munchlax</t>
  </si>
  <si>
    <t>Trapinch</t>
  </si>
  <si>
    <t>Bonsly</t>
  </si>
  <si>
    <t>Ferroseed</t>
  </si>
  <si>
    <t>Slowpoke</t>
  </si>
  <si>
    <t>Cleffa</t>
  </si>
  <si>
    <t>Igglybuff</t>
  </si>
  <si>
    <t>Wooper</t>
  </si>
  <si>
    <t>Pineco</t>
  </si>
  <si>
    <t>Silcoon</t>
  </si>
  <si>
    <t>Cascoon</t>
  </si>
  <si>
    <t>Roggenrola</t>
  </si>
  <si>
    <t>Foongus</t>
  </si>
  <si>
    <t>Jigglypuff</t>
  </si>
  <si>
    <t>Geodude</t>
  </si>
  <si>
    <t>Sentret</t>
  </si>
  <si>
    <t>Togepi</t>
  </si>
  <si>
    <t>Slugma</t>
  </si>
  <si>
    <t>Wurmple</t>
  </si>
  <si>
    <t>Azurill</t>
  </si>
  <si>
    <t>Sableye (Mega Sableye)</t>
  </si>
  <si>
    <t>Camerupt (Mega Camerupt)</t>
  </si>
  <si>
    <t>Torkoal</t>
  </si>
  <si>
    <t>Boldore</t>
  </si>
  <si>
    <t>Solosis</t>
  </si>
  <si>
    <t>Escavalier</t>
  </si>
  <si>
    <t>Ferrothorn</t>
  </si>
  <si>
    <t>Litwick</t>
  </si>
  <si>
    <t>Tirtouga</t>
  </si>
  <si>
    <t>Lileep</t>
  </si>
  <si>
    <t>Wynaut</t>
  </si>
  <si>
    <t>Bronzor</t>
  </si>
  <si>
    <t>Spritzee</t>
  </si>
  <si>
    <t>Munna</t>
  </si>
  <si>
    <t>Paras</t>
  </si>
  <si>
    <t>Grimer</t>
  </si>
  <si>
    <t>Rhyhorn</t>
  </si>
  <si>
    <t>Makuhita</t>
  </si>
  <si>
    <t>Duskull</t>
  </si>
  <si>
    <t>Dusclops</t>
  </si>
  <si>
    <t>Spheal</t>
  </si>
  <si>
    <t>Kricketot</t>
  </si>
  <si>
    <t>Gigalith</t>
  </si>
  <si>
    <t>Shelmet</t>
  </si>
  <si>
    <t>Whismur</t>
  </si>
  <si>
    <t>Honedge</t>
  </si>
  <si>
    <t>Bergmite</t>
  </si>
  <si>
    <t>Avalugg</t>
  </si>
  <si>
    <t>Musharna</t>
  </si>
  <si>
    <t>Spewpa</t>
  </si>
  <si>
    <t>Aromatisse</t>
  </si>
  <si>
    <t>Metapod</t>
  </si>
  <si>
    <t>Oddish</t>
  </si>
  <si>
    <t>Parasect</t>
  </si>
  <si>
    <t>Slowbro</t>
  </si>
  <si>
    <t>Slowbro (Mega Slowbro)</t>
  </si>
  <si>
    <t>Lickitung</t>
  </si>
  <si>
    <t>Snorlax</t>
  </si>
  <si>
    <t>Spinarak</t>
  </si>
  <si>
    <t>Sudowoodo</t>
  </si>
  <si>
    <t>Sunkern</t>
  </si>
  <si>
    <t>Sunflora</t>
  </si>
  <si>
    <t>Slowking</t>
  </si>
  <si>
    <t>Steelix</t>
  </si>
  <si>
    <t>Steelix (Mega Steelix)</t>
  </si>
  <si>
    <t>Snubbull</t>
  </si>
  <si>
    <t>Magcargo</t>
  </si>
  <si>
    <t>Lotad</t>
  </si>
  <si>
    <t>Seedot</t>
  </si>
  <si>
    <t>Slakoth</t>
  </si>
  <si>
    <t>Nosepass</t>
  </si>
  <si>
    <t>Aron</t>
  </si>
  <si>
    <t>Beldum</t>
  </si>
  <si>
    <t>Shieldon</t>
  </si>
  <si>
    <t>Bastiodon</t>
  </si>
  <si>
    <t>Happiny</t>
  </si>
  <si>
    <t>Petilil</t>
  </si>
  <si>
    <t>Yamask</t>
  </si>
  <si>
    <t>Cofagrigus</t>
  </si>
  <si>
    <t>Duosion</t>
  </si>
  <si>
    <t>Reuniclus</t>
  </si>
  <si>
    <t>Amoonguss</t>
  </si>
  <si>
    <t>Klink</t>
  </si>
  <si>
    <t>Elgyem</t>
  </si>
  <si>
    <t>Skrelp</t>
  </si>
  <si>
    <t>Turtwig</t>
  </si>
  <si>
    <t>Bidoof</t>
  </si>
  <si>
    <t>Clamperl</t>
  </si>
  <si>
    <t>Hippopotas</t>
  </si>
  <si>
    <t>Carracosta</t>
  </si>
  <si>
    <t>Stunfisk</t>
  </si>
  <si>
    <t>Wobbuffet</t>
  </si>
  <si>
    <t>Bronzong</t>
  </si>
  <si>
    <t>Shellos</t>
  </si>
  <si>
    <t>Kakuna</t>
  </si>
  <si>
    <t>Clefairy</t>
  </si>
  <si>
    <t>Machop</t>
  </si>
  <si>
    <t>Graveler</t>
  </si>
  <si>
    <t>Cubone</t>
  </si>
  <si>
    <t>Koffing</t>
  </si>
  <si>
    <t>Omanyte</t>
  </si>
  <si>
    <t>Mareep</t>
  </si>
  <si>
    <t>Quagsire</t>
  </si>
  <si>
    <t>Corsola</t>
  </si>
  <si>
    <t>Tyrogue</t>
  </si>
  <si>
    <t>Poochyena</t>
  </si>
  <si>
    <t>Shroomish</t>
  </si>
  <si>
    <t>Numel</t>
  </si>
  <si>
    <t>Cacnea</t>
  </si>
  <si>
    <t>Corphish</t>
  </si>
  <si>
    <t>Cherubi</t>
  </si>
  <si>
    <t>Spiritomb</t>
  </si>
  <si>
    <t>Timburr</t>
  </si>
  <si>
    <t>Golett</t>
  </si>
  <si>
    <t>Scatterbug</t>
  </si>
  <si>
    <t>Doublade</t>
  </si>
  <si>
    <t>Grotle</t>
  </si>
  <si>
    <t>Burmy</t>
  </si>
  <si>
    <t>Deino</t>
  </si>
  <si>
    <t>Chespin</t>
  </si>
  <si>
    <t>Phantump</t>
  </si>
  <si>
    <t>Gastrodon</t>
  </si>
  <si>
    <t>Sandshrew</t>
  </si>
  <si>
    <t>Gloom</t>
  </si>
  <si>
    <t>Bellsprout</t>
  </si>
  <si>
    <t>Shellder</t>
  </si>
  <si>
    <t>Exeggcute</t>
  </si>
  <si>
    <t>Rhydon</t>
  </si>
  <si>
    <t>Porygon</t>
  </si>
  <si>
    <t>Ariados</t>
  </si>
  <si>
    <t>Togetic</t>
  </si>
  <si>
    <t>Marill</t>
  </si>
  <si>
    <t>Forretress</t>
  </si>
  <si>
    <t>Teddiursa</t>
  </si>
  <si>
    <t>Phanpy</t>
  </si>
  <si>
    <t>Mudkip</t>
  </si>
  <si>
    <t>Ralts</t>
  </si>
  <si>
    <t>Nincada</t>
  </si>
  <si>
    <t>Shedinja</t>
  </si>
  <si>
    <t>Lairon</t>
  </si>
  <si>
    <t>Gulpin</t>
  </si>
  <si>
    <t>Camerupt</t>
  </si>
  <si>
    <t>Kecleon</t>
  </si>
  <si>
    <t>Piplup</t>
  </si>
  <si>
    <t>Vespiquen</t>
  </si>
  <si>
    <t>Snover</t>
  </si>
  <si>
    <t>Rhyperior</t>
  </si>
  <si>
    <t>Probopass</t>
  </si>
  <si>
    <t>Gurdurr</t>
  </si>
  <si>
    <t>Frillish</t>
  </si>
  <si>
    <t>Eelektrik</t>
  </si>
  <si>
    <t>Beheeyem</t>
  </si>
  <si>
    <t>Cubchoo</t>
  </si>
  <si>
    <t>Goomy</t>
  </si>
  <si>
    <t>Nidoran♀</t>
  </si>
  <si>
    <t>Larvitar</t>
  </si>
  <si>
    <t>Drowzee</t>
  </si>
  <si>
    <t>Gible</t>
  </si>
  <si>
    <t>Patrat</t>
  </si>
  <si>
    <t>Sewaddle</t>
  </si>
  <si>
    <t>Swadloon</t>
  </si>
  <si>
    <t>Flabébé</t>
  </si>
  <si>
    <t>Squirtle</t>
  </si>
  <si>
    <t>Totodile</t>
  </si>
  <si>
    <t>Cradily</t>
  </si>
  <si>
    <t>Pidove</t>
  </si>
  <si>
    <t>Pancham</t>
  </si>
  <si>
    <t>Vanillite</t>
  </si>
  <si>
    <t>Dragalge</t>
  </si>
  <si>
    <t>Clauncher</t>
  </si>
  <si>
    <t>Bulbasaur</t>
  </si>
  <si>
    <t>Caterpie</t>
  </si>
  <si>
    <t>Wigglytuff</t>
  </si>
  <si>
    <t>Venonat</t>
  </si>
  <si>
    <t>Machoke</t>
  </si>
  <si>
    <t>Golem</t>
  </si>
  <si>
    <t>Magnemite</t>
  </si>
  <si>
    <t>Seel</t>
  </si>
  <si>
    <t>Marowak</t>
  </si>
  <si>
    <t>Chikorita</t>
  </si>
  <si>
    <t>Flaaffy</t>
  </si>
  <si>
    <t>Ampharos (Mega Ampharos)</t>
  </si>
  <si>
    <t>Dunsparce</t>
  </si>
  <si>
    <t>Granbull</t>
  </si>
  <si>
    <t>Octillery</t>
  </si>
  <si>
    <t>Torchic</t>
  </si>
  <si>
    <t>Armaldo</t>
  </si>
  <si>
    <t>Shuppet</t>
  </si>
  <si>
    <t>Sealeo</t>
  </si>
  <si>
    <t>Shinx</t>
  </si>
  <si>
    <t>Chingling</t>
  </si>
  <si>
    <t>Dusknoir</t>
  </si>
  <si>
    <t>Tepig</t>
  </si>
  <si>
    <t>Oshawott</t>
  </si>
  <si>
    <t>Conkeldurr</t>
  </si>
  <si>
    <t>Throh</t>
  </si>
  <si>
    <t>Crustle</t>
  </si>
  <si>
    <t>Gothita</t>
  </si>
  <si>
    <t>Inkay</t>
  </si>
  <si>
    <t>Carnivine</t>
  </si>
  <si>
    <t>Amaura</t>
  </si>
  <si>
    <t>Hippowdon</t>
  </si>
  <si>
    <t>Whirlipede</t>
  </si>
  <si>
    <t>Ditto</t>
  </si>
  <si>
    <t>Unown</t>
  </si>
  <si>
    <t>Loudred</t>
  </si>
  <si>
    <t>Scraggy</t>
  </si>
  <si>
    <t>Druddigon</t>
  </si>
  <si>
    <t>Tyrunt</t>
  </si>
  <si>
    <t>Swirlix</t>
  </si>
  <si>
    <t>Weedle</t>
  </si>
  <si>
    <t>Nidoran♂</t>
  </si>
  <si>
    <t>Vileplume</t>
  </si>
  <si>
    <t>Muk</t>
  </si>
  <si>
    <t>Krabby</t>
  </si>
  <si>
    <t>Chansey</t>
  </si>
  <si>
    <t>Dratini</t>
  </si>
  <si>
    <t>Hoothoot</t>
  </si>
  <si>
    <t>Bellossom</t>
  </si>
  <si>
    <t>Azumarill</t>
  </si>
  <si>
    <t>Hoppip</t>
  </si>
  <si>
    <t>Swinub</t>
  </si>
  <si>
    <t>Piloswine</t>
  </si>
  <si>
    <t>Donphan</t>
  </si>
  <si>
    <t>Marshtomp</t>
  </si>
  <si>
    <t>Lombre</t>
  </si>
  <si>
    <t>Kirlia</t>
  </si>
  <si>
    <t>Hariyama</t>
  </si>
  <si>
    <t>Skitty</t>
  </si>
  <si>
    <t>Sableye</t>
  </si>
  <si>
    <t>Mawile</t>
  </si>
  <si>
    <t>Mawile (Mega Mawile)</t>
  </si>
  <si>
    <t>Aggron</t>
  </si>
  <si>
    <t>Aggron (Mega Aggron)</t>
  </si>
  <si>
    <t>Swablu</t>
  </si>
  <si>
    <t>Snorunt</t>
  </si>
  <si>
    <t>Bagon</t>
  </si>
  <si>
    <t>Shelgon</t>
  </si>
  <si>
    <t>Metang</t>
  </si>
  <si>
    <t>Regirock</t>
  </si>
  <si>
    <t>Regice</t>
  </si>
  <si>
    <t>Registeel</t>
  </si>
  <si>
    <t>Prinplup</t>
  </si>
  <si>
    <t>Croagunk</t>
  </si>
  <si>
    <t>Mantyke</t>
  </si>
  <si>
    <t>Lickilicky</t>
  </si>
  <si>
    <t>Tangrowth</t>
  </si>
  <si>
    <t>Audino</t>
  </si>
  <si>
    <t>Audino (Mega Audino)</t>
  </si>
  <si>
    <t>Darumaka</t>
  </si>
  <si>
    <t>Klang</t>
  </si>
  <si>
    <t>Eelektross</t>
  </si>
  <si>
    <t>Beartic</t>
  </si>
  <si>
    <t>Binacle</t>
  </si>
  <si>
    <t>Carbink</t>
  </si>
  <si>
    <t>Diancie</t>
  </si>
  <si>
    <t>Pupitar</t>
  </si>
  <si>
    <t>Tropius</t>
  </si>
  <si>
    <t>Huntail</t>
  </si>
  <si>
    <t>Gorebyss</t>
  </si>
  <si>
    <t>Floette</t>
  </si>
  <si>
    <t>Skiddo</t>
  </si>
  <si>
    <t>Gourgeist (Super Size)</t>
  </si>
  <si>
    <t>Ekans</t>
  </si>
  <si>
    <t>Zubat</t>
  </si>
  <si>
    <t>Psyduck</t>
  </si>
  <si>
    <t>Machamp</t>
  </si>
  <si>
    <t>Weepinbell</t>
  </si>
  <si>
    <t>Exeggutor</t>
  </si>
  <si>
    <t>Eevee</t>
  </si>
  <si>
    <t>Omastar</t>
  </si>
  <si>
    <t>Kabuto</t>
  </si>
  <si>
    <t>Ledyba</t>
  </si>
  <si>
    <t>Ampharos</t>
  </si>
  <si>
    <t>Ursaring</t>
  </si>
  <si>
    <t>Blissey</t>
  </si>
  <si>
    <t>Combusken</t>
  </si>
  <si>
    <t>Swalot</t>
  </si>
  <si>
    <t>Cacturne</t>
  </si>
  <si>
    <t>Crawdaunt</t>
  </si>
  <si>
    <t>Baltoy</t>
  </si>
  <si>
    <t>Relicanth</t>
  </si>
  <si>
    <t>Budew</t>
  </si>
  <si>
    <t>Pignite</t>
  </si>
  <si>
    <t>Lillipup</t>
  </si>
  <si>
    <t>Darmanitan (Zen Mode)</t>
  </si>
  <si>
    <t>Dwebble</t>
  </si>
  <si>
    <t>Gothorita</t>
  </si>
  <si>
    <t>Ducklett</t>
  </si>
  <si>
    <t>Lampent</t>
  </si>
  <si>
    <t>Golurk</t>
  </si>
  <si>
    <t>Bouffalant</t>
  </si>
  <si>
    <t>Noibat</t>
  </si>
  <si>
    <t>Pidgey</t>
  </si>
  <si>
    <t>Nidorina</t>
  </si>
  <si>
    <t>Torterra</t>
  </si>
  <si>
    <t>Trevenant</t>
  </si>
  <si>
    <t>Venipede</t>
  </si>
  <si>
    <t>Axew</t>
  </si>
  <si>
    <t>Quilladin</t>
  </si>
  <si>
    <t>Bunnelby</t>
  </si>
  <si>
    <t>Wartortle</t>
  </si>
  <si>
    <t>Croconaw</t>
  </si>
  <si>
    <t>Cranidos</t>
  </si>
  <si>
    <t>Rampardos</t>
  </si>
  <si>
    <t>Scrafty</t>
  </si>
  <si>
    <t>Zweilous</t>
  </si>
  <si>
    <t>Pangoro</t>
  </si>
  <si>
    <t>Aurorus</t>
  </si>
  <si>
    <t>Vanillish</t>
  </si>
  <si>
    <t>Clawitzer</t>
  </si>
  <si>
    <t>Ivysaur</t>
  </si>
  <si>
    <t>Clefable</t>
  </si>
  <si>
    <t>Growlithe</t>
  </si>
  <si>
    <t>Farfetch'd</t>
  </si>
  <si>
    <t>Weezing</t>
  </si>
  <si>
    <t>Tangela</t>
  </si>
  <si>
    <t>Horsea</t>
  </si>
  <si>
    <t>Lapras</t>
  </si>
  <si>
    <t>Bayleef</t>
  </si>
  <si>
    <t>Pichu</t>
  </si>
  <si>
    <t>Porygon2</t>
  </si>
  <si>
    <t>Swampert</t>
  </si>
  <si>
    <t>Zigzagoon</t>
  </si>
  <si>
    <t>Nuzleaf</t>
  </si>
  <si>
    <t>Masquerain</t>
  </si>
  <si>
    <t>Meditite</t>
  </si>
  <si>
    <t>Wailmer</t>
  </si>
  <si>
    <t>Wailord</t>
  </si>
  <si>
    <t>Spoink</t>
  </si>
  <si>
    <t>Spinda</t>
  </si>
  <si>
    <t>Barboach</t>
  </si>
  <si>
    <t>Whiscash</t>
  </si>
  <si>
    <t>Empoleon</t>
  </si>
  <si>
    <t>Starly</t>
  </si>
  <si>
    <t>Luxio</t>
  </si>
  <si>
    <t>Mime Jr.</t>
  </si>
  <si>
    <t>Riolu</t>
  </si>
  <si>
    <t>Abomasnow</t>
  </si>
  <si>
    <t>Magnezone</t>
  </si>
  <si>
    <t>Dewott</t>
  </si>
  <si>
    <t>Herdier</t>
  </si>
  <si>
    <t>Maractus</t>
  </si>
  <si>
    <t>Karrablast</t>
  </si>
  <si>
    <t>Jellicent</t>
  </si>
  <si>
    <t>Tynamo</t>
  </si>
  <si>
    <t>Pawniard</t>
  </si>
  <si>
    <t>Rufflet</t>
  </si>
  <si>
    <t>Vullaby</t>
  </si>
  <si>
    <t>Larvesta</t>
  </si>
  <si>
    <t>Fennekin</t>
  </si>
  <si>
    <t>Aegislash (Shield Forme)</t>
  </si>
  <si>
    <t>Aegislash (Blade Forme)</t>
  </si>
  <si>
    <t>Sylveon</t>
  </si>
  <si>
    <t>Sliggoo</t>
  </si>
  <si>
    <t>Tyranitar</t>
  </si>
  <si>
    <t>Chimchar</t>
  </si>
  <si>
    <t>Fletchling</t>
  </si>
  <si>
    <t>Goldeen</t>
  </si>
  <si>
    <t>Snivy</t>
  </si>
  <si>
    <t>Pansage</t>
  </si>
  <si>
    <t>Pansear</t>
  </si>
  <si>
    <t>Panpour</t>
  </si>
  <si>
    <t>Tympole</t>
  </si>
  <si>
    <t>Chesnaught</t>
  </si>
  <si>
    <t>Charmander</t>
  </si>
  <si>
    <t>Sandslash</t>
  </si>
  <si>
    <t>Nidorino</t>
  </si>
  <si>
    <t>Vulpix</t>
  </si>
  <si>
    <t>Vaporeon</t>
  </si>
  <si>
    <t>Flareon</t>
  </si>
  <si>
    <t>Cyndaquil</t>
  </si>
  <si>
    <t>Umbreon</t>
  </si>
  <si>
    <t>Scizor</t>
  </si>
  <si>
    <t>Remoraid</t>
  </si>
  <si>
    <t>Houndour</t>
  </si>
  <si>
    <t>Smoochum</t>
  </si>
  <si>
    <t>Beautifly</t>
  </si>
  <si>
    <t>Dustox</t>
  </si>
  <si>
    <t>Pelipper</t>
  </si>
  <si>
    <t>Surskit</t>
  </si>
  <si>
    <t>Electrike</t>
  </si>
  <si>
    <t>Roselia</t>
  </si>
  <si>
    <t>Carvanha</t>
  </si>
  <si>
    <t>Seviper</t>
  </si>
  <si>
    <t>Banette</t>
  </si>
  <si>
    <t>Chimecho</t>
  </si>
  <si>
    <t>Walrein</t>
  </si>
  <si>
    <t>Kricketune</t>
  </si>
  <si>
    <t>Skorupi</t>
  </si>
  <si>
    <t>Glaceon</t>
  </si>
  <si>
    <t>Emboar</t>
  </si>
  <si>
    <t>Tranquill</t>
  </si>
  <si>
    <t>Sandile</t>
  </si>
  <si>
    <t>Trubbish</t>
  </si>
  <si>
    <t>Zorua</t>
  </si>
  <si>
    <t>Gothitelle</t>
  </si>
  <si>
    <t>Alomomola</t>
  </si>
  <si>
    <t>Joltik</t>
  </si>
  <si>
    <t>Mienfoo</t>
  </si>
  <si>
    <t>Heatmor</t>
  </si>
  <si>
    <t>Mothim</t>
  </si>
  <si>
    <t>Finneon</t>
  </si>
  <si>
    <t>Purrloin</t>
  </si>
  <si>
    <t>Cottonee</t>
  </si>
  <si>
    <t>Hypno</t>
  </si>
  <si>
    <t>Chinchou</t>
  </si>
  <si>
    <t>Lanturn</t>
  </si>
  <si>
    <t>Fraxure</t>
  </si>
  <si>
    <t>Seaking</t>
  </si>
  <si>
    <t>Exploud</t>
  </si>
  <si>
    <t>Drilbur</t>
  </si>
  <si>
    <t>Gogoat</t>
  </si>
  <si>
    <t>Espurr</t>
  </si>
  <si>
    <t>Barbaracle</t>
  </si>
  <si>
    <t>Palpitoad</t>
  </si>
  <si>
    <t>Gourgeist (Large Size)</t>
  </si>
  <si>
    <t>Butterfree</t>
  </si>
  <si>
    <t>Spearow</t>
  </si>
  <si>
    <t>Mankey</t>
  </si>
  <si>
    <t>Poliwrath</t>
  </si>
  <si>
    <t>Victreebel</t>
  </si>
  <si>
    <t>Tentacool</t>
  </si>
  <si>
    <t>Magneton</t>
  </si>
  <si>
    <t>Dewgong</t>
  </si>
  <si>
    <t>Cloyster</t>
  </si>
  <si>
    <t>Onix</t>
  </si>
  <si>
    <t>Dragonair</t>
  </si>
  <si>
    <t>Noctowl</t>
  </si>
  <si>
    <t>Natu</t>
  </si>
  <si>
    <t>Politoed</t>
  </si>
  <si>
    <t>Mantine</t>
  </si>
  <si>
    <t>Skarmory</t>
  </si>
  <si>
    <t>Hitmontop</t>
  </si>
  <si>
    <t>Treecko</t>
  </si>
  <si>
    <t>Swampert (Mega Swampert)</t>
  </si>
  <si>
    <t>Mightyena</t>
  </si>
  <si>
    <t>Ludicolo</t>
  </si>
  <si>
    <t>Breloom</t>
  </si>
  <si>
    <t>Delcatty</t>
  </si>
  <si>
    <t>Vibrava</t>
  </si>
  <si>
    <t>Lunatone</t>
  </si>
  <si>
    <t>Solrock</t>
  </si>
  <si>
    <t>Castform</t>
  </si>
  <si>
    <t>Metagross</t>
  </si>
  <si>
    <t>Luxray</t>
  </si>
  <si>
    <t>Combee</t>
  </si>
  <si>
    <t>Drifloon</t>
  </si>
  <si>
    <t>Samurott</t>
  </si>
  <si>
    <t>Archen</t>
  </si>
  <si>
    <t>Bisharp</t>
  </si>
  <si>
    <t>Helioptile</t>
  </si>
  <si>
    <t>Hoopa (Hoopa Confined)</t>
  </si>
  <si>
    <t>Volcanion</t>
  </si>
  <si>
    <t>Pidgeotto</t>
  </si>
  <si>
    <t>Tyranitar (Mega Tyranitar)</t>
  </si>
  <si>
    <t>Bibarel</t>
  </si>
  <si>
    <t>Honchkrow</t>
  </si>
  <si>
    <t>Froakie</t>
  </si>
  <si>
    <t>Tyrantrum</t>
  </si>
  <si>
    <t>Rattata</t>
  </si>
  <si>
    <t>Woobat</t>
  </si>
  <si>
    <t>Litleo</t>
  </si>
  <si>
    <t>Slurpuff</t>
  </si>
  <si>
    <t>Braixen</t>
  </si>
  <si>
    <t>Malamar</t>
  </si>
  <si>
    <t>Stunky</t>
  </si>
  <si>
    <t>Seismitoad</t>
  </si>
  <si>
    <t>Krokorok</t>
  </si>
  <si>
    <t>Beedrill</t>
  </si>
  <si>
    <t>Doduo</t>
  </si>
  <si>
    <t>Kingler</t>
  </si>
  <si>
    <t>Scizor (Mega Scizor)</t>
  </si>
  <si>
    <t>Heracross (Mega Heracross)</t>
  </si>
  <si>
    <t>Delibird</t>
  </si>
  <si>
    <t>Smeargle</t>
  </si>
  <si>
    <t>Claydol</t>
  </si>
  <si>
    <t>Anorith</t>
  </si>
  <si>
    <t>Banette (Mega Banette)</t>
  </si>
  <si>
    <t>Absol</t>
  </si>
  <si>
    <t>Garbodor</t>
  </si>
  <si>
    <t>Minccino</t>
  </si>
  <si>
    <t>Deerling</t>
  </si>
  <si>
    <t>Florges</t>
  </si>
  <si>
    <t>Klefki</t>
  </si>
  <si>
    <t>Nidoqueen</t>
  </si>
  <si>
    <t>Hitmonchan</t>
  </si>
  <si>
    <t>Blitzle</t>
  </si>
  <si>
    <t>Heatran</t>
  </si>
  <si>
    <t>Watchog</t>
  </si>
  <si>
    <t>Blastoise</t>
  </si>
  <si>
    <t>Blastoise (Mega Blastoise)</t>
  </si>
  <si>
    <t>Feraligatr</t>
  </si>
  <si>
    <t>Diggersby</t>
  </si>
  <si>
    <t>Vanilluxe</t>
  </si>
  <si>
    <t>Venusaur</t>
  </si>
  <si>
    <t>Venusaur (Mega Venusaur)</t>
  </si>
  <si>
    <t>Charmeleon</t>
  </si>
  <si>
    <t>Arbok</t>
  </si>
  <si>
    <t>Gastly</t>
  </si>
  <si>
    <t>Magikarp</t>
  </si>
  <si>
    <t>Kabutops</t>
  </si>
  <si>
    <t>Dragonite</t>
  </si>
  <si>
    <t>Meganium</t>
  </si>
  <si>
    <t>Quilava</t>
  </si>
  <si>
    <t>Skiploom</t>
  </si>
  <si>
    <t>Blaziken</t>
  </si>
  <si>
    <t>Shiftry</t>
  </si>
  <si>
    <t>Gardevoir</t>
  </si>
  <si>
    <t>Medicham</t>
  </si>
  <si>
    <t>Grumpig</t>
  </si>
  <si>
    <t>Altaria</t>
  </si>
  <si>
    <t>Altaria (Mega Altaria)</t>
  </si>
  <si>
    <t>Feebas</t>
  </si>
  <si>
    <t>Glalie</t>
  </si>
  <si>
    <t>Staravia</t>
  </si>
  <si>
    <t>Drifblim</t>
  </si>
  <si>
    <t>Togekiss</t>
  </si>
  <si>
    <t>Mamoswine</t>
  </si>
  <si>
    <t>Gallade</t>
  </si>
  <si>
    <t>Mesprit</t>
  </si>
  <si>
    <t>Phione</t>
  </si>
  <si>
    <t>Stoutland</t>
  </si>
  <si>
    <t>Chandelure</t>
  </si>
  <si>
    <t>Braviary</t>
  </si>
  <si>
    <t>Mandibuzz</t>
  </si>
  <si>
    <t>Goodra</t>
  </si>
  <si>
    <t>Hoopa (Hoopa Unbound)</t>
  </si>
  <si>
    <t>Gyarados</t>
  </si>
  <si>
    <t>Gyarados (Mega Gyarados)</t>
  </si>
  <si>
    <t>Milotic</t>
  </si>
  <si>
    <t>Monferno</t>
  </si>
  <si>
    <t>Gabite</t>
  </si>
  <si>
    <t>Magby</t>
  </si>
  <si>
    <t>Magmortar</t>
  </si>
  <si>
    <t>Servine</t>
  </si>
  <si>
    <t>Skuntank</t>
  </si>
  <si>
    <t>Fletchinder</t>
  </si>
  <si>
    <t>Nidoking</t>
  </si>
  <si>
    <t>Golduck</t>
  </si>
  <si>
    <t>Seadra</t>
  </si>
  <si>
    <t>Staryu</t>
  </si>
  <si>
    <t>Pinsir</t>
  </si>
  <si>
    <t>Articuno</t>
  </si>
  <si>
    <t>Ledian</t>
  </si>
  <si>
    <t>Aipom</t>
  </si>
  <si>
    <t>Misdreavus</t>
  </si>
  <si>
    <t>Girafarig</t>
  </si>
  <si>
    <t>Gligar</t>
  </si>
  <si>
    <t>Qwilfish</t>
  </si>
  <si>
    <t>Heracross</t>
  </si>
  <si>
    <t>Kingdra</t>
  </si>
  <si>
    <t>Stantler</t>
  </si>
  <si>
    <t>Suicune</t>
  </si>
  <si>
    <t>Taillow</t>
  </si>
  <si>
    <t>Wingull</t>
  </si>
  <si>
    <t>Volbeat</t>
  </si>
  <si>
    <t>Illumise</t>
  </si>
  <si>
    <t>Buizel</t>
  </si>
  <si>
    <t>Cherrim</t>
  </si>
  <si>
    <t>Buneary</t>
  </si>
  <si>
    <t>Glameow</t>
  </si>
  <si>
    <t>Toxicroak</t>
  </si>
  <si>
    <t>Cresselia</t>
  </si>
  <si>
    <t>Sawk</t>
  </si>
  <si>
    <t>Rotom (Heat Rotom)</t>
  </si>
  <si>
    <t>Rotom (Wash Rotom)</t>
  </si>
  <si>
    <t>Rotom (Frost Rotom)</t>
  </si>
  <si>
    <t>Rotom (Fan Rotom)</t>
  </si>
  <si>
    <t>Rotom (Mow Rotom)</t>
  </si>
  <si>
    <t>Hitmonlee</t>
  </si>
  <si>
    <t>Excadrill</t>
  </si>
  <si>
    <t>Vivillon</t>
  </si>
  <si>
    <t>Pikachu</t>
  </si>
  <si>
    <t>Golbat</t>
  </si>
  <si>
    <t>Venomoth</t>
  </si>
  <si>
    <t>Meowth</t>
  </si>
  <si>
    <t>Poliwag</t>
  </si>
  <si>
    <t>Poliwhirl</t>
  </si>
  <si>
    <t>Abra</t>
  </si>
  <si>
    <t>Ponyta</t>
  </si>
  <si>
    <t>Kangaskhan</t>
  </si>
  <si>
    <t>Mr. Mime</t>
  </si>
  <si>
    <t>Moltres</t>
  </si>
  <si>
    <t>Furret</t>
  </si>
  <si>
    <t>Ho-Oh</t>
  </si>
  <si>
    <t>Vigoroth</t>
  </si>
  <si>
    <t>Zangoose</t>
  </si>
  <si>
    <t>Kyogre</t>
  </si>
  <si>
    <t>Kyogre (Primal Kyogre)</t>
  </si>
  <si>
    <t>Groudon</t>
  </si>
  <si>
    <t>Groudon (Primal Groudon)</t>
  </si>
  <si>
    <t>Deoxys (Defense Forme)</t>
  </si>
  <si>
    <t>Roserade</t>
  </si>
  <si>
    <t>Lucario</t>
  </si>
  <si>
    <t>Porygon-Z</t>
  </si>
  <si>
    <t>Dialga</t>
  </si>
  <si>
    <t>Giratina (Altered Forme)</t>
  </si>
  <si>
    <t>Giratina (Origin Forme)</t>
  </si>
  <si>
    <t>Lilligant</t>
  </si>
  <si>
    <t>Klinklang</t>
  </si>
  <si>
    <t>Reshiram</t>
  </si>
  <si>
    <t>Zekrom</t>
  </si>
  <si>
    <t>Meloetta (Aria Forme)</t>
  </si>
  <si>
    <t>Murkrow</t>
  </si>
  <si>
    <t>Chatot</t>
  </si>
  <si>
    <t>Lumineon</t>
  </si>
  <si>
    <t>Rotom (Normal Rotom)</t>
  </si>
  <si>
    <t>Landorus (Therian Forme)</t>
  </si>
  <si>
    <t>Garchomp (Mega Garchomp)</t>
  </si>
  <si>
    <t>Leavanny</t>
  </si>
  <si>
    <t>Krookodile</t>
  </si>
  <si>
    <t>Magmar</t>
  </si>
  <si>
    <t>Unfezant</t>
  </si>
  <si>
    <t>Diglett</t>
  </si>
  <si>
    <t>Primeape</t>
  </si>
  <si>
    <t>Arcanine</t>
  </si>
  <si>
    <t>Haunter</t>
  </si>
  <si>
    <t>Jynx</t>
  </si>
  <si>
    <t>Xatu</t>
  </si>
  <si>
    <t>Yanma</t>
  </si>
  <si>
    <t>Houndoom</t>
  </si>
  <si>
    <t>Elekid</t>
  </si>
  <si>
    <t>Grovyle</t>
  </si>
  <si>
    <t>Plusle</t>
  </si>
  <si>
    <t>Minun</t>
  </si>
  <si>
    <t>Sharpedo</t>
  </si>
  <si>
    <t>Rayquaza</t>
  </si>
  <si>
    <t>Pachirisu</t>
  </si>
  <si>
    <t>Drapion</t>
  </si>
  <si>
    <t>Electivire</t>
  </si>
  <si>
    <t>Yanmega</t>
  </si>
  <si>
    <t>Leafeon</t>
  </si>
  <si>
    <t>Gliscor</t>
  </si>
  <si>
    <t>Uxie</t>
  </si>
  <si>
    <t>Sawsbuck</t>
  </si>
  <si>
    <t>Kyurem (Normal Kyurem)</t>
  </si>
  <si>
    <t>Kyurem (Black Kyurem)</t>
  </si>
  <si>
    <t>Kyurem (White Kyurem)</t>
  </si>
  <si>
    <t>Zygarde</t>
  </si>
  <si>
    <t>Raticate</t>
  </si>
  <si>
    <t>Luvdisc</t>
  </si>
  <si>
    <t>Sigilyph</t>
  </si>
  <si>
    <t>Haxorus</t>
  </si>
  <si>
    <t>Frogadier</t>
  </si>
  <si>
    <t>Basculin</t>
  </si>
  <si>
    <t>Swanna</t>
  </si>
  <si>
    <t>Hydreigon</t>
  </si>
  <si>
    <t>Genesect</t>
  </si>
  <si>
    <t>Gourgeist (Small Size)</t>
  </si>
  <si>
    <t>Xerneas</t>
  </si>
  <si>
    <t>Yveltal</t>
  </si>
  <si>
    <t>Charizard</t>
  </si>
  <si>
    <t>Charizard (Mega Charizard X)</t>
  </si>
  <si>
    <t>Charizard (Mega Charizard Y)</t>
  </si>
  <si>
    <t>Fearow</t>
  </si>
  <si>
    <t>Ninetales</t>
  </si>
  <si>
    <t>Tentacruel</t>
  </si>
  <si>
    <t>Dodrio</t>
  </si>
  <si>
    <t>Voltorb</t>
  </si>
  <si>
    <t>Zapdos</t>
  </si>
  <si>
    <t>Mew</t>
  </si>
  <si>
    <t>Typhlosion</t>
  </si>
  <si>
    <t>Miltank</t>
  </si>
  <si>
    <t>Entei</t>
  </si>
  <si>
    <t>Celebi</t>
  </si>
  <si>
    <t>Blaziken (Mega Blaziken)</t>
  </si>
  <si>
    <t>Linoone</t>
  </si>
  <si>
    <t>Gardevoir (Mega Gardevoir)</t>
  </si>
  <si>
    <t>Slaking</t>
  </si>
  <si>
    <t>Medicham (Mega Medicham)</t>
  </si>
  <si>
    <t>Flygon</t>
  </si>
  <si>
    <t>Glalie (Mega Glalie)</t>
  </si>
  <si>
    <t>Salamence</t>
  </si>
  <si>
    <t>Jirachi</t>
  </si>
  <si>
    <t>Staraptor</t>
  </si>
  <si>
    <t>Palkia</t>
  </si>
  <si>
    <t>Regigigas</t>
  </si>
  <si>
    <t>Manaphy</t>
  </si>
  <si>
    <t>Shaymin (Land Forme)</t>
  </si>
  <si>
    <t>Victini</t>
  </si>
  <si>
    <t>Volcarona</t>
  </si>
  <si>
    <t>Pidgeot</t>
  </si>
  <si>
    <t>Simisage</t>
  </si>
  <si>
    <t>Simisear</t>
  </si>
  <si>
    <t>Simipour</t>
  </si>
  <si>
    <t>Dedenne</t>
  </si>
  <si>
    <t>Garchomp</t>
  </si>
  <si>
    <t>Furfrou</t>
  </si>
  <si>
    <t>Emolga</t>
  </si>
  <si>
    <t>Delphox</t>
  </si>
  <si>
    <t>Meowstic</t>
  </si>
  <si>
    <t>Kadabra</t>
  </si>
  <si>
    <t>Rapidash</t>
  </si>
  <si>
    <t>Scyther</t>
  </si>
  <si>
    <t>Electabuzz</t>
  </si>
  <si>
    <t>Pinsir (Mega Pinsir)</t>
  </si>
  <si>
    <t>Manectric</t>
  </si>
  <si>
    <t>Sharpedo (Mega Sharpedo)</t>
  </si>
  <si>
    <t>Lopunny</t>
  </si>
  <si>
    <t>Mismagius</t>
  </si>
  <si>
    <t>Zoroark</t>
  </si>
  <si>
    <t>Cryogonal</t>
  </si>
  <si>
    <t>Mienshao</t>
  </si>
  <si>
    <t>Liepard</t>
  </si>
  <si>
    <t>Pyroar</t>
  </si>
  <si>
    <t>Infernape</t>
  </si>
  <si>
    <t>Galvantula</t>
  </si>
  <si>
    <t>Cobalion</t>
  </si>
  <si>
    <t>Terrakion</t>
  </si>
  <si>
    <t>Virizion</t>
  </si>
  <si>
    <t>Keldeo</t>
  </si>
  <si>
    <t>Durant</t>
  </si>
  <si>
    <t>Heliolisk</t>
  </si>
  <si>
    <t>Raichu</t>
  </si>
  <si>
    <t>Gengar</t>
  </si>
  <si>
    <t>Tauros</t>
  </si>
  <si>
    <t>Jumpluff</t>
  </si>
  <si>
    <t>Espeon</t>
  </si>
  <si>
    <t>Lugia</t>
  </si>
  <si>
    <t>Metagross (Mega Metagross)</t>
  </si>
  <si>
    <t>Latias</t>
  </si>
  <si>
    <t>Latias (Mega Latias)</t>
  </si>
  <si>
    <t>Latios</t>
  </si>
  <si>
    <t>Latios (Mega Latios)</t>
  </si>
  <si>
    <t>Gallade (Mega Gallade)</t>
  </si>
  <si>
    <t>Froslass</t>
  </si>
  <si>
    <t>Archeops</t>
  </si>
  <si>
    <t>Diancie (Mega Diancie)</t>
  </si>
  <si>
    <t>Purugly</t>
  </si>
  <si>
    <t>Lucario (Mega Lucario)</t>
  </si>
  <si>
    <t>Scolipede</t>
  </si>
  <si>
    <t>Serperior</t>
  </si>
  <si>
    <t>Swoobat</t>
  </si>
  <si>
    <t>Persian</t>
  </si>
  <si>
    <t>Starmie</t>
  </si>
  <si>
    <t>Sneasel</t>
  </si>
  <si>
    <t>Houndoom (Mega Houndoom)</t>
  </si>
  <si>
    <t>Raikou</t>
  </si>
  <si>
    <t>Absol (Mega Absol)</t>
  </si>
  <si>
    <t>Rayquaza (Mega Rayquaza)</t>
  </si>
  <si>
    <t>Floatzel</t>
  </si>
  <si>
    <t>Ambipom</t>
  </si>
  <si>
    <t>Azelf</t>
  </si>
  <si>
    <t>Cinccino</t>
  </si>
  <si>
    <t>Zebstrika</t>
  </si>
  <si>
    <t>Whimsicott</t>
  </si>
  <si>
    <t>Hawlucha</t>
  </si>
  <si>
    <t>Dugtrio</t>
  </si>
  <si>
    <t>Alakazam</t>
  </si>
  <si>
    <t>Sceptile</t>
  </si>
  <si>
    <t>Arceus</t>
  </si>
  <si>
    <t>Pidgeot (Mega Pidgeot)</t>
  </si>
  <si>
    <t>Tornadus (Therian Forme)</t>
  </si>
  <si>
    <t>Greninja</t>
  </si>
  <si>
    <t>Noivern</t>
  </si>
  <si>
    <t>Swellow</t>
  </si>
  <si>
    <t>Weavile</t>
  </si>
  <si>
    <t>Darkrai</t>
  </si>
  <si>
    <t>Talonflame</t>
  </si>
  <si>
    <t>Shaymin (Sky Forme)</t>
  </si>
  <si>
    <t>Gengar (Mega Gengar)</t>
  </si>
  <si>
    <t>Jolteon</t>
  </si>
  <si>
    <t>Aerodactyl</t>
  </si>
  <si>
    <t>Mewtwo</t>
  </si>
  <si>
    <t>Mewtwo (Mega Mewtwo X)</t>
  </si>
  <si>
    <t>Crobat</t>
  </si>
  <si>
    <t>Manectric (Mega Manectric)</t>
  </si>
  <si>
    <t>Lopunny (Mega Lopunny)</t>
  </si>
  <si>
    <t>Electrode</t>
  </si>
  <si>
    <t>Mewtwo (Mega Mewtwo Y)</t>
  </si>
  <si>
    <t>Beedrill (Mega Beedrill)</t>
  </si>
  <si>
    <t>Sceptile (Mega Sceptile)</t>
  </si>
  <si>
    <t>Accelgor</t>
  </si>
  <si>
    <t>Alakazam (Mega Alakazam)</t>
  </si>
  <si>
    <t>Aerodactyl (Mega Aerodactyl)</t>
  </si>
  <si>
    <t>Deoxys (Normal Forme)</t>
  </si>
  <si>
    <t>Deoxys (Attack Forme)</t>
  </si>
  <si>
    <t>Ninjask</t>
  </si>
  <si>
    <t>Deoxys (Speed Forme)</t>
  </si>
  <si>
    <t>Pokémon</t>
  </si>
  <si>
    <t>HP</t>
  </si>
  <si>
    <t>Attack</t>
  </si>
  <si>
    <t>Defense</t>
  </si>
  <si>
    <t>Sp. Attack</t>
  </si>
  <si>
    <t>Sp. Defense</t>
  </si>
  <si>
    <t>Speed</t>
  </si>
  <si>
    <t>Total</t>
  </si>
  <si>
    <t>Average</t>
  </si>
  <si>
    <t>Number</t>
  </si>
  <si>
    <t>Rank</t>
  </si>
  <si>
    <t>Stdev</t>
  </si>
  <si>
    <t>Percentile</t>
  </si>
  <si>
    <t>Min</t>
  </si>
  <si>
    <t>Max</t>
  </si>
  <si>
    <t>Bar</t>
  </si>
  <si>
    <t>Bin size</t>
  </si>
  <si>
    <t>Type 1</t>
  </si>
  <si>
    <t>Type 2</t>
  </si>
  <si>
    <t>Form</t>
  </si>
  <si>
    <t>M</t>
  </si>
  <si>
    <t>MX</t>
  </si>
  <si>
    <t>MY</t>
  </si>
  <si>
    <t>P</t>
  </si>
  <si>
    <t>U</t>
  </si>
  <si>
    <t>Grass</t>
  </si>
  <si>
    <t>Poison</t>
  </si>
  <si>
    <t>Fire</t>
  </si>
  <si>
    <t>Flying</t>
  </si>
  <si>
    <t>Water</t>
  </si>
  <si>
    <t>Bug</t>
  </si>
  <si>
    <t>Normal</t>
  </si>
  <si>
    <t>Electric</t>
  </si>
  <si>
    <t>Ground</t>
  </si>
  <si>
    <t>Fairy</t>
  </si>
  <si>
    <t>Fighting</t>
  </si>
  <si>
    <t>Psychic</t>
  </si>
  <si>
    <t>Rock</t>
  </si>
  <si>
    <t>Steel</t>
  </si>
  <si>
    <t>Ice</t>
  </si>
  <si>
    <t>Ghost</t>
  </si>
  <si>
    <t>Dragon</t>
  </si>
  <si>
    <t>Dark</t>
  </si>
  <si>
    <t>Tornadus (Incarnate Forme)</t>
  </si>
  <si>
    <t>Thundurus (Therian Forme)</t>
  </si>
  <si>
    <t>Thundurus (Incarnate Forme)</t>
  </si>
  <si>
    <t>Single type</t>
  </si>
  <si>
    <t>Choose Mon:</t>
  </si>
  <si>
    <t>Avg</t>
  </si>
  <si>
    <t>All</t>
  </si>
  <si>
    <t>No:</t>
  </si>
  <si>
    <t>Choose Type 2:</t>
  </si>
  <si>
    <t>Choose Type 1:</t>
  </si>
  <si>
    <t>Kangaskhan (Mega Kangaskhan)</t>
  </si>
  <si>
    <t>Salamence (Mega Salamence)</t>
  </si>
  <si>
    <t>Wormadam (Plant Cloak)</t>
  </si>
  <si>
    <t>Wormadam (Sandy Cloak)</t>
  </si>
  <si>
    <t>Wormadam (Trash Cloak)</t>
  </si>
  <si>
    <t>Abomasnow (Mega Abomasnow)</t>
  </si>
  <si>
    <t>Darmanitan (Standard Mode)</t>
  </si>
  <si>
    <t>Landorus (Incarnate Forme)</t>
  </si>
  <si>
    <t>Meloetta (Pirouette Forme)</t>
  </si>
  <si>
    <t>Pumpkaboo (Super Size)</t>
  </si>
  <si>
    <t>Pumpkaboo (Large Size)</t>
  </si>
  <si>
    <t>Pumpkaboo (Average Size)</t>
  </si>
  <si>
    <t>Pumpkaboo (Small Size)</t>
  </si>
  <si>
    <t>Gourgeist (Average Size)</t>
  </si>
  <si>
    <t>Fully-Evolved</t>
  </si>
  <si>
    <t>Evolution:</t>
  </si>
  <si>
    <t>Stats</t>
  </si>
  <si>
    <t>Rank ratio</t>
  </si>
  <si>
    <t>Gen</t>
  </si>
  <si>
    <t>Choose Gen:</t>
  </si>
  <si>
    <t>HP (6)</t>
  </si>
  <si>
    <t>Attack (6)</t>
  </si>
  <si>
    <t>Defense (6)</t>
  </si>
  <si>
    <t>Sp. Attack (6)</t>
  </si>
  <si>
    <t>Sp. Defense (6)</t>
  </si>
  <si>
    <t>Speed (6)</t>
  </si>
  <si>
    <t>Total (6)</t>
  </si>
  <si>
    <t>Average (6)</t>
  </si>
  <si>
    <t>Gen Chosen</t>
  </si>
  <si>
    <t>HP (2-5)</t>
  </si>
  <si>
    <t>Attack (2-5)</t>
  </si>
  <si>
    <t>Defense (2-5)</t>
  </si>
  <si>
    <t>Speed (2-5)</t>
  </si>
  <si>
    <t>Sp. Attack (2-5)</t>
  </si>
  <si>
    <t>Sp. Defense (2-5)</t>
  </si>
  <si>
    <t>Average (2-5)</t>
  </si>
  <si>
    <t>HP (1)</t>
  </si>
  <si>
    <t>Attack (1)</t>
  </si>
  <si>
    <t>Defense (1)</t>
  </si>
  <si>
    <t>Sp. Attack (1)</t>
  </si>
  <si>
    <t>Sp. Defense (1)</t>
  </si>
  <si>
    <t>Speed (1)</t>
  </si>
  <si>
    <t>Total (1)</t>
  </si>
  <si>
    <t>Average (1)</t>
  </si>
  <si>
    <t>Total (2-5)</t>
  </si>
  <si>
    <t>Avg stats by type</t>
  </si>
  <si>
    <t>Rank of type by stat</t>
  </si>
  <si>
    <t>Rowlet</t>
  </si>
  <si>
    <t>Dartrix</t>
  </si>
  <si>
    <t>Decidueye</t>
  </si>
  <si>
    <t>Litten</t>
  </si>
  <si>
    <t>Torracat</t>
  </si>
  <si>
    <t>Incineroar</t>
  </si>
  <si>
    <t>Popplio</t>
  </si>
  <si>
    <t>Brionne</t>
  </si>
  <si>
    <t>Primarina</t>
  </si>
  <si>
    <t>Pikipek</t>
  </si>
  <si>
    <t>Trumbeak</t>
  </si>
  <si>
    <t>Toucannon</t>
  </si>
  <si>
    <t>Yungoos</t>
  </si>
  <si>
    <t>Gumshoos</t>
  </si>
  <si>
    <t>Grubbin</t>
  </si>
  <si>
    <t>Charjabug</t>
  </si>
  <si>
    <t>Vikavolt</t>
  </si>
  <si>
    <t>Crabrawler</t>
  </si>
  <si>
    <t>Crabominable</t>
  </si>
  <si>
    <t>Cutiefly</t>
  </si>
  <si>
    <t>Ribombee</t>
  </si>
  <si>
    <t>Rockruff</t>
  </si>
  <si>
    <t>Lycanroc</t>
  </si>
  <si>
    <t>Wishiwashi</t>
  </si>
  <si>
    <t>Mareanie</t>
  </si>
  <si>
    <t>Toxapex</t>
  </si>
  <si>
    <t>Mudbray</t>
  </si>
  <si>
    <t>Mudsdale</t>
  </si>
  <si>
    <t>Dewpider</t>
  </si>
  <si>
    <t>Araquanid</t>
  </si>
  <si>
    <t>Fomantis</t>
  </si>
  <si>
    <t>Lurantis</t>
  </si>
  <si>
    <t>Morelull</t>
  </si>
  <si>
    <t>Shiinotic</t>
  </si>
  <si>
    <t>Salandit</t>
  </si>
  <si>
    <t>Salazzle</t>
  </si>
  <si>
    <t>Stufful</t>
  </si>
  <si>
    <t>Bewear</t>
  </si>
  <si>
    <t>Bounsweet</t>
  </si>
  <si>
    <t>Steenee</t>
  </si>
  <si>
    <t>Tsareena</t>
  </si>
  <si>
    <t>Comfey</t>
  </si>
  <si>
    <t>Oranguru</t>
  </si>
  <si>
    <t>Passimian</t>
  </si>
  <si>
    <t>Wimpod</t>
  </si>
  <si>
    <t>Golisopod</t>
  </si>
  <si>
    <t>Sandygast</t>
  </si>
  <si>
    <t>Palossand</t>
  </si>
  <si>
    <t>Pyukumuku</t>
  </si>
  <si>
    <t>Type: Null</t>
  </si>
  <si>
    <t>Silvally</t>
  </si>
  <si>
    <t>Minior</t>
  </si>
  <si>
    <t>Komala</t>
  </si>
  <si>
    <t>Turtonator</t>
  </si>
  <si>
    <t>Togedemaru</t>
  </si>
  <si>
    <t>Mimikyu</t>
  </si>
  <si>
    <t>Bruxish</t>
  </si>
  <si>
    <t>Drampa</t>
  </si>
  <si>
    <t>Dhelmise</t>
  </si>
  <si>
    <t>Jangmo-o</t>
  </si>
  <si>
    <t>Hakamo-o</t>
  </si>
  <si>
    <t>Kommo-o</t>
  </si>
  <si>
    <t>Tapu Koko</t>
  </si>
  <si>
    <t>Tapu Lele</t>
  </si>
  <si>
    <t>Tapu Bulu</t>
  </si>
  <si>
    <t>Tapu Fini</t>
  </si>
  <si>
    <t>Cosmog</t>
  </si>
  <si>
    <t>Cosmoem</t>
  </si>
  <si>
    <t>Solgaleo</t>
  </si>
  <si>
    <t>Lunala</t>
  </si>
  <si>
    <t>Nihilego</t>
  </si>
  <si>
    <t>Buzzwole</t>
  </si>
  <si>
    <t>Pheromosa</t>
  </si>
  <si>
    <t>Xurkitree</t>
  </si>
  <si>
    <t>Celesteela</t>
  </si>
  <si>
    <t>Kartana</t>
  </si>
  <si>
    <t>Guzzlord</t>
  </si>
  <si>
    <t>Necrozma</t>
  </si>
  <si>
    <t>Magearna</t>
  </si>
  <si>
    <t>Marshadow</t>
  </si>
  <si>
    <t>Rattata (Alolan Rattata)</t>
  </si>
  <si>
    <t>Raticate (Alolan Raticate)</t>
  </si>
  <si>
    <t>Raichu (Alolan Raichu)</t>
  </si>
  <si>
    <t>Sandshrew (Alolan Sandshrew)</t>
  </si>
  <si>
    <t>Sandslash (Alolan Sandslash)</t>
  </si>
  <si>
    <t>Vulpix (Alolan Vulpix)</t>
  </si>
  <si>
    <t>Ninetales (Alolan Ninetales)</t>
  </si>
  <si>
    <t>Diglett (Alolan Diglett)</t>
  </si>
  <si>
    <t>Dugtrio (Alolan Dugtrio)</t>
  </si>
  <si>
    <t>Meowth (Alolan Meowth)</t>
  </si>
  <si>
    <t>Persian (Alolan Persian)</t>
  </si>
  <si>
    <t>Geodude (Alolan Geodude)</t>
  </si>
  <si>
    <t>Graveler (Alolan Graveler)</t>
  </si>
  <si>
    <t>Golem (Alolan Golem)</t>
  </si>
  <si>
    <t>Grimer (Alolan Grimer)</t>
  </si>
  <si>
    <t>Muk (Alolan Muk)</t>
  </si>
  <si>
    <t>Exeggutor (Alolan Exeggutor)</t>
  </si>
  <si>
    <t>Marowak (Alolan Marowak)</t>
  </si>
  <si>
    <t>HP (7)</t>
  </si>
  <si>
    <t>Attack (7)</t>
  </si>
  <si>
    <t>Defense (7)</t>
  </si>
  <si>
    <t>Sp. Attack (7)</t>
  </si>
  <si>
    <t>Sp. Defense (7)</t>
  </si>
  <si>
    <t>Speed (7)</t>
  </si>
  <si>
    <t>Total (7)</t>
  </si>
  <si>
    <t>Average (7)</t>
  </si>
  <si>
    <t>Oricorio (Baile)</t>
  </si>
  <si>
    <t>Wishiwashi (School Forme)</t>
  </si>
  <si>
    <t>741</t>
  </si>
  <si>
    <t>Oricorio (Pom-pom)</t>
  </si>
  <si>
    <t>Oricorio (Pa'u)</t>
  </si>
  <si>
    <t>Oricorio (Sensu)</t>
  </si>
  <si>
    <t>722</t>
  </si>
  <si>
    <t>723</t>
  </si>
  <si>
    <t>724</t>
  </si>
  <si>
    <t>725</t>
  </si>
  <si>
    <t>726</t>
  </si>
  <si>
    <t>727</t>
  </si>
  <si>
    <t>728</t>
  </si>
  <si>
    <t>729</t>
  </si>
  <si>
    <t>730</t>
  </si>
  <si>
    <t>731</t>
  </si>
  <si>
    <t>732</t>
  </si>
  <si>
    <t>733</t>
  </si>
  <si>
    <t>734</t>
  </si>
  <si>
    <t>735</t>
  </si>
  <si>
    <t>736</t>
  </si>
  <si>
    <t>737</t>
  </si>
  <si>
    <t>738</t>
  </si>
  <si>
    <t>739</t>
  </si>
  <si>
    <t>740</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</si>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</sst>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8" x14ac:knownFonts="1">
    <font>
      <sz val="11"/>
      <color theme="1"/>
      <name val="Calibri"/>
      <family val="2"/>
      <scheme val="minor"/>
    </font>
    <font>
      <sz val="10"/>
      <color theme="1"/>
      <name val="Arial"/>
      <family val="2"/>
    </font>
    <font>
      <b/>
      <sz val="10"/>
      <color theme="1"/>
      <name val="Arial"/>
      <family val="2"/>
    </font>
    <font>
      <u/>
      <sz val="11"/>
      <color theme="10"/>
      <name val="Calibri"/>
      <family val="2"/>
      <scheme val="minor"/>
    </font>
    <font>
      <b/>
      <sz val="10"/>
      <color rgb="FF000000"/>
      <name val="Arial"/>
      <family val="2"/>
    </font>
    <font>
      <b/>
      <sz val="7.5"/>
      <color rgb="FF000000"/>
      <name val="Arial"/>
      <family val="2"/>
    </font>
    <font>
      <sz val="11"/>
      <color rgb="FF000000"/>
      <name val="Calibri"/>
      <family val="2"/>
    </font>
    <font>
      <sz val="10"/>
      <color rgb="FF000000"/>
      <name val="Arial"/>
      <family val="2"/>
    </font>
  </fonts>
  <fills count="17">
    <fill>
      <patternFill patternType="none"/>
    </fill>
    <fill>
      <patternFill patternType="gray125"/>
    </fill>
    <fill>
      <patternFill patternType="solid">
        <fgColor rgb="FFCCCCFF"/>
        <bgColor indexed="64"/>
      </patternFill>
    </fill>
    <fill>
      <patternFill patternType="solid">
        <fgColor rgb="FFFFFFFF"/>
        <bgColor indexed="64"/>
      </patternFill>
    </fill>
    <fill>
      <patternFill patternType="solid">
        <fgColor rgb="FFFF5959"/>
        <bgColor indexed="64"/>
      </patternFill>
    </fill>
    <fill>
      <patternFill patternType="solid">
        <fgColor rgb="FFF5AC78"/>
        <bgColor indexed="64"/>
      </patternFill>
    </fill>
    <fill>
      <patternFill patternType="solid">
        <fgColor rgb="FFFAE078"/>
        <bgColor indexed="64"/>
      </patternFill>
    </fill>
    <fill>
      <patternFill patternType="solid">
        <fgColor rgb="FF9DB7F5"/>
        <bgColor indexed="64"/>
      </patternFill>
    </fill>
    <fill>
      <patternFill patternType="solid">
        <fgColor rgb="FFA7DB8D"/>
        <bgColor indexed="64"/>
      </patternFill>
    </fill>
    <fill>
      <patternFill patternType="solid">
        <fgColor rgb="FFFA92B2"/>
        <bgColor indexed="64"/>
      </patternFill>
    </fill>
    <fill>
      <patternFill patternType="solid">
        <fgColor rgb="FFFF0000"/>
        <bgColor indexed="64"/>
      </patternFill>
    </fill>
    <fill>
      <patternFill patternType="solid">
        <fgColor rgb="FFF08030"/>
        <bgColor indexed="64"/>
      </patternFill>
    </fill>
    <fill>
      <patternFill patternType="solid">
        <fgColor rgb="FFF8D030"/>
        <bgColor indexed="64"/>
      </patternFill>
    </fill>
    <fill>
      <patternFill patternType="solid">
        <fgColor rgb="FF6890F0"/>
        <bgColor indexed="64"/>
      </patternFill>
    </fill>
    <fill>
      <patternFill patternType="solid">
        <fgColor rgb="FF78C850"/>
        <bgColor indexed="64"/>
      </patternFill>
    </fill>
    <fill>
      <patternFill patternType="solid">
        <fgColor rgb="FFF85888"/>
        <bgColor indexed="64"/>
      </patternFill>
    </fill>
    <fill>
      <patternFill patternType="solid">
        <fgColor rgb="FF94EFE0"/>
        <bgColor indexed="64"/>
      </patternFill>
    </fill>
  </fills>
  <borders count="12">
    <border>
      <left/>
      <right/>
      <top/>
      <bottom/>
      <diagonal/>
    </border>
    <border>
      <left style="thick">
        <color rgb="FFBEBED1"/>
      </left>
      <right/>
      <top style="thick">
        <color rgb="FFBEBED1"/>
      </top>
      <bottom/>
      <diagonal/>
    </border>
    <border>
      <left/>
      <right/>
      <top style="thick">
        <color rgb="FFBEBED1"/>
      </top>
      <bottom/>
      <diagonal/>
    </border>
    <border>
      <left/>
      <right style="thick">
        <color rgb="FFBEBED1"/>
      </right>
      <top style="thick">
        <color rgb="FFBEBED1"/>
      </top>
      <bottom/>
      <diagonal/>
    </border>
    <border>
      <left style="thick">
        <color rgb="FFBEBED1"/>
      </left>
      <right/>
      <top/>
      <bottom/>
      <diagonal/>
    </border>
    <border>
      <left/>
      <right style="thick">
        <color rgb="FFBEBED1"/>
      </right>
      <top/>
      <bottom/>
      <diagonal/>
    </border>
    <border>
      <left style="thick">
        <color rgb="FFBEBED1"/>
      </left>
      <right/>
      <top/>
      <bottom style="thick">
        <color rgb="FFBEBED1"/>
      </bottom>
      <diagonal/>
    </border>
    <border>
      <left/>
      <right/>
      <top/>
      <bottom style="thick">
        <color rgb="FFBEBED1"/>
      </bottom>
      <diagonal/>
    </border>
    <border>
      <left/>
      <right style="thick">
        <color rgb="FFBEBED1"/>
      </right>
      <top/>
      <bottom style="thick">
        <color rgb="FFBEBED1"/>
      </bottom>
      <diagonal/>
    </border>
    <border>
      <left style="thick">
        <color rgb="FFBEBED1"/>
      </left>
      <right/>
      <top style="thick">
        <color rgb="FFBEBED1"/>
      </top>
      <bottom style="thick">
        <color rgb="FFBEBED1"/>
      </bottom>
      <diagonal/>
    </border>
    <border>
      <left/>
      <right/>
      <top style="thick">
        <color rgb="FFBEBED1"/>
      </top>
      <bottom style="thick">
        <color rgb="FFBEBED1"/>
      </bottom>
      <diagonal/>
    </border>
    <border>
      <left/>
      <right style="thick">
        <color rgb="FFBEBED1"/>
      </right>
      <top style="thick">
        <color rgb="FFBEBED1"/>
      </top>
      <bottom style="thick">
        <color rgb="FFBEBED1"/>
      </bottom>
      <diagonal/>
    </border>
  </borders>
  <cellStyleXfs count="2">
    <xf numFmtId="0" fontId="0" fillId="0" borderId="0"/>
    <xf numFmtId="0" fontId="3" fillId="0" borderId="0" applyNumberFormat="0" applyFill="0" applyBorder="0" applyAlignment="0" applyProtection="0"/>
  </cellStyleXfs>
  <cellXfs count="182">
    <xf numFmtId="0" fontId="0" fillId="0" borderId="0" xfId="0"/>
    <xf numFmtId="0" fontId="1" fillId="3" borderId="0" xfId="0" applyFont="1" applyFill="1" applyAlignment="1">
      <alignment horizontal="center" vertical="center" wrapText="1"/>
    </xf>
    <xf numFmtId="0" fontId="3" fillId="3" borderId="0" xfId="1" applyFill="1" applyAlignment="1">
      <alignment horizontal="left"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6" borderId="0" xfId="0" applyFont="1" applyFill="1" applyAlignment="1">
      <alignment horizontal="center" vertical="center" wrapText="1"/>
    </xf>
    <xf numFmtId="0" fontId="1" fillId="7" borderId="0" xfId="0" applyFont="1" applyFill="1" applyAlignment="1">
      <alignment horizontal="center" vertical="center" wrapText="1"/>
    </xf>
    <xf numFmtId="0" fontId="1" fillId="8" borderId="0" xfId="0" applyFont="1" applyFill="1" applyAlignment="1">
      <alignment horizontal="center" vertical="center" wrapText="1"/>
    </xf>
    <xf numFmtId="0" fontId="1" fillId="9" borderId="0" xfId="0" applyFont="1" applyFill="1" applyAlignment="1">
      <alignment horizontal="center" vertical="center" wrapText="1"/>
    </xf>
    <xf numFmtId="0" fontId="3" fillId="3" borderId="2" xfId="1" applyFill="1" applyBorder="1" applyAlignment="1">
      <alignment horizontal="left" vertical="center" wrapText="1"/>
    </xf>
    <xf numFmtId="0" fontId="1" fillId="4" borderId="2"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 fillId="8" borderId="2" xfId="0" applyFont="1" applyFill="1" applyBorder="1" applyAlignment="1">
      <alignment horizontal="center" vertical="center" wrapText="1"/>
    </xf>
    <xf numFmtId="0" fontId="1" fillId="9" borderId="2"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2" fillId="3" borderId="4" xfId="0" applyFont="1" applyFill="1" applyBorder="1" applyAlignment="1">
      <alignment horizontal="right" vertical="center" wrapText="1"/>
    </xf>
    <xf numFmtId="0" fontId="1" fillId="3" borderId="5" xfId="0" applyFont="1" applyFill="1" applyBorder="1" applyAlignment="1">
      <alignment horizontal="center" vertical="center" wrapText="1"/>
    </xf>
    <xf numFmtId="0" fontId="2" fillId="3" borderId="6" xfId="0" applyFont="1" applyFill="1" applyBorder="1" applyAlignment="1">
      <alignment horizontal="right" vertical="center" wrapText="1"/>
    </xf>
    <xf numFmtId="0" fontId="3" fillId="3" borderId="7" xfId="1" applyFill="1" applyBorder="1" applyAlignment="1">
      <alignment horizontal="left" vertical="center" wrapText="1"/>
    </xf>
    <xf numFmtId="0" fontId="1" fillId="4" borderId="7"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1" fillId="6" borderId="7" xfId="0" applyFont="1" applyFill="1" applyBorder="1" applyAlignment="1">
      <alignment horizontal="center" vertical="center" wrapText="1"/>
    </xf>
    <xf numFmtId="0" fontId="1" fillId="7" borderId="7" xfId="0" applyFont="1" applyFill="1" applyBorder="1" applyAlignment="1">
      <alignment horizontal="center" vertical="center" wrapText="1"/>
    </xf>
    <xf numFmtId="0" fontId="1" fillId="8" borderId="7" xfId="0" applyFont="1" applyFill="1" applyBorder="1" applyAlignment="1">
      <alignment horizontal="center" vertical="center" wrapText="1"/>
    </xf>
    <xf numFmtId="0" fontId="1" fillId="9" borderId="7"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5" fillId="10" borderId="10"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2" borderId="10" xfId="0" applyFont="1" applyFill="1" applyBorder="1" applyAlignment="1">
      <alignment horizontal="center" vertical="center" wrapText="1"/>
    </xf>
    <xf numFmtId="0" fontId="5" fillId="13" borderId="10" xfId="0" applyFont="1" applyFill="1" applyBorder="1" applyAlignment="1">
      <alignment horizontal="center" vertical="center" wrapText="1"/>
    </xf>
    <xf numFmtId="0" fontId="5" fillId="14" borderId="10" xfId="0" applyFont="1" applyFill="1" applyBorder="1" applyAlignment="1">
      <alignment horizontal="center" vertical="center" wrapText="1"/>
    </xf>
    <xf numFmtId="0" fontId="5" fillId="15" borderId="10"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3" fillId="3" borderId="0" xfId="1" applyFill="1" applyBorder="1" applyAlignment="1">
      <alignment horizontal="left" vertical="center" wrapText="1"/>
    </xf>
    <xf numFmtId="0" fontId="1" fillId="4" borderId="0"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6" borderId="0" xfId="0" applyFont="1" applyFill="1" applyBorder="1" applyAlignment="1">
      <alignment horizontal="center" vertical="center" wrapText="1"/>
    </xf>
    <xf numFmtId="0" fontId="1" fillId="7" borderId="0" xfId="0" applyFont="1" applyFill="1" applyBorder="1" applyAlignment="1">
      <alignment horizontal="center" vertical="center" wrapText="1"/>
    </xf>
    <xf numFmtId="0" fontId="1" fillId="8" borderId="0"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1" fillId="3" borderId="0"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2" fontId="1" fillId="6" borderId="2" xfId="0" applyNumberFormat="1" applyFont="1" applyFill="1" applyBorder="1" applyAlignment="1">
      <alignment horizontal="center" vertical="center" wrapText="1"/>
    </xf>
    <xf numFmtId="2" fontId="1" fillId="7" borderId="2" xfId="0" applyNumberFormat="1" applyFont="1" applyFill="1" applyBorder="1" applyAlignment="1">
      <alignment horizontal="center" vertical="center" wrapText="1"/>
    </xf>
    <xf numFmtId="2" fontId="1" fillId="8" borderId="2" xfId="0" applyNumberFormat="1" applyFont="1" applyFill="1" applyBorder="1" applyAlignment="1">
      <alignment horizontal="center" vertical="center" wrapText="1"/>
    </xf>
    <xf numFmtId="2" fontId="1" fillId="9" borderId="2" xfId="0" applyNumberFormat="1" applyFont="1" applyFill="1" applyBorder="1" applyAlignment="1">
      <alignment horizontal="center" vertical="center" wrapText="1"/>
    </xf>
    <xf numFmtId="2" fontId="1" fillId="3" borderId="2" xfId="0" applyNumberFormat="1" applyFont="1" applyFill="1" applyBorder="1" applyAlignment="1">
      <alignment horizontal="center" vertical="center" wrapText="1"/>
    </xf>
    <xf numFmtId="2" fontId="1" fillId="3" borderId="3" xfId="0" applyNumberFormat="1" applyFont="1" applyFill="1" applyBorder="1" applyAlignment="1">
      <alignment horizontal="center" vertical="center" wrapText="1"/>
    </xf>
    <xf numFmtId="2" fontId="1" fillId="3" borderId="5" xfId="0" applyNumberFormat="1" applyFont="1" applyFill="1" applyBorder="1" applyAlignment="1">
      <alignment horizontal="center" vertical="center" wrapText="1"/>
    </xf>
    <xf numFmtId="1" fontId="1" fillId="5" borderId="0" xfId="0" applyNumberFormat="1" applyFont="1" applyFill="1" applyBorder="1" applyAlignment="1">
      <alignment horizontal="center" vertical="center" wrapText="1"/>
    </xf>
    <xf numFmtId="1" fontId="1" fillId="6" borderId="0" xfId="0" applyNumberFormat="1" applyFont="1" applyFill="1" applyBorder="1" applyAlignment="1">
      <alignment horizontal="center" vertical="center" wrapText="1"/>
    </xf>
    <xf numFmtId="1" fontId="1" fillId="7" borderId="0" xfId="0" applyNumberFormat="1" applyFont="1" applyFill="1" applyBorder="1" applyAlignment="1">
      <alignment horizontal="center" vertical="center" wrapText="1"/>
    </xf>
    <xf numFmtId="1" fontId="1" fillId="8" borderId="0" xfId="0" applyNumberFormat="1" applyFont="1" applyFill="1" applyBorder="1" applyAlignment="1">
      <alignment horizontal="center" vertical="center" wrapText="1"/>
    </xf>
    <xf numFmtId="1" fontId="1" fillId="9" borderId="0" xfId="0" applyNumberFormat="1" applyFont="1" applyFill="1" applyBorder="1" applyAlignment="1">
      <alignment horizontal="center" vertical="center" wrapText="1"/>
    </xf>
    <xf numFmtId="1" fontId="1" fillId="3" borderId="0" xfId="0" applyNumberFormat="1" applyFont="1" applyFill="1" applyBorder="1" applyAlignment="1">
      <alignment horizontal="center" vertical="center" wrapText="1"/>
    </xf>
    <xf numFmtId="0" fontId="2" fillId="3" borderId="2" xfId="0" applyFont="1" applyFill="1" applyBorder="1" applyAlignment="1">
      <alignment horizontal="right" vertical="center" wrapText="1"/>
    </xf>
    <xf numFmtId="0" fontId="2" fillId="3" borderId="0" xfId="0" applyFont="1" applyFill="1" applyBorder="1" applyAlignment="1">
      <alignment horizontal="right" vertical="center" wrapText="1"/>
    </xf>
    <xf numFmtId="1" fontId="2" fillId="3" borderId="4" xfId="0" applyNumberFormat="1" applyFont="1" applyFill="1" applyBorder="1" applyAlignment="1">
      <alignment horizontal="right" vertical="center" wrapText="1"/>
    </xf>
    <xf numFmtId="0" fontId="2" fillId="3" borderId="7" xfId="0" applyFont="1" applyFill="1" applyBorder="1" applyAlignment="1">
      <alignment horizontal="right" vertical="center" wrapText="1"/>
    </xf>
    <xf numFmtId="0" fontId="0" fillId="0" borderId="0" xfId="0" applyAlignment="1">
      <alignment horizontal="left"/>
    </xf>
    <xf numFmtId="0" fontId="2" fillId="3" borderId="2" xfId="0" applyFont="1" applyFill="1" applyBorder="1" applyAlignment="1">
      <alignment horizontal="left" vertical="center" wrapText="1"/>
    </xf>
    <xf numFmtId="0" fontId="2" fillId="3" borderId="0" xfId="0" applyFont="1" applyFill="1" applyBorder="1" applyAlignment="1">
      <alignment horizontal="left" vertical="center" wrapText="1"/>
    </xf>
    <xf numFmtId="0" fontId="2" fillId="3" borderId="7" xfId="0" applyFont="1" applyFill="1" applyBorder="1" applyAlignment="1">
      <alignment horizontal="left" vertical="center" wrapText="1"/>
    </xf>
    <xf numFmtId="0" fontId="2" fillId="0" borderId="0" xfId="0" applyFont="1" applyFill="1" applyBorder="1" applyAlignment="1">
      <alignment horizontal="left" vertical="center" wrapText="1"/>
    </xf>
    <xf numFmtId="0" fontId="4" fillId="2" borderId="9" xfId="0" applyFont="1" applyFill="1" applyBorder="1" applyAlignment="1">
      <alignment horizontal="left" vertical="center" wrapText="1"/>
    </xf>
    <xf numFmtId="164" fontId="1" fillId="3" borderId="8" xfId="0" applyNumberFormat="1" applyFont="1" applyFill="1" applyBorder="1" applyAlignment="1">
      <alignment horizontal="center" vertical="center" wrapText="1"/>
    </xf>
    <xf numFmtId="164" fontId="1" fillId="5" borderId="7" xfId="0" applyNumberFormat="1" applyFont="1" applyFill="1" applyBorder="1" applyAlignment="1">
      <alignment horizontal="center" vertical="center" wrapText="1"/>
    </xf>
    <xf numFmtId="164" fontId="1" fillId="6" borderId="7" xfId="0" applyNumberFormat="1" applyFont="1" applyFill="1" applyBorder="1" applyAlignment="1">
      <alignment horizontal="center" vertical="center" wrapText="1"/>
    </xf>
    <xf numFmtId="164" fontId="1" fillId="7" borderId="7" xfId="0" applyNumberFormat="1" applyFont="1" applyFill="1" applyBorder="1" applyAlignment="1">
      <alignment horizontal="center" vertical="center" wrapText="1"/>
    </xf>
    <xf numFmtId="164" fontId="1" fillId="8" borderId="7" xfId="0" applyNumberFormat="1" applyFont="1" applyFill="1" applyBorder="1" applyAlignment="1">
      <alignment horizontal="center" vertical="center" wrapText="1"/>
    </xf>
    <xf numFmtId="164" fontId="1" fillId="9" borderId="7" xfId="0" applyNumberFormat="1" applyFont="1" applyFill="1" applyBorder="1" applyAlignment="1">
      <alignment horizontal="center" vertical="center" wrapText="1"/>
    </xf>
    <xf numFmtId="164" fontId="1" fillId="3" borderId="7" xfId="0" applyNumberFormat="1" applyFont="1" applyFill="1" applyBorder="1" applyAlignment="1">
      <alignment horizontal="center" vertical="center" wrapText="1"/>
    </xf>
    <xf numFmtId="0" fontId="5" fillId="10" borderId="9" xfId="0" applyFont="1" applyFill="1" applyBorder="1" applyAlignment="1">
      <alignment horizontal="center" vertical="center" wrapText="1"/>
    </xf>
    <xf numFmtId="2" fontId="1" fillId="4" borderId="1" xfId="0" applyNumberFormat="1" applyFont="1" applyFill="1" applyBorder="1" applyAlignment="1">
      <alignment horizontal="center" vertical="center" wrapText="1"/>
    </xf>
    <xf numFmtId="2" fontId="1" fillId="4" borderId="4" xfId="0" applyNumberFormat="1" applyFont="1" applyFill="1" applyBorder="1" applyAlignment="1">
      <alignment horizontal="center" vertical="center" wrapText="1"/>
    </xf>
    <xf numFmtId="164" fontId="1" fillId="4" borderId="6" xfId="0" applyNumberFormat="1" applyFont="1" applyFill="1" applyBorder="1" applyAlignment="1">
      <alignment horizontal="center" vertical="center" wrapText="1"/>
    </xf>
    <xf numFmtId="2" fontId="1" fillId="5" borderId="0" xfId="0" applyNumberFormat="1" applyFont="1" applyFill="1" applyBorder="1" applyAlignment="1">
      <alignment horizontal="center" vertical="center" wrapText="1"/>
    </xf>
    <xf numFmtId="2" fontId="1" fillId="6" borderId="0" xfId="0" applyNumberFormat="1" applyFont="1" applyFill="1" applyBorder="1" applyAlignment="1">
      <alignment horizontal="center" vertical="center" wrapText="1"/>
    </xf>
    <xf numFmtId="2" fontId="1" fillId="7" borderId="0" xfId="0" applyNumberFormat="1" applyFont="1" applyFill="1" applyBorder="1" applyAlignment="1">
      <alignment horizontal="center" vertical="center" wrapText="1"/>
    </xf>
    <xf numFmtId="2" fontId="1" fillId="8" borderId="0" xfId="0" applyNumberFormat="1" applyFont="1" applyFill="1" applyBorder="1" applyAlignment="1">
      <alignment horizontal="center" vertical="center" wrapText="1"/>
    </xf>
    <xf numFmtId="2" fontId="1" fillId="9" borderId="0" xfId="0" applyNumberFormat="1" applyFont="1" applyFill="1" applyBorder="1" applyAlignment="1">
      <alignment horizontal="center" vertical="center" wrapText="1"/>
    </xf>
    <xf numFmtId="2" fontId="1" fillId="3" borderId="0" xfId="0" applyNumberFormat="1" applyFont="1" applyFill="1" applyBorder="1" applyAlignment="1">
      <alignment horizontal="center" vertical="center" wrapText="1"/>
    </xf>
    <xf numFmtId="2" fontId="1" fillId="4" borderId="6" xfId="0" applyNumberFormat="1" applyFont="1" applyFill="1" applyBorder="1" applyAlignment="1">
      <alignment horizontal="center" vertical="center" wrapText="1"/>
    </xf>
    <xf numFmtId="2" fontId="1" fillId="5" borderId="7" xfId="0" applyNumberFormat="1" applyFont="1" applyFill="1" applyBorder="1" applyAlignment="1">
      <alignment horizontal="center" vertical="center" wrapText="1"/>
    </xf>
    <xf numFmtId="2" fontId="1" fillId="6" borderId="7" xfId="0" applyNumberFormat="1" applyFont="1" applyFill="1" applyBorder="1" applyAlignment="1">
      <alignment horizontal="center" vertical="center" wrapText="1"/>
    </xf>
    <xf numFmtId="2" fontId="1" fillId="7" borderId="7" xfId="0" applyNumberFormat="1" applyFont="1" applyFill="1" applyBorder="1" applyAlignment="1">
      <alignment horizontal="center" vertical="center" wrapText="1"/>
    </xf>
    <xf numFmtId="2" fontId="1" fillId="8" borderId="7" xfId="0" applyNumberFormat="1" applyFont="1" applyFill="1" applyBorder="1" applyAlignment="1">
      <alignment horizontal="center" vertical="center" wrapText="1"/>
    </xf>
    <xf numFmtId="2" fontId="1" fillId="9" borderId="7" xfId="0" applyNumberFormat="1" applyFont="1" applyFill="1" applyBorder="1" applyAlignment="1">
      <alignment horizontal="center" vertical="center" wrapText="1"/>
    </xf>
    <xf numFmtId="2" fontId="1" fillId="3" borderId="7" xfId="0" applyNumberFormat="1" applyFont="1" applyFill="1" applyBorder="1" applyAlignment="1">
      <alignment horizontal="center" vertical="center" wrapText="1"/>
    </xf>
    <xf numFmtId="2" fontId="1" fillId="3" borderId="8" xfId="0" applyNumberFormat="1" applyFont="1" applyFill="1" applyBorder="1" applyAlignment="1">
      <alignment horizontal="center" vertical="center" wrapText="1"/>
    </xf>
    <xf numFmtId="0" fontId="0" fillId="0" borderId="7" xfId="0" applyBorder="1"/>
    <xf numFmtId="0" fontId="0" fillId="0" borderId="8" xfId="0" applyBorder="1"/>
    <xf numFmtId="1" fontId="1" fillId="4" borderId="1" xfId="0" applyNumberFormat="1" applyFont="1" applyFill="1" applyBorder="1" applyAlignment="1">
      <alignment horizontal="center" vertical="center" wrapText="1"/>
    </xf>
    <xf numFmtId="1" fontId="1" fillId="5" borderId="2" xfId="0" applyNumberFormat="1" applyFont="1" applyFill="1" applyBorder="1" applyAlignment="1">
      <alignment horizontal="center" vertical="center" wrapText="1"/>
    </xf>
    <xf numFmtId="1" fontId="1" fillId="6" borderId="2" xfId="0" applyNumberFormat="1" applyFont="1" applyFill="1" applyBorder="1" applyAlignment="1">
      <alignment horizontal="center" vertical="center" wrapText="1"/>
    </xf>
    <xf numFmtId="1" fontId="1" fillId="7" borderId="2" xfId="0" applyNumberFormat="1" applyFont="1" applyFill="1" applyBorder="1" applyAlignment="1">
      <alignment horizontal="center" vertical="center" wrapText="1"/>
    </xf>
    <xf numFmtId="1" fontId="1" fillId="8" borderId="2" xfId="0" applyNumberFormat="1" applyFont="1" applyFill="1" applyBorder="1" applyAlignment="1">
      <alignment horizontal="center" vertical="center" wrapText="1"/>
    </xf>
    <xf numFmtId="1" fontId="1" fillId="9" borderId="2" xfId="0" applyNumberFormat="1" applyFont="1" applyFill="1" applyBorder="1" applyAlignment="1">
      <alignment horizontal="center" vertical="center" wrapText="1"/>
    </xf>
    <xf numFmtId="1" fontId="1" fillId="3" borderId="3" xfId="0" applyNumberFormat="1" applyFont="1" applyFill="1" applyBorder="1" applyAlignment="1">
      <alignment horizontal="center" vertical="center" wrapText="1"/>
    </xf>
    <xf numFmtId="1" fontId="1" fillId="4" borderId="4" xfId="0" applyNumberFormat="1" applyFont="1" applyFill="1" applyBorder="1" applyAlignment="1">
      <alignment horizontal="center" vertical="center" wrapText="1"/>
    </xf>
    <xf numFmtId="1" fontId="1" fillId="3" borderId="5" xfId="0" applyNumberFormat="1" applyFont="1" applyFill="1" applyBorder="1" applyAlignment="1">
      <alignment horizontal="center" vertical="center" wrapText="1"/>
    </xf>
    <xf numFmtId="1" fontId="1" fillId="4" borderId="6" xfId="0" applyNumberFormat="1" applyFont="1" applyFill="1" applyBorder="1" applyAlignment="1">
      <alignment horizontal="center" vertical="center" wrapText="1"/>
    </xf>
    <xf numFmtId="1" fontId="1" fillId="5" borderId="7" xfId="0" applyNumberFormat="1" applyFont="1" applyFill="1" applyBorder="1" applyAlignment="1">
      <alignment horizontal="center" vertical="center" wrapText="1"/>
    </xf>
    <xf numFmtId="1" fontId="1" fillId="6" borderId="7" xfId="0" applyNumberFormat="1" applyFont="1" applyFill="1" applyBorder="1" applyAlignment="1">
      <alignment horizontal="center" vertical="center" wrapText="1"/>
    </xf>
    <xf numFmtId="1" fontId="1" fillId="7" borderId="7" xfId="0" applyNumberFormat="1" applyFont="1" applyFill="1" applyBorder="1" applyAlignment="1">
      <alignment horizontal="center" vertical="center" wrapText="1"/>
    </xf>
    <xf numFmtId="1" fontId="1" fillId="8" borderId="7" xfId="0" applyNumberFormat="1" applyFont="1" applyFill="1" applyBorder="1" applyAlignment="1">
      <alignment horizontal="center" vertical="center" wrapText="1"/>
    </xf>
    <xf numFmtId="1" fontId="1" fillId="9" borderId="7" xfId="0" applyNumberFormat="1" applyFont="1" applyFill="1" applyBorder="1" applyAlignment="1">
      <alignment horizontal="center" vertical="center" wrapText="1"/>
    </xf>
    <xf numFmtId="1" fontId="1" fillId="3" borderId="8" xfId="0" applyNumberFormat="1" applyFont="1" applyFill="1" applyBorder="1" applyAlignment="1">
      <alignment horizontal="center" vertical="center" wrapText="1"/>
    </xf>
    <xf numFmtId="165" fontId="1" fillId="3" borderId="3" xfId="0" applyNumberFormat="1" applyFont="1" applyFill="1" applyBorder="1" applyAlignment="1">
      <alignment horizontal="center" vertical="center" wrapText="1"/>
    </xf>
    <xf numFmtId="165" fontId="1" fillId="3" borderId="5" xfId="0" applyNumberFormat="1" applyFont="1" applyFill="1" applyBorder="1" applyAlignment="1">
      <alignment horizontal="center" vertical="center" wrapText="1"/>
    </xf>
    <xf numFmtId="165" fontId="1" fillId="3" borderId="8" xfId="0" applyNumberFormat="1" applyFont="1" applyFill="1" applyBorder="1" applyAlignment="1">
      <alignment horizontal="center" vertical="center" wrapText="1"/>
    </xf>
    <xf numFmtId="0" fontId="0" fillId="0" borderId="0" xfId="0" applyAlignment="1">
      <alignment horizontal="right"/>
    </xf>
    <xf numFmtId="0" fontId="2" fillId="3" borderId="1" xfId="0" applyFont="1" applyFill="1" applyBorder="1" applyAlignment="1">
      <alignment horizontal="right" vertical="center" wrapText="1"/>
    </xf>
    <xf numFmtId="1" fontId="2" fillId="3" borderId="0" xfId="0" applyNumberFormat="1" applyFont="1" applyFill="1" applyBorder="1" applyAlignment="1">
      <alignment horizontal="right" vertical="center" wrapText="1"/>
    </xf>
    <xf numFmtId="1" fontId="1" fillId="3" borderId="2" xfId="0" applyNumberFormat="1" applyFont="1" applyFill="1" applyBorder="1" applyAlignment="1">
      <alignment horizontal="center" vertical="center" wrapText="1"/>
    </xf>
    <xf numFmtId="1" fontId="1" fillId="3" borderId="7" xfId="0" applyNumberFormat="1" applyFont="1" applyFill="1" applyBorder="1" applyAlignment="1">
      <alignment horizontal="center" vertical="center" wrapText="1"/>
    </xf>
    <xf numFmtId="1" fontId="2" fillId="3" borderId="7" xfId="0" applyNumberFormat="1" applyFont="1" applyFill="1" applyBorder="1" applyAlignment="1">
      <alignment horizontal="right" vertical="center" wrapText="1"/>
    </xf>
    <xf numFmtId="0" fontId="1" fillId="4" borderId="4" xfId="0" applyNumberFormat="1" applyFont="1" applyFill="1" applyBorder="1" applyAlignment="1">
      <alignment horizontal="center" vertical="center" wrapText="1"/>
    </xf>
    <xf numFmtId="0" fontId="1" fillId="5" borderId="0" xfId="0" applyNumberFormat="1" applyFont="1" applyFill="1" applyBorder="1" applyAlignment="1">
      <alignment horizontal="center" vertical="center" wrapText="1"/>
    </xf>
    <xf numFmtId="0" fontId="1" fillId="6" borderId="0" xfId="0" applyNumberFormat="1" applyFont="1" applyFill="1" applyBorder="1" applyAlignment="1">
      <alignment horizontal="center" vertical="center" wrapText="1"/>
    </xf>
    <xf numFmtId="0" fontId="1" fillId="7" borderId="0" xfId="0" applyNumberFormat="1" applyFont="1" applyFill="1" applyBorder="1" applyAlignment="1">
      <alignment horizontal="center" vertical="center" wrapText="1"/>
    </xf>
    <xf numFmtId="0" fontId="1" fillId="8" borderId="0" xfId="0" applyNumberFormat="1" applyFont="1" applyFill="1" applyBorder="1" applyAlignment="1">
      <alignment horizontal="center" vertical="center" wrapText="1"/>
    </xf>
    <xf numFmtId="0" fontId="1" fillId="9" borderId="0" xfId="0" applyNumberFormat="1" applyFont="1" applyFill="1" applyBorder="1" applyAlignment="1">
      <alignment horizontal="center" vertical="center" wrapText="1"/>
    </xf>
    <xf numFmtId="0" fontId="1" fillId="3" borderId="0" xfId="0" applyNumberFormat="1" applyFont="1" applyFill="1" applyBorder="1" applyAlignment="1">
      <alignment horizontal="center" vertical="center" wrapText="1"/>
    </xf>
    <xf numFmtId="0" fontId="1" fillId="3" borderId="5" xfId="0" applyNumberFormat="1" applyFont="1" applyFill="1" applyBorder="1" applyAlignment="1">
      <alignment horizontal="center" vertical="center" wrapText="1"/>
    </xf>
    <xf numFmtId="164" fontId="1" fillId="4" borderId="4" xfId="0" applyNumberFormat="1" applyFont="1" applyFill="1" applyBorder="1" applyAlignment="1">
      <alignment horizontal="center" vertical="center" wrapText="1"/>
    </xf>
    <xf numFmtId="164" fontId="1" fillId="5" borderId="0" xfId="0" applyNumberFormat="1" applyFont="1" applyFill="1" applyBorder="1" applyAlignment="1">
      <alignment horizontal="center" vertical="center" wrapText="1"/>
    </xf>
    <xf numFmtId="164" fontId="1" fillId="6" borderId="0" xfId="0" applyNumberFormat="1" applyFont="1" applyFill="1" applyBorder="1" applyAlignment="1">
      <alignment horizontal="center" vertical="center" wrapText="1"/>
    </xf>
    <xf numFmtId="164" fontId="1" fillId="7" borderId="0" xfId="0" applyNumberFormat="1" applyFont="1" applyFill="1" applyBorder="1" applyAlignment="1">
      <alignment horizontal="center" vertical="center" wrapText="1"/>
    </xf>
    <xf numFmtId="164" fontId="1" fillId="8" borderId="0" xfId="0" applyNumberFormat="1" applyFont="1" applyFill="1" applyBorder="1" applyAlignment="1">
      <alignment horizontal="center" vertical="center" wrapText="1"/>
    </xf>
    <xf numFmtId="164" fontId="1" fillId="9" borderId="0" xfId="0" applyNumberFormat="1" applyFont="1" applyFill="1" applyBorder="1" applyAlignment="1">
      <alignment horizontal="center" vertical="center" wrapText="1"/>
    </xf>
    <xf numFmtId="164" fontId="1" fillId="3" borderId="0" xfId="0" applyNumberFormat="1" applyFont="1" applyFill="1" applyBorder="1" applyAlignment="1">
      <alignment horizontal="center" vertical="center" wrapText="1"/>
    </xf>
    <xf numFmtId="164" fontId="1" fillId="3" borderId="5" xfId="0" applyNumberFormat="1" applyFont="1" applyFill="1" applyBorder="1" applyAlignment="1">
      <alignment horizontal="center" vertical="center" wrapText="1"/>
    </xf>
    <xf numFmtId="0" fontId="7" fillId="3" borderId="0" xfId="0" applyFont="1" applyFill="1" applyAlignment="1">
      <alignment horizontal="center" vertical="center" wrapText="1"/>
    </xf>
    <xf numFmtId="0" fontId="7" fillId="4" borderId="0" xfId="0" applyFont="1" applyFill="1" applyAlignment="1">
      <alignment horizontal="center" vertical="center" wrapText="1"/>
    </xf>
    <xf numFmtId="0" fontId="7" fillId="5" borderId="0" xfId="0" applyFont="1" applyFill="1" applyAlignment="1">
      <alignment horizontal="center" vertical="center" wrapText="1"/>
    </xf>
    <xf numFmtId="0" fontId="7" fillId="6" borderId="0" xfId="0" applyFont="1" applyFill="1" applyAlignment="1">
      <alignment horizontal="center" vertical="center" wrapText="1"/>
    </xf>
    <xf numFmtId="0" fontId="7" fillId="7" borderId="0" xfId="0" applyFont="1" applyFill="1" applyAlignment="1">
      <alignment horizontal="center" vertical="center" wrapText="1"/>
    </xf>
    <xf numFmtId="0" fontId="7" fillId="8" borderId="0" xfId="0" applyFont="1" applyFill="1" applyAlignment="1">
      <alignment horizontal="center" vertical="center" wrapText="1"/>
    </xf>
    <xf numFmtId="0" fontId="7" fillId="9" borderId="0" xfId="0" applyFont="1" applyFill="1" applyAlignment="1">
      <alignment horizontal="center" vertical="center" wrapText="1"/>
    </xf>
    <xf numFmtId="0" fontId="7" fillId="4" borderId="2"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6" borderId="2" xfId="0" applyFont="1" applyFill="1" applyBorder="1" applyAlignment="1">
      <alignment horizontal="center" vertical="center" wrapText="1"/>
    </xf>
    <xf numFmtId="0" fontId="7" fillId="7" borderId="2" xfId="0" applyFont="1" applyFill="1" applyBorder="1" applyAlignment="1">
      <alignment horizontal="center" vertical="center" wrapText="1"/>
    </xf>
    <xf numFmtId="0" fontId="7" fillId="8" borderId="2" xfId="0" applyFont="1" applyFill="1" applyBorder="1" applyAlignment="1">
      <alignment horizontal="center" vertical="center" wrapText="1"/>
    </xf>
    <xf numFmtId="0" fontId="7" fillId="9" borderId="2"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5" borderId="7"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7" fillId="7" borderId="7" xfId="0" applyFont="1" applyFill="1" applyBorder="1" applyAlignment="1">
      <alignment horizontal="center" vertical="center" wrapText="1"/>
    </xf>
    <xf numFmtId="0" fontId="7" fillId="8" borderId="7" xfId="0" applyFont="1" applyFill="1" applyBorder="1" applyAlignment="1">
      <alignment horizontal="center" vertical="center" wrapText="1"/>
    </xf>
    <xf numFmtId="0" fontId="7" fillId="9" borderId="7"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16" borderId="0" xfId="0" applyFont="1" applyFill="1" applyAlignment="1">
      <alignment horizontal="center" vertical="center" wrapText="1"/>
    </xf>
    <xf numFmtId="0" fontId="7" fillId="16" borderId="2" xfId="0" applyFont="1" applyFill="1" applyBorder="1" applyAlignment="1">
      <alignment horizontal="center" vertical="center" wrapText="1"/>
    </xf>
    <xf numFmtId="0" fontId="7" fillId="16" borderId="7" xfId="0" applyFont="1" applyFill="1" applyBorder="1" applyAlignment="1">
      <alignment horizontal="center" vertical="center" wrapText="1"/>
    </xf>
    <xf numFmtId="0" fontId="7" fillId="3"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7" fillId="5" borderId="0" xfId="0" applyFont="1" applyFill="1" applyBorder="1" applyAlignment="1">
      <alignment horizontal="center" vertical="center" wrapText="1"/>
    </xf>
    <xf numFmtId="0" fontId="7" fillId="6" borderId="0" xfId="0" applyFont="1" applyFill="1" applyBorder="1" applyAlignment="1">
      <alignment horizontal="center" vertical="center" wrapText="1"/>
    </xf>
    <xf numFmtId="0" fontId="7" fillId="7" borderId="0" xfId="0" applyFont="1" applyFill="1" applyBorder="1" applyAlignment="1">
      <alignment horizontal="center" vertical="center" wrapText="1"/>
    </xf>
    <xf numFmtId="0" fontId="7" fillId="8" borderId="0" xfId="0" applyFont="1" applyFill="1" applyBorder="1" applyAlignment="1">
      <alignment horizontal="center" vertical="center" wrapText="1"/>
    </xf>
    <xf numFmtId="0" fontId="7" fillId="9" borderId="0" xfId="0" applyFont="1" applyFill="1" applyBorder="1" applyAlignment="1">
      <alignment horizontal="center" vertical="center" wrapText="1"/>
    </xf>
    <xf numFmtId="0" fontId="0" fillId="0" borderId="5" xfId="0" applyBorder="1"/>
    <xf numFmtId="0" fontId="7" fillId="16" borderId="0" xfId="0" applyFont="1" applyFill="1" applyBorder="1" applyAlignment="1">
      <alignment horizontal="center" vertical="center" wrapText="1"/>
    </xf>
    <xf numFmtId="0" fontId="0" fillId="0" borderId="0" xfId="0" applyBorder="1"/>
    <xf numFmtId="1" fontId="2" fillId="3" borderId="2" xfId="0" applyNumberFormat="1" applyFont="1" applyFill="1" applyBorder="1" applyAlignment="1">
      <alignment horizontal="right" vertical="center" wrapText="1"/>
    </xf>
    <xf numFmtId="0" fontId="1" fillId="4" borderId="1"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 fillId="3" borderId="0" xfId="1" applyFill="1" applyBorder="1" applyAlignment="1">
      <alignment vertical="center" wrapText="1"/>
    </xf>
    <xf numFmtId="0" fontId="3" fillId="3" borderId="7" xfId="1" applyFill="1" applyBorder="1" applyAlignment="1">
      <alignment vertical="center" wrapText="1"/>
    </xf>
    <xf numFmtId="0" fontId="0" fillId="0" borderId="7" xfId="0" applyBorder="1" applyAlignment="1">
      <alignment horizontal="center"/>
    </xf>
  </cellXfs>
  <cellStyles count="2">
    <cellStyle name="Hyperlink" xfId="1" builtinId="8"/>
    <cellStyle name="Normal" xfId="0" builtinId="0"/>
  </cellStyles>
  <dxfs count="15">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theme="0"/>
      </font>
    </dxf>
    <dxf>
      <font>
        <color theme="0"/>
      </font>
    </dxf>
    <dxf>
      <font>
        <strike val="0"/>
        <color theme="0"/>
      </font>
      <fill>
        <patternFill>
          <bgColor theme="0"/>
        </patternFill>
      </fill>
    </dxf>
    <dxf>
      <font>
        <color theme="0"/>
      </font>
    </dxf>
    <dxf>
      <font>
        <strike val="0"/>
        <color theme="0"/>
      </font>
      <fill>
        <patternFill>
          <bgColor theme="0"/>
        </patternFill>
      </fill>
    </dxf>
    <dxf>
      <font>
        <color theme="0"/>
      </font>
    </dxf>
    <dxf>
      <font>
        <strike val="0"/>
        <color theme="0"/>
      </font>
      <fill>
        <patternFill>
          <bgColor theme="0"/>
        </patternFill>
      </fill>
    </dxf>
    <dxf>
      <font>
        <color theme="0"/>
      </font>
    </dxf>
    <dxf>
      <font>
        <strike val="0"/>
        <color theme="0"/>
      </font>
      <fill>
        <patternFill>
          <bgColor theme="0"/>
        </patternFill>
      </fill>
    </dxf>
    <dxf>
      <font>
        <color theme="0"/>
      </font>
    </dxf>
    <dxf>
      <font>
        <strike val="0"/>
        <color theme="0"/>
      </font>
      <fill>
        <patternFill>
          <bgColor theme="0"/>
        </patternFill>
      </fill>
    </dxf>
  </dxfs>
  <tableStyles count="0" defaultTableStyle="TableStyleMedium2" defaultPivotStyle="PivotStyleLight16"/>
  <colors>
    <mruColors>
      <color rgb="FFF600AA"/>
      <color rgb="FF009BD2"/>
      <color rgb="FFE3DE00"/>
      <color rgb="FFE2AC00"/>
      <color rgb="FFCC0000"/>
      <color rgb="FFD600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Base Stat Distributions</a:t>
            </a:r>
          </a:p>
        </c:rich>
      </c:tx>
      <c:overlay val="0"/>
    </c:title>
    <c:autoTitleDeleted val="0"/>
    <c:plotArea>
      <c:layout/>
      <c:barChart>
        <c:barDir val="col"/>
        <c:grouping val="clustered"/>
        <c:varyColors val="0"/>
        <c:ser>
          <c:idx val="0"/>
          <c:order val="0"/>
          <c:tx>
            <c:strRef>
              <c:f>'All Stats'!$N$1</c:f>
              <c:strCache>
                <c:ptCount val="1"/>
                <c:pt idx="0">
                  <c:v>HP</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Stats'!$N$2:$N$14</c:f>
              <c:numCache>
                <c:formatCode>General</c:formatCode>
                <c:ptCount val="13"/>
                <c:pt idx="0">
                  <c:v>1</c:v>
                </c:pt>
                <c:pt idx="1">
                  <c:v>2</c:v>
                </c:pt>
                <c:pt idx="2">
                  <c:v>10</c:v>
                </c:pt>
                <c:pt idx="3">
                  <c:v>42</c:v>
                </c:pt>
                <c:pt idx="4">
                  <c:v>114</c:v>
                </c:pt>
                <c:pt idx="5">
                  <c:v>131</c:v>
                </c:pt>
                <c:pt idx="6">
                  <c:v>171</c:v>
                </c:pt>
                <c:pt idx="7">
                  <c:v>158</c:v>
                </c:pt>
                <c:pt idx="8">
                  <c:v>92</c:v>
                </c:pt>
                <c:pt idx="9">
                  <c:v>71</c:v>
                </c:pt>
                <c:pt idx="10">
                  <c:v>61</c:v>
                </c:pt>
                <c:pt idx="11">
                  <c:v>17</c:v>
                </c:pt>
                <c:pt idx="12">
                  <c:v>12</c:v>
                </c:pt>
              </c:numCache>
            </c:numRef>
          </c:val>
          <c:extLst>
            <c:ext xmlns:c16="http://schemas.microsoft.com/office/drawing/2014/chart" uri="{C3380CC4-5D6E-409C-BE32-E72D297353CC}">
              <c16:uniqueId val="{00000000-E8D3-4406-A7E2-021754FABA40}"/>
            </c:ext>
          </c:extLst>
        </c:ser>
        <c:ser>
          <c:idx val="1"/>
          <c:order val="1"/>
          <c:tx>
            <c:strRef>
              <c:f>'All Stats'!$O$1</c:f>
              <c:strCache>
                <c:ptCount val="1"/>
                <c:pt idx="0">
                  <c:v>Attack</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Stats'!$O$2:$O$14</c:f>
              <c:numCache>
                <c:formatCode>General</c:formatCode>
                <c:ptCount val="13"/>
                <c:pt idx="0">
                  <c:v>2</c:v>
                </c:pt>
                <c:pt idx="1">
                  <c:v>4</c:v>
                </c:pt>
                <c:pt idx="2">
                  <c:v>20</c:v>
                </c:pt>
                <c:pt idx="3">
                  <c:v>45</c:v>
                </c:pt>
                <c:pt idx="4">
                  <c:v>71</c:v>
                </c:pt>
                <c:pt idx="5">
                  <c:v>105</c:v>
                </c:pt>
                <c:pt idx="6">
                  <c:v>114</c:v>
                </c:pt>
                <c:pt idx="7">
                  <c:v>110</c:v>
                </c:pt>
                <c:pt idx="8">
                  <c:v>101</c:v>
                </c:pt>
                <c:pt idx="9">
                  <c:v>83</c:v>
                </c:pt>
                <c:pt idx="10">
                  <c:v>80</c:v>
                </c:pt>
                <c:pt idx="11">
                  <c:v>40</c:v>
                </c:pt>
                <c:pt idx="12">
                  <c:v>50</c:v>
                </c:pt>
              </c:numCache>
            </c:numRef>
          </c:val>
          <c:extLst>
            <c:ext xmlns:c16="http://schemas.microsoft.com/office/drawing/2014/chart" uri="{C3380CC4-5D6E-409C-BE32-E72D297353CC}">
              <c16:uniqueId val="{00000001-E8D3-4406-A7E2-021754FABA40}"/>
            </c:ext>
          </c:extLst>
        </c:ser>
        <c:ser>
          <c:idx val="2"/>
          <c:order val="2"/>
          <c:tx>
            <c:strRef>
              <c:f>'All Stats'!$P$1</c:f>
              <c:strCache>
                <c:ptCount val="1"/>
                <c:pt idx="0">
                  <c:v>Defense</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Stats'!$P$2:$P$14</c:f>
              <c:numCache>
                <c:formatCode>General</c:formatCode>
                <c:ptCount val="13"/>
                <c:pt idx="0">
                  <c:v>2</c:v>
                </c:pt>
                <c:pt idx="1">
                  <c:v>5</c:v>
                </c:pt>
                <c:pt idx="2">
                  <c:v>9</c:v>
                </c:pt>
                <c:pt idx="3">
                  <c:v>56</c:v>
                </c:pt>
                <c:pt idx="4">
                  <c:v>107</c:v>
                </c:pt>
                <c:pt idx="5">
                  <c:v>116</c:v>
                </c:pt>
                <c:pt idx="6">
                  <c:v>125</c:v>
                </c:pt>
                <c:pt idx="7">
                  <c:v>124</c:v>
                </c:pt>
                <c:pt idx="8">
                  <c:v>97</c:v>
                </c:pt>
                <c:pt idx="9">
                  <c:v>79</c:v>
                </c:pt>
                <c:pt idx="10">
                  <c:v>65</c:v>
                </c:pt>
                <c:pt idx="11">
                  <c:v>34</c:v>
                </c:pt>
                <c:pt idx="12">
                  <c:v>30</c:v>
                </c:pt>
              </c:numCache>
            </c:numRef>
          </c:val>
          <c:extLst>
            <c:ext xmlns:c16="http://schemas.microsoft.com/office/drawing/2014/chart" uri="{C3380CC4-5D6E-409C-BE32-E72D297353CC}">
              <c16:uniqueId val="{00000002-E8D3-4406-A7E2-021754FABA40}"/>
            </c:ext>
          </c:extLst>
        </c:ser>
        <c:ser>
          <c:idx val="3"/>
          <c:order val="3"/>
          <c:tx>
            <c:strRef>
              <c:f>'All Stats'!$Q$1</c:f>
              <c:strCache>
                <c:ptCount val="1"/>
                <c:pt idx="0">
                  <c:v>Sp. Attack</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Stats'!$Q$2:$Q$14</c:f>
              <c:numCache>
                <c:formatCode>General</c:formatCode>
                <c:ptCount val="13"/>
                <c:pt idx="0">
                  <c:v>0</c:v>
                </c:pt>
                <c:pt idx="1">
                  <c:v>8</c:v>
                </c:pt>
                <c:pt idx="2">
                  <c:v>28</c:v>
                </c:pt>
                <c:pt idx="3">
                  <c:v>73</c:v>
                </c:pt>
                <c:pt idx="4">
                  <c:v>116</c:v>
                </c:pt>
                <c:pt idx="5">
                  <c:v>116</c:v>
                </c:pt>
                <c:pt idx="6">
                  <c:v>128</c:v>
                </c:pt>
                <c:pt idx="7">
                  <c:v>80</c:v>
                </c:pt>
                <c:pt idx="8">
                  <c:v>79</c:v>
                </c:pt>
                <c:pt idx="9">
                  <c:v>81</c:v>
                </c:pt>
                <c:pt idx="10">
                  <c:v>60</c:v>
                </c:pt>
                <c:pt idx="11">
                  <c:v>37</c:v>
                </c:pt>
                <c:pt idx="12">
                  <c:v>33</c:v>
                </c:pt>
              </c:numCache>
            </c:numRef>
          </c:val>
          <c:extLst>
            <c:ext xmlns:c16="http://schemas.microsoft.com/office/drawing/2014/chart" uri="{C3380CC4-5D6E-409C-BE32-E72D297353CC}">
              <c16:uniqueId val="{00000003-E8D3-4406-A7E2-021754FABA40}"/>
            </c:ext>
          </c:extLst>
        </c:ser>
        <c:ser>
          <c:idx val="4"/>
          <c:order val="4"/>
          <c:tx>
            <c:strRef>
              <c:f>'All Stats'!$R$1</c:f>
              <c:strCache>
                <c:ptCount val="1"/>
                <c:pt idx="0">
                  <c:v>Sp. Defense</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Stats'!$R$2:$R$14</c:f>
              <c:numCache>
                <c:formatCode>General</c:formatCode>
                <c:ptCount val="13"/>
                <c:pt idx="0">
                  <c:v>0</c:v>
                </c:pt>
                <c:pt idx="1">
                  <c:v>0</c:v>
                </c:pt>
                <c:pt idx="2">
                  <c:v>19</c:v>
                </c:pt>
                <c:pt idx="3">
                  <c:v>58</c:v>
                </c:pt>
                <c:pt idx="4">
                  <c:v>105</c:v>
                </c:pt>
                <c:pt idx="5">
                  <c:v>130</c:v>
                </c:pt>
                <c:pt idx="6">
                  <c:v>120</c:v>
                </c:pt>
                <c:pt idx="7">
                  <c:v>116</c:v>
                </c:pt>
                <c:pt idx="8">
                  <c:v>110</c:v>
                </c:pt>
                <c:pt idx="9">
                  <c:v>88</c:v>
                </c:pt>
                <c:pt idx="10">
                  <c:v>66</c:v>
                </c:pt>
                <c:pt idx="11">
                  <c:v>33</c:v>
                </c:pt>
                <c:pt idx="12">
                  <c:v>18</c:v>
                </c:pt>
              </c:numCache>
            </c:numRef>
          </c:val>
          <c:extLst>
            <c:ext xmlns:c16="http://schemas.microsoft.com/office/drawing/2014/chart" uri="{C3380CC4-5D6E-409C-BE32-E72D297353CC}">
              <c16:uniqueId val="{00000004-E8D3-4406-A7E2-021754FABA40}"/>
            </c:ext>
          </c:extLst>
        </c:ser>
        <c:ser>
          <c:idx val="5"/>
          <c:order val="5"/>
          <c:tx>
            <c:strRef>
              <c:f>'All Stats'!$S$1</c:f>
              <c:strCache>
                <c:ptCount val="1"/>
                <c:pt idx="0">
                  <c:v>Speed</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Stats'!$S$2:$S$14</c:f>
              <c:numCache>
                <c:formatCode>General</c:formatCode>
                <c:ptCount val="13"/>
                <c:pt idx="0">
                  <c:v>3</c:v>
                </c:pt>
                <c:pt idx="1">
                  <c:v>14</c:v>
                </c:pt>
                <c:pt idx="2">
                  <c:v>38</c:v>
                </c:pt>
                <c:pt idx="3">
                  <c:v>90</c:v>
                </c:pt>
                <c:pt idx="4">
                  <c:v>110</c:v>
                </c:pt>
                <c:pt idx="5">
                  <c:v>106</c:v>
                </c:pt>
                <c:pt idx="6">
                  <c:v>122</c:v>
                </c:pt>
                <c:pt idx="7">
                  <c:v>86</c:v>
                </c:pt>
                <c:pt idx="8">
                  <c:v>88</c:v>
                </c:pt>
                <c:pt idx="9">
                  <c:v>92</c:v>
                </c:pt>
                <c:pt idx="10">
                  <c:v>68</c:v>
                </c:pt>
                <c:pt idx="11">
                  <c:v>46</c:v>
                </c:pt>
                <c:pt idx="12">
                  <c:v>17</c:v>
                </c:pt>
              </c:numCache>
            </c:numRef>
          </c:val>
          <c:extLst>
            <c:ext xmlns:c16="http://schemas.microsoft.com/office/drawing/2014/chart" uri="{C3380CC4-5D6E-409C-BE32-E72D297353CC}">
              <c16:uniqueId val="{00000005-E8D3-4406-A7E2-021754FABA40}"/>
            </c:ext>
          </c:extLst>
        </c:ser>
        <c:ser>
          <c:idx val="6"/>
          <c:order val="6"/>
          <c:tx>
            <c:strRef>
              <c:f>'All Stats'!$T$1</c:f>
              <c:strCache>
                <c:ptCount val="1"/>
                <c:pt idx="0">
                  <c:v>Average</c:v>
                </c:pt>
              </c:strCache>
            </c:strRef>
          </c:tx>
          <c:invertIfNegative val="0"/>
          <c:cat>
            <c:strRef>
              <c:f>'All Stats'!$M$2:$M$14</c:f>
              <c:strCache>
                <c:ptCount val="13"/>
                <c:pt idx="0">
                  <c:v>0-9</c:v>
                </c:pt>
                <c:pt idx="1">
                  <c:v>10-19</c:v>
                </c:pt>
                <c:pt idx="2">
                  <c:v>20-29</c:v>
                </c:pt>
                <c:pt idx="3">
                  <c:v>30-39</c:v>
                </c:pt>
                <c:pt idx="4">
                  <c:v>40-49</c:v>
                </c:pt>
                <c:pt idx="5">
                  <c:v>50-59</c:v>
                </c:pt>
                <c:pt idx="6">
                  <c:v>60-69</c:v>
                </c:pt>
                <c:pt idx="7">
                  <c:v>70-79</c:v>
                </c:pt>
                <c:pt idx="8">
                  <c:v>80-89</c:v>
                </c:pt>
                <c:pt idx="9">
                  <c:v>90-99</c:v>
                </c:pt>
                <c:pt idx="10">
                  <c:v>100-109</c:v>
                </c:pt>
                <c:pt idx="11">
                  <c:v>110-119</c:v>
                </c:pt>
                <c:pt idx="12">
                  <c:v>120-129</c:v>
                </c:pt>
              </c:strCache>
            </c:strRef>
          </c:cat>
          <c:val>
            <c:numRef>
              <c:f>'All Stats'!$T$2:$T$14</c:f>
              <c:numCache>
                <c:formatCode>General</c:formatCode>
                <c:ptCount val="13"/>
                <c:pt idx="0">
                  <c:v>0</c:v>
                </c:pt>
                <c:pt idx="1">
                  <c:v>0</c:v>
                </c:pt>
                <c:pt idx="2">
                  <c:v>0</c:v>
                </c:pt>
                <c:pt idx="3">
                  <c:v>30</c:v>
                </c:pt>
                <c:pt idx="4">
                  <c:v>77</c:v>
                </c:pt>
                <c:pt idx="5">
                  <c:v>170</c:v>
                </c:pt>
                <c:pt idx="6">
                  <c:v>105</c:v>
                </c:pt>
                <c:pt idx="7">
                  <c:v>121</c:v>
                </c:pt>
                <c:pt idx="8">
                  <c:v>232</c:v>
                </c:pt>
                <c:pt idx="9">
                  <c:v>72</c:v>
                </c:pt>
                <c:pt idx="10">
                  <c:v>59</c:v>
                </c:pt>
                <c:pt idx="11">
                  <c:v>29</c:v>
                </c:pt>
                <c:pt idx="12">
                  <c:v>3</c:v>
                </c:pt>
              </c:numCache>
            </c:numRef>
          </c:val>
          <c:extLst>
            <c:ext xmlns:c16="http://schemas.microsoft.com/office/drawing/2014/chart" uri="{C3380CC4-5D6E-409C-BE32-E72D297353CC}">
              <c16:uniqueId val="{00000006-E8D3-4406-A7E2-021754FABA40}"/>
            </c:ext>
          </c:extLst>
        </c:ser>
        <c:dLbls>
          <c:showLegendKey val="0"/>
          <c:showVal val="0"/>
          <c:showCatName val="0"/>
          <c:showSerName val="0"/>
          <c:showPercent val="0"/>
          <c:showBubbleSize val="0"/>
        </c:dLbls>
        <c:gapWidth val="150"/>
        <c:axId val="358815616"/>
        <c:axId val="358842368"/>
      </c:barChart>
      <c:catAx>
        <c:axId val="358815616"/>
        <c:scaling>
          <c:orientation val="minMax"/>
        </c:scaling>
        <c:delete val="0"/>
        <c:axPos val="b"/>
        <c:title>
          <c:tx>
            <c:rich>
              <a:bodyPr/>
              <a:lstStyle/>
              <a:p>
                <a:pPr>
                  <a:defRPr sz="1200"/>
                </a:pPr>
                <a:r>
                  <a:rPr lang="en-US" sz="1200"/>
                  <a:t>Stat Range</a:t>
                </a:r>
              </a:p>
            </c:rich>
          </c:tx>
          <c:overlay val="0"/>
        </c:title>
        <c:numFmt formatCode="General" sourceLinked="0"/>
        <c:majorTickMark val="out"/>
        <c:minorTickMark val="none"/>
        <c:tickLblPos val="nextTo"/>
        <c:crossAx val="358842368"/>
        <c:crosses val="autoZero"/>
        <c:auto val="1"/>
        <c:lblAlgn val="ctr"/>
        <c:lblOffset val="100"/>
        <c:noMultiLvlLbl val="0"/>
      </c:catAx>
      <c:valAx>
        <c:axId val="358842368"/>
        <c:scaling>
          <c:orientation val="minMax"/>
        </c:scaling>
        <c:delete val="0"/>
        <c:axPos val="l"/>
        <c:majorGridlines/>
        <c:title>
          <c:tx>
            <c:rich>
              <a:bodyPr rot="-5400000" vert="horz"/>
              <a:lstStyle/>
              <a:p>
                <a:pPr>
                  <a:defRPr sz="1200"/>
                </a:pPr>
                <a:r>
                  <a:rPr lang="en-US" sz="1200"/>
                  <a:t>Number of Pokemon</a:t>
                </a:r>
              </a:p>
            </c:rich>
          </c:tx>
          <c:overlay val="0"/>
        </c:title>
        <c:numFmt formatCode="General" sourceLinked="1"/>
        <c:majorTickMark val="out"/>
        <c:minorTickMark val="none"/>
        <c:tickLblPos val="nextTo"/>
        <c:crossAx val="358815616"/>
        <c:crosses val="autoZero"/>
        <c:crossBetween val="between"/>
      </c:valAx>
    </c:plotArea>
    <c:legend>
      <c:legendPos val="r"/>
      <c:layout>
        <c:manualLayout>
          <c:xMode val="edge"/>
          <c:yMode val="edge"/>
          <c:x val="0.88574459733126554"/>
          <c:y val="0.28958910905367596"/>
          <c:w val="0.10458772956600269"/>
          <c:h val="0.37093155663234406"/>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'All Stats'!$N$1</c:f>
              <c:strCache>
                <c:ptCount val="1"/>
                <c:pt idx="0">
                  <c:v>HP</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Stats'!$N$2:$N$27</c:f>
              <c:numCache>
                <c:formatCode>General</c:formatCode>
                <c:ptCount val="26"/>
                <c:pt idx="0">
                  <c:v>1</c:v>
                </c:pt>
                <c:pt idx="1">
                  <c:v>2</c:v>
                </c:pt>
                <c:pt idx="2">
                  <c:v>10</c:v>
                </c:pt>
                <c:pt idx="3">
                  <c:v>42</c:v>
                </c:pt>
                <c:pt idx="4">
                  <c:v>114</c:v>
                </c:pt>
                <c:pt idx="5">
                  <c:v>131</c:v>
                </c:pt>
                <c:pt idx="6">
                  <c:v>171</c:v>
                </c:pt>
                <c:pt idx="7">
                  <c:v>158</c:v>
                </c:pt>
                <c:pt idx="8">
                  <c:v>92</c:v>
                </c:pt>
                <c:pt idx="9">
                  <c:v>71</c:v>
                </c:pt>
                <c:pt idx="10">
                  <c:v>61</c:v>
                </c:pt>
                <c:pt idx="11">
                  <c:v>17</c:v>
                </c:pt>
                <c:pt idx="12">
                  <c:v>12</c:v>
                </c:pt>
                <c:pt idx="13">
                  <c:v>6</c:v>
                </c:pt>
                <c:pt idx="14">
                  <c:v>2</c:v>
                </c:pt>
                <c:pt idx="15">
                  <c:v>4</c:v>
                </c:pt>
                <c:pt idx="16">
                  <c:v>2</c:v>
                </c:pt>
                <c:pt idx="17">
                  <c:v>1</c:v>
                </c:pt>
                <c:pt idx="18">
                  <c:v>0</c:v>
                </c:pt>
                <c:pt idx="19">
                  <c:v>1</c:v>
                </c:pt>
                <c:pt idx="20">
                  <c:v>0</c:v>
                </c:pt>
                <c:pt idx="21">
                  <c:v>0</c:v>
                </c:pt>
                <c:pt idx="22">
                  <c:v>1</c:v>
                </c:pt>
                <c:pt idx="23">
                  <c:v>0</c:v>
                </c:pt>
                <c:pt idx="24">
                  <c:v>0</c:v>
                </c:pt>
                <c:pt idx="25">
                  <c:v>2</c:v>
                </c:pt>
              </c:numCache>
            </c:numRef>
          </c:yVal>
          <c:smooth val="0"/>
          <c:extLst>
            <c:ext xmlns:c16="http://schemas.microsoft.com/office/drawing/2014/chart" uri="{C3380CC4-5D6E-409C-BE32-E72D297353CC}">
              <c16:uniqueId val="{00000000-2B0A-40E2-8C64-DFE9FDEB181D}"/>
            </c:ext>
          </c:extLst>
        </c:ser>
        <c:ser>
          <c:idx val="1"/>
          <c:order val="1"/>
          <c:tx>
            <c:strRef>
              <c:f>'All Stats'!$O$1</c:f>
              <c:strCache>
                <c:ptCount val="1"/>
                <c:pt idx="0">
                  <c:v>Attack</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Stats'!$O$2:$O$27</c:f>
              <c:numCache>
                <c:formatCode>General</c:formatCode>
                <c:ptCount val="26"/>
                <c:pt idx="0">
                  <c:v>2</c:v>
                </c:pt>
                <c:pt idx="1">
                  <c:v>4</c:v>
                </c:pt>
                <c:pt idx="2">
                  <c:v>20</c:v>
                </c:pt>
                <c:pt idx="3">
                  <c:v>45</c:v>
                </c:pt>
                <c:pt idx="4">
                  <c:v>71</c:v>
                </c:pt>
                <c:pt idx="5">
                  <c:v>105</c:v>
                </c:pt>
                <c:pt idx="6">
                  <c:v>114</c:v>
                </c:pt>
                <c:pt idx="7">
                  <c:v>110</c:v>
                </c:pt>
                <c:pt idx="8">
                  <c:v>101</c:v>
                </c:pt>
                <c:pt idx="9">
                  <c:v>83</c:v>
                </c:pt>
                <c:pt idx="10">
                  <c:v>80</c:v>
                </c:pt>
                <c:pt idx="11">
                  <c:v>40</c:v>
                </c:pt>
                <c:pt idx="12">
                  <c:v>50</c:v>
                </c:pt>
                <c:pt idx="13">
                  <c:v>33</c:v>
                </c:pt>
                <c:pt idx="14">
                  <c:v>13</c:v>
                </c:pt>
                <c:pt idx="15">
                  <c:v>13</c:v>
                </c:pt>
                <c:pt idx="16">
                  <c:v>9</c:v>
                </c:pt>
                <c:pt idx="17">
                  <c:v>2</c:v>
                </c:pt>
                <c:pt idx="18">
                  <c:v>5</c:v>
                </c:pt>
                <c:pt idx="19">
                  <c:v>1</c:v>
                </c:pt>
                <c:pt idx="20">
                  <c:v>0</c:v>
                </c:pt>
                <c:pt idx="21">
                  <c:v>0</c:v>
                </c:pt>
                <c:pt idx="22">
                  <c:v>0</c:v>
                </c:pt>
                <c:pt idx="23">
                  <c:v>0</c:v>
                </c:pt>
                <c:pt idx="24">
                  <c:v>0</c:v>
                </c:pt>
                <c:pt idx="25">
                  <c:v>0</c:v>
                </c:pt>
              </c:numCache>
            </c:numRef>
          </c:yVal>
          <c:smooth val="0"/>
          <c:extLst>
            <c:ext xmlns:c16="http://schemas.microsoft.com/office/drawing/2014/chart" uri="{C3380CC4-5D6E-409C-BE32-E72D297353CC}">
              <c16:uniqueId val="{00000001-2B0A-40E2-8C64-DFE9FDEB181D}"/>
            </c:ext>
          </c:extLst>
        </c:ser>
        <c:ser>
          <c:idx val="2"/>
          <c:order val="2"/>
          <c:tx>
            <c:strRef>
              <c:f>'All Stats'!$P$1</c:f>
              <c:strCache>
                <c:ptCount val="1"/>
                <c:pt idx="0">
                  <c:v>Defense</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Stats'!$P$2:$P$27</c:f>
              <c:numCache>
                <c:formatCode>General</c:formatCode>
                <c:ptCount val="26"/>
                <c:pt idx="0">
                  <c:v>2</c:v>
                </c:pt>
                <c:pt idx="1">
                  <c:v>5</c:v>
                </c:pt>
                <c:pt idx="2">
                  <c:v>9</c:v>
                </c:pt>
                <c:pt idx="3">
                  <c:v>56</c:v>
                </c:pt>
                <c:pt idx="4">
                  <c:v>107</c:v>
                </c:pt>
                <c:pt idx="5">
                  <c:v>116</c:v>
                </c:pt>
                <c:pt idx="6">
                  <c:v>125</c:v>
                </c:pt>
                <c:pt idx="7">
                  <c:v>124</c:v>
                </c:pt>
                <c:pt idx="8">
                  <c:v>97</c:v>
                </c:pt>
                <c:pt idx="9">
                  <c:v>79</c:v>
                </c:pt>
                <c:pt idx="10">
                  <c:v>65</c:v>
                </c:pt>
                <c:pt idx="11">
                  <c:v>34</c:v>
                </c:pt>
                <c:pt idx="12">
                  <c:v>30</c:v>
                </c:pt>
                <c:pt idx="13">
                  <c:v>21</c:v>
                </c:pt>
                <c:pt idx="14">
                  <c:v>10</c:v>
                </c:pt>
                <c:pt idx="15">
                  <c:v>8</c:v>
                </c:pt>
                <c:pt idx="16">
                  <c:v>4</c:v>
                </c:pt>
                <c:pt idx="17">
                  <c:v>0</c:v>
                </c:pt>
                <c:pt idx="18">
                  <c:v>4</c:v>
                </c:pt>
                <c:pt idx="19">
                  <c:v>0</c:v>
                </c:pt>
                <c:pt idx="20">
                  <c:v>2</c:v>
                </c:pt>
                <c:pt idx="21">
                  <c:v>0</c:v>
                </c:pt>
                <c:pt idx="22">
                  <c:v>0</c:v>
                </c:pt>
                <c:pt idx="23">
                  <c:v>3</c:v>
                </c:pt>
                <c:pt idx="24">
                  <c:v>0</c:v>
                </c:pt>
                <c:pt idx="25">
                  <c:v>0</c:v>
                </c:pt>
              </c:numCache>
            </c:numRef>
          </c:yVal>
          <c:smooth val="0"/>
          <c:extLst>
            <c:ext xmlns:c16="http://schemas.microsoft.com/office/drawing/2014/chart" uri="{C3380CC4-5D6E-409C-BE32-E72D297353CC}">
              <c16:uniqueId val="{00000002-2B0A-40E2-8C64-DFE9FDEB181D}"/>
            </c:ext>
          </c:extLst>
        </c:ser>
        <c:ser>
          <c:idx val="3"/>
          <c:order val="3"/>
          <c:tx>
            <c:strRef>
              <c:f>'All Stats'!$Q$1</c:f>
              <c:strCache>
                <c:ptCount val="1"/>
                <c:pt idx="0">
                  <c:v>Sp. Attack</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Stats'!$Q$2:$Q$27</c:f>
              <c:numCache>
                <c:formatCode>General</c:formatCode>
                <c:ptCount val="26"/>
                <c:pt idx="0">
                  <c:v>0</c:v>
                </c:pt>
                <c:pt idx="1">
                  <c:v>8</c:v>
                </c:pt>
                <c:pt idx="2">
                  <c:v>28</c:v>
                </c:pt>
                <c:pt idx="3">
                  <c:v>73</c:v>
                </c:pt>
                <c:pt idx="4">
                  <c:v>116</c:v>
                </c:pt>
                <c:pt idx="5">
                  <c:v>116</c:v>
                </c:pt>
                <c:pt idx="6">
                  <c:v>128</c:v>
                </c:pt>
                <c:pt idx="7">
                  <c:v>80</c:v>
                </c:pt>
                <c:pt idx="8">
                  <c:v>79</c:v>
                </c:pt>
                <c:pt idx="9">
                  <c:v>81</c:v>
                </c:pt>
                <c:pt idx="10">
                  <c:v>60</c:v>
                </c:pt>
                <c:pt idx="11">
                  <c:v>37</c:v>
                </c:pt>
                <c:pt idx="12">
                  <c:v>33</c:v>
                </c:pt>
                <c:pt idx="13">
                  <c:v>27</c:v>
                </c:pt>
                <c:pt idx="14">
                  <c:v>10</c:v>
                </c:pt>
                <c:pt idx="15">
                  <c:v>11</c:v>
                </c:pt>
                <c:pt idx="16">
                  <c:v>5</c:v>
                </c:pt>
                <c:pt idx="17">
                  <c:v>5</c:v>
                </c:pt>
                <c:pt idx="18">
                  <c:v>3</c:v>
                </c:pt>
                <c:pt idx="19">
                  <c:v>1</c:v>
                </c:pt>
                <c:pt idx="20">
                  <c:v>0</c:v>
                </c:pt>
                <c:pt idx="21">
                  <c:v>0</c:v>
                </c:pt>
                <c:pt idx="22">
                  <c:v>0</c:v>
                </c:pt>
                <c:pt idx="23">
                  <c:v>0</c:v>
                </c:pt>
                <c:pt idx="24">
                  <c:v>0</c:v>
                </c:pt>
                <c:pt idx="25">
                  <c:v>0</c:v>
                </c:pt>
              </c:numCache>
            </c:numRef>
          </c:yVal>
          <c:smooth val="0"/>
          <c:extLst>
            <c:ext xmlns:c16="http://schemas.microsoft.com/office/drawing/2014/chart" uri="{C3380CC4-5D6E-409C-BE32-E72D297353CC}">
              <c16:uniqueId val="{00000003-2B0A-40E2-8C64-DFE9FDEB181D}"/>
            </c:ext>
          </c:extLst>
        </c:ser>
        <c:ser>
          <c:idx val="4"/>
          <c:order val="4"/>
          <c:tx>
            <c:strRef>
              <c:f>'All Stats'!$R$1</c:f>
              <c:strCache>
                <c:ptCount val="1"/>
                <c:pt idx="0">
                  <c:v>Sp. Defense</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Stats'!$R$2:$R$27</c:f>
              <c:numCache>
                <c:formatCode>General</c:formatCode>
                <c:ptCount val="26"/>
                <c:pt idx="0">
                  <c:v>0</c:v>
                </c:pt>
                <c:pt idx="1">
                  <c:v>0</c:v>
                </c:pt>
                <c:pt idx="2">
                  <c:v>19</c:v>
                </c:pt>
                <c:pt idx="3">
                  <c:v>58</c:v>
                </c:pt>
                <c:pt idx="4">
                  <c:v>105</c:v>
                </c:pt>
                <c:pt idx="5">
                  <c:v>130</c:v>
                </c:pt>
                <c:pt idx="6">
                  <c:v>120</c:v>
                </c:pt>
                <c:pt idx="7">
                  <c:v>116</c:v>
                </c:pt>
                <c:pt idx="8">
                  <c:v>110</c:v>
                </c:pt>
                <c:pt idx="9">
                  <c:v>88</c:v>
                </c:pt>
                <c:pt idx="10">
                  <c:v>66</c:v>
                </c:pt>
                <c:pt idx="11">
                  <c:v>33</c:v>
                </c:pt>
                <c:pt idx="12">
                  <c:v>18</c:v>
                </c:pt>
                <c:pt idx="13">
                  <c:v>21</c:v>
                </c:pt>
                <c:pt idx="14">
                  <c:v>3</c:v>
                </c:pt>
                <c:pt idx="15">
                  <c:v>10</c:v>
                </c:pt>
                <c:pt idx="16">
                  <c:v>2</c:v>
                </c:pt>
                <c:pt idx="17">
                  <c:v>0</c:v>
                </c:pt>
                <c:pt idx="18">
                  <c:v>0</c:v>
                </c:pt>
                <c:pt idx="19">
                  <c:v>0</c:v>
                </c:pt>
                <c:pt idx="20">
                  <c:v>1</c:v>
                </c:pt>
                <c:pt idx="21">
                  <c:v>0</c:v>
                </c:pt>
                <c:pt idx="22">
                  <c:v>0</c:v>
                </c:pt>
                <c:pt idx="23">
                  <c:v>1</c:v>
                </c:pt>
                <c:pt idx="24">
                  <c:v>0</c:v>
                </c:pt>
                <c:pt idx="25">
                  <c:v>0</c:v>
                </c:pt>
              </c:numCache>
            </c:numRef>
          </c:yVal>
          <c:smooth val="0"/>
          <c:extLst>
            <c:ext xmlns:c16="http://schemas.microsoft.com/office/drawing/2014/chart" uri="{C3380CC4-5D6E-409C-BE32-E72D297353CC}">
              <c16:uniqueId val="{00000004-2B0A-40E2-8C64-DFE9FDEB181D}"/>
            </c:ext>
          </c:extLst>
        </c:ser>
        <c:ser>
          <c:idx val="5"/>
          <c:order val="5"/>
          <c:tx>
            <c:strRef>
              <c:f>'All Stats'!$S$1</c:f>
              <c:strCache>
                <c:ptCount val="1"/>
                <c:pt idx="0">
                  <c:v>Speed</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Stats'!$S$2:$S$27</c:f>
              <c:numCache>
                <c:formatCode>General</c:formatCode>
                <c:ptCount val="26"/>
                <c:pt idx="0">
                  <c:v>3</c:v>
                </c:pt>
                <c:pt idx="1">
                  <c:v>14</c:v>
                </c:pt>
                <c:pt idx="2">
                  <c:v>38</c:v>
                </c:pt>
                <c:pt idx="3">
                  <c:v>90</c:v>
                </c:pt>
                <c:pt idx="4">
                  <c:v>110</c:v>
                </c:pt>
                <c:pt idx="5">
                  <c:v>106</c:v>
                </c:pt>
                <c:pt idx="6">
                  <c:v>122</c:v>
                </c:pt>
                <c:pt idx="7">
                  <c:v>86</c:v>
                </c:pt>
                <c:pt idx="8">
                  <c:v>88</c:v>
                </c:pt>
                <c:pt idx="9">
                  <c:v>92</c:v>
                </c:pt>
                <c:pt idx="10">
                  <c:v>68</c:v>
                </c:pt>
                <c:pt idx="11">
                  <c:v>46</c:v>
                </c:pt>
                <c:pt idx="12">
                  <c:v>17</c:v>
                </c:pt>
                <c:pt idx="13">
                  <c:v>9</c:v>
                </c:pt>
                <c:pt idx="14">
                  <c:v>4</c:v>
                </c:pt>
                <c:pt idx="15">
                  <c:v>6</c:v>
                </c:pt>
                <c:pt idx="16">
                  <c:v>1</c:v>
                </c:pt>
                <c:pt idx="17">
                  <c:v>0</c:v>
                </c:pt>
                <c:pt idx="18">
                  <c:v>1</c:v>
                </c:pt>
                <c:pt idx="19">
                  <c:v>0</c:v>
                </c:pt>
                <c:pt idx="20">
                  <c:v>0</c:v>
                </c:pt>
                <c:pt idx="21">
                  <c:v>0</c:v>
                </c:pt>
                <c:pt idx="22">
                  <c:v>0</c:v>
                </c:pt>
                <c:pt idx="23">
                  <c:v>0</c:v>
                </c:pt>
                <c:pt idx="24">
                  <c:v>0</c:v>
                </c:pt>
                <c:pt idx="25">
                  <c:v>0</c:v>
                </c:pt>
              </c:numCache>
            </c:numRef>
          </c:yVal>
          <c:smooth val="0"/>
          <c:extLst>
            <c:ext xmlns:c16="http://schemas.microsoft.com/office/drawing/2014/chart" uri="{C3380CC4-5D6E-409C-BE32-E72D297353CC}">
              <c16:uniqueId val="{00000005-2B0A-40E2-8C64-DFE9FDEB181D}"/>
            </c:ext>
          </c:extLst>
        </c:ser>
        <c:ser>
          <c:idx val="6"/>
          <c:order val="6"/>
          <c:tx>
            <c:strRef>
              <c:f>'All Stats'!$T$1</c:f>
              <c:strCache>
                <c:ptCount val="1"/>
                <c:pt idx="0">
                  <c:v>Average</c:v>
                </c:pt>
              </c:strCache>
            </c:strRef>
          </c:tx>
          <c:marker>
            <c:symbol val="none"/>
          </c:marker>
          <c:xVal>
            <c:numRef>
              <c:f>'All Stats'!$K$2:$K$27</c:f>
              <c:numCache>
                <c:formatCode>General</c:formatCode>
                <c:ptCount val="26"/>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numCache>
            </c:numRef>
          </c:xVal>
          <c:yVal>
            <c:numRef>
              <c:f>'All Stats'!$T$2:$T$27</c:f>
              <c:numCache>
                <c:formatCode>General</c:formatCode>
                <c:ptCount val="26"/>
                <c:pt idx="0">
                  <c:v>0</c:v>
                </c:pt>
                <c:pt idx="1">
                  <c:v>0</c:v>
                </c:pt>
                <c:pt idx="2">
                  <c:v>0</c:v>
                </c:pt>
                <c:pt idx="3">
                  <c:v>30</c:v>
                </c:pt>
                <c:pt idx="4">
                  <c:v>77</c:v>
                </c:pt>
                <c:pt idx="5">
                  <c:v>170</c:v>
                </c:pt>
                <c:pt idx="6">
                  <c:v>105</c:v>
                </c:pt>
                <c:pt idx="7">
                  <c:v>121</c:v>
                </c:pt>
                <c:pt idx="8">
                  <c:v>232</c:v>
                </c:pt>
                <c:pt idx="9">
                  <c:v>72</c:v>
                </c:pt>
                <c:pt idx="10">
                  <c:v>59</c:v>
                </c:pt>
                <c:pt idx="11">
                  <c:v>29</c:v>
                </c:pt>
                <c:pt idx="12">
                  <c:v>3</c:v>
                </c:pt>
                <c:pt idx="13">
                  <c:v>3</c:v>
                </c:pt>
                <c:pt idx="14">
                  <c:v>0</c:v>
                </c:pt>
                <c:pt idx="15">
                  <c:v>0</c:v>
                </c:pt>
                <c:pt idx="16">
                  <c:v>0</c:v>
                </c:pt>
                <c:pt idx="17">
                  <c:v>0</c:v>
                </c:pt>
                <c:pt idx="18">
                  <c:v>0</c:v>
                </c:pt>
                <c:pt idx="19">
                  <c:v>0</c:v>
                </c:pt>
                <c:pt idx="20">
                  <c:v>0</c:v>
                </c:pt>
                <c:pt idx="21">
                  <c:v>0</c:v>
                </c:pt>
                <c:pt idx="22">
                  <c:v>0</c:v>
                </c:pt>
                <c:pt idx="23">
                  <c:v>0</c:v>
                </c:pt>
                <c:pt idx="24">
                  <c:v>0</c:v>
                </c:pt>
                <c:pt idx="25">
                  <c:v>0</c:v>
                </c:pt>
              </c:numCache>
            </c:numRef>
          </c:yVal>
          <c:smooth val="0"/>
          <c:extLst>
            <c:ext xmlns:c16="http://schemas.microsoft.com/office/drawing/2014/chart" uri="{C3380CC4-5D6E-409C-BE32-E72D297353CC}">
              <c16:uniqueId val="{00000006-2B0A-40E2-8C64-DFE9FDEB181D}"/>
            </c:ext>
          </c:extLst>
        </c:ser>
        <c:dLbls>
          <c:showLegendKey val="0"/>
          <c:showVal val="0"/>
          <c:showCatName val="0"/>
          <c:showSerName val="0"/>
          <c:showPercent val="0"/>
          <c:showBubbleSize val="0"/>
        </c:dLbls>
        <c:axId val="358872192"/>
        <c:axId val="358873728"/>
      </c:scatterChart>
      <c:valAx>
        <c:axId val="358872192"/>
        <c:scaling>
          <c:orientation val="minMax"/>
          <c:max val="250"/>
        </c:scaling>
        <c:delete val="0"/>
        <c:axPos val="b"/>
        <c:numFmt formatCode="General" sourceLinked="1"/>
        <c:majorTickMark val="out"/>
        <c:minorTickMark val="none"/>
        <c:tickLblPos val="nextTo"/>
        <c:crossAx val="358873728"/>
        <c:crosses val="autoZero"/>
        <c:crossBetween val="midCat"/>
      </c:valAx>
      <c:valAx>
        <c:axId val="358873728"/>
        <c:scaling>
          <c:orientation val="minMax"/>
        </c:scaling>
        <c:delete val="0"/>
        <c:axPos val="l"/>
        <c:majorGridlines/>
        <c:numFmt formatCode="General" sourceLinked="1"/>
        <c:majorTickMark val="out"/>
        <c:minorTickMark val="none"/>
        <c:tickLblPos val="nextTo"/>
        <c:crossAx val="35887219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'Stats by Type (Updated Gen 6)'!$B$2</c:f>
              <c:strCache>
                <c:ptCount val="1"/>
                <c:pt idx="0">
                  <c:v>HP</c:v>
                </c:pt>
              </c:strCache>
            </c:strRef>
          </c:tx>
          <c:spPr>
            <a:solidFill>
              <a:srgbClr val="CC0000"/>
            </a:solidFill>
          </c:spPr>
          <c:invertIfNegative val="0"/>
          <c:cat>
            <c:strRef>
              <c:f>'Stats by Type (Updated Gen 6)'!$A$3:$A$22</c:f>
              <c:strCache>
                <c:ptCount val="20"/>
                <c:pt idx="0">
                  <c:v>All</c:v>
                </c:pt>
                <c:pt idx="1">
                  <c:v>Bug</c:v>
                </c:pt>
                <c:pt idx="2">
                  <c:v>Dark</c:v>
                </c:pt>
                <c:pt idx="3">
                  <c:v>Dragon</c:v>
                </c:pt>
                <c:pt idx="4">
                  <c:v>Electric</c:v>
                </c:pt>
                <c:pt idx="5">
                  <c:v>Fairy</c:v>
                </c:pt>
                <c:pt idx="6">
                  <c:v>Fighting</c:v>
                </c:pt>
                <c:pt idx="7">
                  <c:v>Fire</c:v>
                </c:pt>
                <c:pt idx="8">
                  <c:v>Flying</c:v>
                </c:pt>
                <c:pt idx="9">
                  <c:v>Ghost</c:v>
                </c:pt>
                <c:pt idx="10">
                  <c:v>Grass</c:v>
                </c:pt>
                <c:pt idx="11">
                  <c:v>Ground</c:v>
                </c:pt>
                <c:pt idx="12">
                  <c:v>Ice</c:v>
                </c:pt>
                <c:pt idx="13">
                  <c:v>Normal</c:v>
                </c:pt>
                <c:pt idx="14">
                  <c:v>Poison</c:v>
                </c:pt>
                <c:pt idx="15">
                  <c:v>Psychic</c:v>
                </c:pt>
                <c:pt idx="16">
                  <c:v>Rock</c:v>
                </c:pt>
                <c:pt idx="17">
                  <c:v>Steel</c:v>
                </c:pt>
                <c:pt idx="18">
                  <c:v>Water</c:v>
                </c:pt>
                <c:pt idx="19">
                  <c:v>Single type</c:v>
                </c:pt>
              </c:strCache>
            </c:strRef>
          </c:cat>
          <c:val>
            <c:numRef>
              <c:f>'Stats by Type (Updated Gen 6)'!$B$3:$B$22</c:f>
              <c:numCache>
                <c:formatCode>0.00</c:formatCode>
                <c:ptCount val="20"/>
                <c:pt idx="0">
                  <c:v>69.225563909774436</c:v>
                </c:pt>
                <c:pt idx="1">
                  <c:v>56.736111111111114</c:v>
                </c:pt>
                <c:pt idx="2">
                  <c:v>70.235294117647058</c:v>
                </c:pt>
                <c:pt idx="3">
                  <c:v>82.9</c:v>
                </c:pt>
                <c:pt idx="4">
                  <c:v>63.2</c:v>
                </c:pt>
                <c:pt idx="5">
                  <c:v>68.948717948717942</c:v>
                </c:pt>
                <c:pt idx="6">
                  <c:v>74.25</c:v>
                </c:pt>
                <c:pt idx="7">
                  <c:v>70.15625</c:v>
                </c:pt>
                <c:pt idx="8">
                  <c:v>71.366336633663366</c:v>
                </c:pt>
                <c:pt idx="9">
                  <c:v>62.553191489361701</c:v>
                </c:pt>
                <c:pt idx="10">
                  <c:v>66.05263157894737</c:v>
                </c:pt>
                <c:pt idx="11">
                  <c:v>75.582089552238813</c:v>
                </c:pt>
                <c:pt idx="12">
                  <c:v>78.631578947368425</c:v>
                </c:pt>
                <c:pt idx="13">
                  <c:v>76.735294117647058</c:v>
                </c:pt>
                <c:pt idx="14">
                  <c:v>62.596774193548384</c:v>
                </c:pt>
                <c:pt idx="15">
                  <c:v>71.17977528089888</c:v>
                </c:pt>
                <c:pt idx="16">
                  <c:v>66.017241379310349</c:v>
                </c:pt>
                <c:pt idx="17">
                  <c:v>64.959183673469383</c:v>
                </c:pt>
                <c:pt idx="18">
                  <c:v>70.864000000000004</c:v>
                </c:pt>
                <c:pt idx="19">
                  <c:v>67.750649350649354</c:v>
                </c:pt>
              </c:numCache>
            </c:numRef>
          </c:val>
          <c:extLst>
            <c:ext xmlns:c16="http://schemas.microsoft.com/office/drawing/2014/chart" uri="{C3380CC4-5D6E-409C-BE32-E72D297353CC}">
              <c16:uniqueId val="{00000000-E365-416E-8BEB-9469D31ECB21}"/>
            </c:ext>
          </c:extLst>
        </c:ser>
        <c:ser>
          <c:idx val="1"/>
          <c:order val="1"/>
          <c:tx>
            <c:strRef>
              <c:f>'Stats by Type (Updated Gen 6)'!$C$2</c:f>
              <c:strCache>
                <c:ptCount val="1"/>
                <c:pt idx="0">
                  <c:v>Attack</c:v>
                </c:pt>
              </c:strCache>
            </c:strRef>
          </c:tx>
          <c:spPr>
            <a:solidFill>
              <a:srgbClr val="E2AC00"/>
            </a:solidFill>
          </c:spPr>
          <c:invertIfNegative val="0"/>
          <c:cat>
            <c:strRef>
              <c:f>'Stats by Type (Updated Gen 6)'!$A$3:$A$22</c:f>
              <c:strCache>
                <c:ptCount val="20"/>
                <c:pt idx="0">
                  <c:v>All</c:v>
                </c:pt>
                <c:pt idx="1">
                  <c:v>Bug</c:v>
                </c:pt>
                <c:pt idx="2">
                  <c:v>Dark</c:v>
                </c:pt>
                <c:pt idx="3">
                  <c:v>Dragon</c:v>
                </c:pt>
                <c:pt idx="4">
                  <c:v>Electric</c:v>
                </c:pt>
                <c:pt idx="5">
                  <c:v>Fairy</c:v>
                </c:pt>
                <c:pt idx="6">
                  <c:v>Fighting</c:v>
                </c:pt>
                <c:pt idx="7">
                  <c:v>Fire</c:v>
                </c:pt>
                <c:pt idx="8">
                  <c:v>Flying</c:v>
                </c:pt>
                <c:pt idx="9">
                  <c:v>Ghost</c:v>
                </c:pt>
                <c:pt idx="10">
                  <c:v>Grass</c:v>
                </c:pt>
                <c:pt idx="11">
                  <c:v>Ground</c:v>
                </c:pt>
                <c:pt idx="12">
                  <c:v>Ice</c:v>
                </c:pt>
                <c:pt idx="13">
                  <c:v>Normal</c:v>
                </c:pt>
                <c:pt idx="14">
                  <c:v>Poison</c:v>
                </c:pt>
                <c:pt idx="15">
                  <c:v>Psychic</c:v>
                </c:pt>
                <c:pt idx="16">
                  <c:v>Rock</c:v>
                </c:pt>
                <c:pt idx="17">
                  <c:v>Steel</c:v>
                </c:pt>
                <c:pt idx="18">
                  <c:v>Water</c:v>
                </c:pt>
                <c:pt idx="19">
                  <c:v>Single type</c:v>
                </c:pt>
              </c:strCache>
            </c:strRef>
          </c:cat>
          <c:val>
            <c:numRef>
              <c:f>'Stats by Type (Updated Gen 6)'!$C$3:$C$22</c:f>
              <c:numCache>
                <c:formatCode>0.00</c:formatCode>
                <c:ptCount val="20"/>
                <c:pt idx="0">
                  <c:v>79.048872180451127</c:v>
                </c:pt>
                <c:pt idx="1">
                  <c:v>71.763888888888886</c:v>
                </c:pt>
                <c:pt idx="2">
                  <c:v>96.784313725490193</c:v>
                </c:pt>
                <c:pt idx="3">
                  <c:v>105.76</c:v>
                </c:pt>
                <c:pt idx="4">
                  <c:v>69.52</c:v>
                </c:pt>
                <c:pt idx="5">
                  <c:v>60.46153846153846</c:v>
                </c:pt>
                <c:pt idx="6">
                  <c:v>105.28846153846153</c:v>
                </c:pt>
                <c:pt idx="7">
                  <c:v>84.109375</c:v>
                </c:pt>
                <c:pt idx="8">
                  <c:v>80.227722772277232</c:v>
                </c:pt>
                <c:pt idx="9">
                  <c:v>77.531914893617028</c:v>
                </c:pt>
                <c:pt idx="10">
                  <c:v>73.463157894736838</c:v>
                </c:pt>
                <c:pt idx="11">
                  <c:v>92.671641791044777</c:v>
                </c:pt>
                <c:pt idx="12">
                  <c:v>82.05263157894737</c:v>
                </c:pt>
                <c:pt idx="13">
                  <c:v>72.656862745098039</c:v>
                </c:pt>
                <c:pt idx="14">
                  <c:v>70.790322580645167</c:v>
                </c:pt>
                <c:pt idx="15">
                  <c:v>72.921348314606746</c:v>
                </c:pt>
                <c:pt idx="16">
                  <c:v>90.724137931034477</c:v>
                </c:pt>
                <c:pt idx="17">
                  <c:v>92.65306122448979</c:v>
                </c:pt>
                <c:pt idx="18">
                  <c:v>73.72</c:v>
                </c:pt>
                <c:pt idx="19">
                  <c:v>74.59480519480519</c:v>
                </c:pt>
              </c:numCache>
            </c:numRef>
          </c:val>
          <c:extLst>
            <c:ext xmlns:c16="http://schemas.microsoft.com/office/drawing/2014/chart" uri="{C3380CC4-5D6E-409C-BE32-E72D297353CC}">
              <c16:uniqueId val="{00000001-E365-416E-8BEB-9469D31ECB21}"/>
            </c:ext>
          </c:extLst>
        </c:ser>
        <c:ser>
          <c:idx val="2"/>
          <c:order val="2"/>
          <c:tx>
            <c:strRef>
              <c:f>'Stats by Type (Updated Gen 6)'!$D$2</c:f>
              <c:strCache>
                <c:ptCount val="1"/>
                <c:pt idx="0">
                  <c:v>Defense</c:v>
                </c:pt>
              </c:strCache>
            </c:strRef>
          </c:tx>
          <c:spPr>
            <a:solidFill>
              <a:srgbClr val="E3DE00"/>
            </a:solidFill>
          </c:spPr>
          <c:invertIfNegative val="0"/>
          <c:cat>
            <c:strRef>
              <c:f>'Stats by Type (Updated Gen 6)'!$A$3:$A$22</c:f>
              <c:strCache>
                <c:ptCount val="20"/>
                <c:pt idx="0">
                  <c:v>All</c:v>
                </c:pt>
                <c:pt idx="1">
                  <c:v>Bug</c:v>
                </c:pt>
                <c:pt idx="2">
                  <c:v>Dark</c:v>
                </c:pt>
                <c:pt idx="3">
                  <c:v>Dragon</c:v>
                </c:pt>
                <c:pt idx="4">
                  <c:v>Electric</c:v>
                </c:pt>
                <c:pt idx="5">
                  <c:v>Fairy</c:v>
                </c:pt>
                <c:pt idx="6">
                  <c:v>Fighting</c:v>
                </c:pt>
                <c:pt idx="7">
                  <c:v>Fire</c:v>
                </c:pt>
                <c:pt idx="8">
                  <c:v>Flying</c:v>
                </c:pt>
                <c:pt idx="9">
                  <c:v>Ghost</c:v>
                </c:pt>
                <c:pt idx="10">
                  <c:v>Grass</c:v>
                </c:pt>
                <c:pt idx="11">
                  <c:v>Ground</c:v>
                </c:pt>
                <c:pt idx="12">
                  <c:v>Ice</c:v>
                </c:pt>
                <c:pt idx="13">
                  <c:v>Normal</c:v>
                </c:pt>
                <c:pt idx="14">
                  <c:v>Poison</c:v>
                </c:pt>
                <c:pt idx="15">
                  <c:v>Psychic</c:v>
                </c:pt>
                <c:pt idx="16">
                  <c:v>Rock</c:v>
                </c:pt>
                <c:pt idx="17">
                  <c:v>Steel</c:v>
                </c:pt>
                <c:pt idx="18">
                  <c:v>Water</c:v>
                </c:pt>
                <c:pt idx="19">
                  <c:v>Single type</c:v>
                </c:pt>
              </c:strCache>
            </c:strRef>
          </c:cat>
          <c:val>
            <c:numRef>
              <c:f>'Stats by Type (Updated Gen 6)'!$D$3:$D$22</c:f>
              <c:numCache>
                <c:formatCode>0.00</c:formatCode>
                <c:ptCount val="20"/>
                <c:pt idx="0">
                  <c:v>73.819548872180448</c:v>
                </c:pt>
                <c:pt idx="1">
                  <c:v>71.111111111111114</c:v>
                </c:pt>
                <c:pt idx="2">
                  <c:v>70.941176470588232</c:v>
                </c:pt>
                <c:pt idx="3">
                  <c:v>86.62</c:v>
                </c:pt>
                <c:pt idx="4">
                  <c:v>66.540000000000006</c:v>
                </c:pt>
                <c:pt idx="5">
                  <c:v>69</c:v>
                </c:pt>
                <c:pt idx="6">
                  <c:v>73.75</c:v>
                </c:pt>
                <c:pt idx="7">
                  <c:v>70.09375</c:v>
                </c:pt>
                <c:pt idx="8">
                  <c:v>68.227722772277232</c:v>
                </c:pt>
                <c:pt idx="9">
                  <c:v>82.446808510638292</c:v>
                </c:pt>
                <c:pt idx="10">
                  <c:v>73.252631578947373</c:v>
                </c:pt>
                <c:pt idx="11">
                  <c:v>87.701492537313428</c:v>
                </c:pt>
                <c:pt idx="12">
                  <c:v>76.65789473684211</c:v>
                </c:pt>
                <c:pt idx="13">
                  <c:v>59.607843137254903</c:v>
                </c:pt>
                <c:pt idx="14">
                  <c:v>63.741935483870968</c:v>
                </c:pt>
                <c:pt idx="15">
                  <c:v>74.764044943820224</c:v>
                </c:pt>
                <c:pt idx="16">
                  <c:v>107.08620689655173</c:v>
                </c:pt>
                <c:pt idx="17">
                  <c:v>116.61224489795919</c:v>
                </c:pt>
                <c:pt idx="18">
                  <c:v>74.168000000000006</c:v>
                </c:pt>
                <c:pt idx="19">
                  <c:v>67.563636363636363</c:v>
                </c:pt>
              </c:numCache>
            </c:numRef>
          </c:val>
          <c:extLst>
            <c:ext xmlns:c16="http://schemas.microsoft.com/office/drawing/2014/chart" uri="{C3380CC4-5D6E-409C-BE32-E72D297353CC}">
              <c16:uniqueId val="{00000002-E365-416E-8BEB-9469D31ECB21}"/>
            </c:ext>
          </c:extLst>
        </c:ser>
        <c:ser>
          <c:idx val="3"/>
          <c:order val="3"/>
          <c:tx>
            <c:strRef>
              <c:f>'Stats by Type (Updated Gen 6)'!$E$2</c:f>
              <c:strCache>
                <c:ptCount val="1"/>
                <c:pt idx="0">
                  <c:v>Sp. Attack</c:v>
                </c:pt>
              </c:strCache>
            </c:strRef>
          </c:tx>
          <c:spPr>
            <a:solidFill>
              <a:srgbClr val="009BD2"/>
            </a:solidFill>
          </c:spPr>
          <c:invertIfNegative val="0"/>
          <c:cat>
            <c:strRef>
              <c:f>'Stats by Type (Updated Gen 6)'!$A$3:$A$22</c:f>
              <c:strCache>
                <c:ptCount val="20"/>
                <c:pt idx="0">
                  <c:v>All</c:v>
                </c:pt>
                <c:pt idx="1">
                  <c:v>Bug</c:v>
                </c:pt>
                <c:pt idx="2">
                  <c:v>Dark</c:v>
                </c:pt>
                <c:pt idx="3">
                  <c:v>Dragon</c:v>
                </c:pt>
                <c:pt idx="4">
                  <c:v>Electric</c:v>
                </c:pt>
                <c:pt idx="5">
                  <c:v>Fairy</c:v>
                </c:pt>
                <c:pt idx="6">
                  <c:v>Fighting</c:v>
                </c:pt>
                <c:pt idx="7">
                  <c:v>Fire</c:v>
                </c:pt>
                <c:pt idx="8">
                  <c:v>Flying</c:v>
                </c:pt>
                <c:pt idx="9">
                  <c:v>Ghost</c:v>
                </c:pt>
                <c:pt idx="10">
                  <c:v>Grass</c:v>
                </c:pt>
                <c:pt idx="11">
                  <c:v>Ground</c:v>
                </c:pt>
                <c:pt idx="12">
                  <c:v>Ice</c:v>
                </c:pt>
                <c:pt idx="13">
                  <c:v>Normal</c:v>
                </c:pt>
                <c:pt idx="14">
                  <c:v>Poison</c:v>
                </c:pt>
                <c:pt idx="15">
                  <c:v>Psychic</c:v>
                </c:pt>
                <c:pt idx="16">
                  <c:v>Rock</c:v>
                </c:pt>
                <c:pt idx="17">
                  <c:v>Steel</c:v>
                </c:pt>
                <c:pt idx="18">
                  <c:v>Water</c:v>
                </c:pt>
                <c:pt idx="19">
                  <c:v>Single type</c:v>
                </c:pt>
              </c:strCache>
            </c:strRef>
          </c:cat>
          <c:val>
            <c:numRef>
              <c:f>'Stats by Type (Updated Gen 6)'!$E$3:$E$22</c:f>
              <c:numCache>
                <c:formatCode>0.00</c:formatCode>
                <c:ptCount val="20"/>
                <c:pt idx="0">
                  <c:v>72.736842105263165</c:v>
                </c:pt>
                <c:pt idx="1">
                  <c:v>53.569444444444443</c:v>
                </c:pt>
                <c:pt idx="2">
                  <c:v>77.450980392156865</c:v>
                </c:pt>
                <c:pt idx="3">
                  <c:v>97.44</c:v>
                </c:pt>
                <c:pt idx="4">
                  <c:v>88.96</c:v>
                </c:pt>
                <c:pt idx="5">
                  <c:v>77.051282051282058</c:v>
                </c:pt>
                <c:pt idx="6">
                  <c:v>65.730769230769226</c:v>
                </c:pt>
                <c:pt idx="7">
                  <c:v>93</c:v>
                </c:pt>
                <c:pt idx="8">
                  <c:v>76.366336633663366</c:v>
                </c:pt>
                <c:pt idx="9">
                  <c:v>77</c:v>
                </c:pt>
                <c:pt idx="10">
                  <c:v>72.936842105263153</c:v>
                </c:pt>
                <c:pt idx="11">
                  <c:v>61.208955223880594</c:v>
                </c:pt>
                <c:pt idx="12">
                  <c:v>83.10526315789474</c:v>
                </c:pt>
                <c:pt idx="13">
                  <c:v>57.078431372549019</c:v>
                </c:pt>
                <c:pt idx="14">
                  <c:v>67.887096774193552</c:v>
                </c:pt>
                <c:pt idx="15">
                  <c:v>94.730337078651687</c:v>
                </c:pt>
                <c:pt idx="16">
                  <c:v>60.396551724137929</c:v>
                </c:pt>
                <c:pt idx="17">
                  <c:v>72.102040816326536</c:v>
                </c:pt>
                <c:pt idx="18">
                  <c:v>74.343999999999994</c:v>
                </c:pt>
                <c:pt idx="19">
                  <c:v>68.246753246753244</c:v>
                </c:pt>
              </c:numCache>
            </c:numRef>
          </c:val>
          <c:extLst>
            <c:ext xmlns:c16="http://schemas.microsoft.com/office/drawing/2014/chart" uri="{C3380CC4-5D6E-409C-BE32-E72D297353CC}">
              <c16:uniqueId val="{00000003-E365-416E-8BEB-9469D31ECB21}"/>
            </c:ext>
          </c:extLst>
        </c:ser>
        <c:ser>
          <c:idx val="4"/>
          <c:order val="4"/>
          <c:tx>
            <c:strRef>
              <c:f>'Stats by Type (Updated Gen 6)'!$F$2</c:f>
              <c:strCache>
                <c:ptCount val="1"/>
                <c:pt idx="0">
                  <c:v>Sp. Defense</c:v>
                </c:pt>
              </c:strCache>
            </c:strRef>
          </c:tx>
          <c:spPr>
            <a:solidFill>
              <a:srgbClr val="92D050"/>
            </a:solidFill>
          </c:spPr>
          <c:invertIfNegative val="0"/>
          <c:cat>
            <c:strRef>
              <c:f>'Stats by Type (Updated Gen 6)'!$A$3:$A$22</c:f>
              <c:strCache>
                <c:ptCount val="20"/>
                <c:pt idx="0">
                  <c:v>All</c:v>
                </c:pt>
                <c:pt idx="1">
                  <c:v>Bug</c:v>
                </c:pt>
                <c:pt idx="2">
                  <c:v>Dark</c:v>
                </c:pt>
                <c:pt idx="3">
                  <c:v>Dragon</c:v>
                </c:pt>
                <c:pt idx="4">
                  <c:v>Electric</c:v>
                </c:pt>
                <c:pt idx="5">
                  <c:v>Fairy</c:v>
                </c:pt>
                <c:pt idx="6">
                  <c:v>Fighting</c:v>
                </c:pt>
                <c:pt idx="7">
                  <c:v>Fire</c:v>
                </c:pt>
                <c:pt idx="8">
                  <c:v>Flying</c:v>
                </c:pt>
                <c:pt idx="9">
                  <c:v>Ghost</c:v>
                </c:pt>
                <c:pt idx="10">
                  <c:v>Grass</c:v>
                </c:pt>
                <c:pt idx="11">
                  <c:v>Ground</c:v>
                </c:pt>
                <c:pt idx="12">
                  <c:v>Ice</c:v>
                </c:pt>
                <c:pt idx="13">
                  <c:v>Normal</c:v>
                </c:pt>
                <c:pt idx="14">
                  <c:v>Poison</c:v>
                </c:pt>
                <c:pt idx="15">
                  <c:v>Psychic</c:v>
                </c:pt>
                <c:pt idx="16">
                  <c:v>Rock</c:v>
                </c:pt>
                <c:pt idx="17">
                  <c:v>Steel</c:v>
                </c:pt>
                <c:pt idx="18">
                  <c:v>Water</c:v>
                </c:pt>
                <c:pt idx="19">
                  <c:v>Single type</c:v>
                </c:pt>
              </c:strCache>
            </c:strRef>
          </c:cat>
          <c:val>
            <c:numRef>
              <c:f>'Stats by Type (Updated Gen 6)'!$F$3:$F$22</c:f>
              <c:numCache>
                <c:formatCode>0.00</c:formatCode>
                <c:ptCount val="20"/>
                <c:pt idx="0">
                  <c:v>71.868421052631575</c:v>
                </c:pt>
                <c:pt idx="1">
                  <c:v>64.666666666666671</c:v>
                </c:pt>
                <c:pt idx="2">
                  <c:v>69.647058823529406</c:v>
                </c:pt>
                <c:pt idx="3">
                  <c:v>86.9</c:v>
                </c:pt>
                <c:pt idx="4">
                  <c:v>73.680000000000007</c:v>
                </c:pt>
                <c:pt idx="5">
                  <c:v>82.820512820512818</c:v>
                </c:pt>
                <c:pt idx="6">
                  <c:v>73.057692307692307</c:v>
                </c:pt>
                <c:pt idx="7">
                  <c:v>74.328125</c:v>
                </c:pt>
                <c:pt idx="8">
                  <c:v>71.257425742574256</c:v>
                </c:pt>
                <c:pt idx="9">
                  <c:v>77.340425531914889</c:v>
                </c:pt>
                <c:pt idx="10">
                  <c:v>71.505263157894731</c:v>
                </c:pt>
                <c:pt idx="11">
                  <c:v>64.835820895522389</c:v>
                </c:pt>
                <c:pt idx="12">
                  <c:v>79.421052631578945</c:v>
                </c:pt>
                <c:pt idx="13">
                  <c:v>63.745098039215684</c:v>
                </c:pt>
                <c:pt idx="14">
                  <c:v>67.41935483870968</c:v>
                </c:pt>
                <c:pt idx="15">
                  <c:v>86.831460674157299</c:v>
                </c:pt>
                <c:pt idx="16">
                  <c:v>73.810344827586206</c:v>
                </c:pt>
                <c:pt idx="17">
                  <c:v>83.163265306122454</c:v>
                </c:pt>
                <c:pt idx="18">
                  <c:v>70.152000000000001</c:v>
                </c:pt>
                <c:pt idx="19">
                  <c:v>67.940259740259734</c:v>
                </c:pt>
              </c:numCache>
            </c:numRef>
          </c:val>
          <c:extLst>
            <c:ext xmlns:c16="http://schemas.microsoft.com/office/drawing/2014/chart" uri="{C3380CC4-5D6E-409C-BE32-E72D297353CC}">
              <c16:uniqueId val="{00000004-E365-416E-8BEB-9469D31ECB21}"/>
            </c:ext>
          </c:extLst>
        </c:ser>
        <c:ser>
          <c:idx val="5"/>
          <c:order val="5"/>
          <c:tx>
            <c:strRef>
              <c:f>'Stats by Type (Updated Gen 6)'!$G$2</c:f>
              <c:strCache>
                <c:ptCount val="1"/>
                <c:pt idx="0">
                  <c:v>Speed</c:v>
                </c:pt>
              </c:strCache>
            </c:strRef>
          </c:tx>
          <c:spPr>
            <a:solidFill>
              <a:srgbClr val="F600AA"/>
            </a:solidFill>
          </c:spPr>
          <c:invertIfNegative val="0"/>
          <c:cat>
            <c:strRef>
              <c:f>'Stats by Type (Updated Gen 6)'!$A$3:$A$22</c:f>
              <c:strCache>
                <c:ptCount val="20"/>
                <c:pt idx="0">
                  <c:v>All</c:v>
                </c:pt>
                <c:pt idx="1">
                  <c:v>Bug</c:v>
                </c:pt>
                <c:pt idx="2">
                  <c:v>Dark</c:v>
                </c:pt>
                <c:pt idx="3">
                  <c:v>Dragon</c:v>
                </c:pt>
                <c:pt idx="4">
                  <c:v>Electric</c:v>
                </c:pt>
                <c:pt idx="5">
                  <c:v>Fairy</c:v>
                </c:pt>
                <c:pt idx="6">
                  <c:v>Fighting</c:v>
                </c:pt>
                <c:pt idx="7">
                  <c:v>Fire</c:v>
                </c:pt>
                <c:pt idx="8">
                  <c:v>Flying</c:v>
                </c:pt>
                <c:pt idx="9">
                  <c:v>Ghost</c:v>
                </c:pt>
                <c:pt idx="10">
                  <c:v>Grass</c:v>
                </c:pt>
                <c:pt idx="11">
                  <c:v>Ground</c:v>
                </c:pt>
                <c:pt idx="12">
                  <c:v>Ice</c:v>
                </c:pt>
                <c:pt idx="13">
                  <c:v>Normal</c:v>
                </c:pt>
                <c:pt idx="14">
                  <c:v>Poison</c:v>
                </c:pt>
                <c:pt idx="15">
                  <c:v>Psychic</c:v>
                </c:pt>
                <c:pt idx="16">
                  <c:v>Rock</c:v>
                </c:pt>
                <c:pt idx="17">
                  <c:v>Steel</c:v>
                </c:pt>
                <c:pt idx="18">
                  <c:v>Water</c:v>
                </c:pt>
                <c:pt idx="19">
                  <c:v>Single type</c:v>
                </c:pt>
              </c:strCache>
            </c:strRef>
          </c:cat>
          <c:val>
            <c:numRef>
              <c:f>'Stats by Type (Updated Gen 6)'!$G$3:$G$22</c:f>
              <c:numCache>
                <c:formatCode>0.00</c:formatCode>
                <c:ptCount val="20"/>
                <c:pt idx="0">
                  <c:v>68.182957393483704</c:v>
                </c:pt>
                <c:pt idx="1">
                  <c:v>61.680555555555557</c:v>
                </c:pt>
                <c:pt idx="2">
                  <c:v>75.843137254901961</c:v>
                </c:pt>
                <c:pt idx="3">
                  <c:v>82.14</c:v>
                </c:pt>
                <c:pt idx="4">
                  <c:v>82.94</c:v>
                </c:pt>
                <c:pt idx="5">
                  <c:v>56</c:v>
                </c:pt>
                <c:pt idx="6">
                  <c:v>75.92307692307692</c:v>
                </c:pt>
                <c:pt idx="7">
                  <c:v>75.421875</c:v>
                </c:pt>
                <c:pt idx="8">
                  <c:v>86.386138613861391</c:v>
                </c:pt>
                <c:pt idx="9">
                  <c:v>60.914893617021278</c:v>
                </c:pt>
                <c:pt idx="10">
                  <c:v>60.715789473684211</c:v>
                </c:pt>
                <c:pt idx="11">
                  <c:v>59.07462686567164</c:v>
                </c:pt>
                <c:pt idx="12">
                  <c:v>67.578947368421055</c:v>
                </c:pt>
                <c:pt idx="13">
                  <c:v>72.245098039215691</c:v>
                </c:pt>
                <c:pt idx="14">
                  <c:v>65.258064516129039</c:v>
                </c:pt>
                <c:pt idx="15">
                  <c:v>76.786516853932582</c:v>
                </c:pt>
                <c:pt idx="16">
                  <c:v>51.103448275862071</c:v>
                </c:pt>
                <c:pt idx="17">
                  <c:v>57.102040816326529</c:v>
                </c:pt>
                <c:pt idx="18">
                  <c:v>64.64</c:v>
                </c:pt>
                <c:pt idx="19">
                  <c:v>65.779220779220779</c:v>
                </c:pt>
              </c:numCache>
            </c:numRef>
          </c:val>
          <c:extLst>
            <c:ext xmlns:c16="http://schemas.microsoft.com/office/drawing/2014/chart" uri="{C3380CC4-5D6E-409C-BE32-E72D297353CC}">
              <c16:uniqueId val="{00000005-E365-416E-8BEB-9469D31ECB21}"/>
            </c:ext>
          </c:extLst>
        </c:ser>
        <c:dLbls>
          <c:showLegendKey val="0"/>
          <c:showVal val="0"/>
          <c:showCatName val="0"/>
          <c:showSerName val="0"/>
          <c:showPercent val="0"/>
          <c:showBubbleSize val="0"/>
        </c:dLbls>
        <c:gapWidth val="150"/>
        <c:axId val="359283712"/>
        <c:axId val="359285504"/>
      </c:barChart>
      <c:catAx>
        <c:axId val="359283712"/>
        <c:scaling>
          <c:orientation val="minMax"/>
        </c:scaling>
        <c:delete val="0"/>
        <c:axPos val="b"/>
        <c:numFmt formatCode="General" sourceLinked="0"/>
        <c:majorTickMark val="out"/>
        <c:minorTickMark val="none"/>
        <c:tickLblPos val="nextTo"/>
        <c:crossAx val="359285504"/>
        <c:crosses val="autoZero"/>
        <c:auto val="1"/>
        <c:lblAlgn val="ctr"/>
        <c:lblOffset val="100"/>
        <c:noMultiLvlLbl val="0"/>
      </c:catAx>
      <c:valAx>
        <c:axId val="359285504"/>
        <c:scaling>
          <c:orientation val="minMax"/>
          <c:min val="0"/>
        </c:scaling>
        <c:delete val="0"/>
        <c:axPos val="l"/>
        <c:majorGridlines/>
        <c:numFmt formatCode="0" sourceLinked="0"/>
        <c:majorTickMark val="out"/>
        <c:minorTickMark val="none"/>
        <c:tickLblPos val="nextTo"/>
        <c:crossAx val="359283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679450</xdr:colOff>
          <xdr:row>4</xdr:row>
          <xdr:rowOff>133350</xdr:rowOff>
        </xdr:from>
        <xdr:to>
          <xdr:col>3</xdr:col>
          <xdr:colOff>260350</xdr:colOff>
          <xdr:row>5</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Search Type</a:t>
              </a:r>
            </a:p>
          </xdr:txBody>
        </xdr:sp>
        <xdr:clientData fPrintsWithSheet="0"/>
      </xdr:twoCellAnchor>
    </mc:Choice>
    <mc:Fallback/>
  </mc:AlternateContent>
  <xdr:twoCellAnchor>
    <xdr:from>
      <xdr:col>2</xdr:col>
      <xdr:colOff>171450</xdr:colOff>
      <xdr:row>9</xdr:row>
      <xdr:rowOff>133349</xdr:rowOff>
    </xdr:from>
    <xdr:to>
      <xdr:col>3</xdr:col>
      <xdr:colOff>1495425</xdr:colOff>
      <xdr:row>28</xdr:row>
      <xdr:rowOff>123824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71450" y="1990724"/>
          <a:ext cx="2286000" cy="3629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To use:</a:t>
          </a:r>
        </a:p>
        <a:p>
          <a:r>
            <a:rPr lang="en-US" sz="1100"/>
            <a:t>1) Choose generation of game for comparison (includes</a:t>
          </a:r>
          <a:r>
            <a:rPr lang="en-US" sz="1100" baseline="0"/>
            <a:t> all pokemon up to then).</a:t>
          </a:r>
          <a:br>
            <a:rPr lang="en-US" sz="1100" baseline="0"/>
          </a:br>
          <a:endParaRPr lang="en-US" sz="1100" baseline="0"/>
        </a:p>
        <a:p>
          <a:r>
            <a:rPr lang="en-US" sz="1100" baseline="0"/>
            <a:t>2) Choose two types.  Pick "Single type" if you want a pokemon with only one type.  Pick "All" for one of the types if you want any pokemon of the other type. Pick "All" for both types if you want all pokemon.</a:t>
          </a:r>
          <a:br>
            <a:rPr lang="en-US" sz="1100" baseline="0"/>
          </a:br>
          <a:endParaRPr lang="en-US" sz="1100" baseline="0"/>
        </a:p>
        <a:p>
          <a:r>
            <a:rPr lang="en-US" sz="1100"/>
            <a:t>3) Pick whether you want all pokemon or only fully-evolved pokemon (including Mega).</a:t>
          </a:r>
          <a:br>
            <a:rPr lang="en-US" sz="1100"/>
          </a:br>
          <a:endParaRPr lang="en-US" sz="1100"/>
        </a:p>
        <a:p>
          <a:r>
            <a:rPr lang="en-US" sz="1100"/>
            <a:t>4) Click</a:t>
          </a:r>
          <a:r>
            <a:rPr lang="en-US" sz="1100" baseline="0"/>
            <a:t> "Search".</a:t>
          </a:r>
          <a:br>
            <a:rPr lang="en-US" sz="1100" baseline="0"/>
          </a:br>
          <a:endParaRPr lang="en-US" sz="1100" baseline="0"/>
        </a:p>
        <a:p>
          <a:r>
            <a:rPr lang="en-US" sz="1100" baseline="0"/>
            <a:t>5) Choose Mon if you want to see how its stats rank in the set.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300037</xdr:colOff>
      <xdr:row>27</xdr:row>
      <xdr:rowOff>190499</xdr:rowOff>
    </xdr:from>
    <xdr:to>
      <xdr:col>23</xdr:col>
      <xdr:colOff>257175</xdr:colOff>
      <xdr:row>50</xdr:row>
      <xdr:rowOff>142874</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581025</xdr:colOff>
      <xdr:row>4</xdr:row>
      <xdr:rowOff>138112</xdr:rowOff>
    </xdr:from>
    <xdr:to>
      <xdr:col>27</xdr:col>
      <xdr:colOff>276225</xdr:colOff>
      <xdr:row>19</xdr:row>
      <xdr:rowOff>23812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133350</xdr:colOff>
      <xdr:row>23</xdr:row>
      <xdr:rowOff>61912</xdr:rowOff>
    </xdr:from>
    <xdr:to>
      <xdr:col>18</xdr:col>
      <xdr:colOff>342900</xdr:colOff>
      <xdr:row>37</xdr:row>
      <xdr:rowOff>138112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bulbapedia.bulbagarden.net/wiki/Scatterbug_(Pok%C3%A9mon)" TargetMode="External"/><Relationship Id="rId671" Type="http://schemas.openxmlformats.org/officeDocument/2006/relationships/hyperlink" Target="http://bulbapedia.bulbagarden.net/wiki/Zapdos_(Pok%C3%A9mon)" TargetMode="External"/><Relationship Id="rId769" Type="http://schemas.openxmlformats.org/officeDocument/2006/relationships/hyperlink" Target="http://bulbapedia.bulbagarden.net/wiki/Tornadus_(Pok%C3%A9mon)" TargetMode="External"/><Relationship Id="rId21" Type="http://schemas.openxmlformats.org/officeDocument/2006/relationships/hyperlink" Target="http://bulbapedia.bulbagarden.net/wiki/Azurill_(Pok%C3%A9mon)" TargetMode="External"/><Relationship Id="rId324" Type="http://schemas.openxmlformats.org/officeDocument/2006/relationships/hyperlink" Target="http://bulbapedia.bulbagarden.net/wiki/Tangela_(Pok%C3%A9mon)" TargetMode="External"/><Relationship Id="rId531" Type="http://schemas.openxmlformats.org/officeDocument/2006/relationships/hyperlink" Target="http://bulbapedia.bulbagarden.net/wiki/Chandelure_(Pok%C3%A9mon)" TargetMode="External"/><Relationship Id="rId629" Type="http://schemas.openxmlformats.org/officeDocument/2006/relationships/hyperlink" Target="http://bulbapedia.bulbagarden.net/wiki/Yanma_(Pok%C3%A9mon)" TargetMode="External"/><Relationship Id="rId170" Type="http://schemas.openxmlformats.org/officeDocument/2006/relationships/hyperlink" Target="http://bulbapedia.bulbagarden.net/wiki/Totodile_(Pok%C3%A9mon)" TargetMode="External"/><Relationship Id="rId836" Type="http://schemas.openxmlformats.org/officeDocument/2006/relationships/hyperlink" Target="http://bulbapedia.bulbagarden.net/wiki/Bewear_(Pok%C3%A9mon)" TargetMode="External"/><Relationship Id="rId268" Type="http://schemas.openxmlformats.org/officeDocument/2006/relationships/hyperlink" Target="http://bulbapedia.bulbagarden.net/wiki/Floette_(Pok%C3%A9mon)" TargetMode="External"/><Relationship Id="rId475" Type="http://schemas.openxmlformats.org/officeDocument/2006/relationships/hyperlink" Target="http://bulbapedia.bulbagarden.net/wiki/Seismitoad_(Pok%C3%A9mon)" TargetMode="External"/><Relationship Id="rId682" Type="http://schemas.openxmlformats.org/officeDocument/2006/relationships/hyperlink" Target="http://bulbapedia.bulbagarden.net/wiki/Flygon_(Pok%C3%A9mon)" TargetMode="External"/><Relationship Id="rId32" Type="http://schemas.openxmlformats.org/officeDocument/2006/relationships/hyperlink" Target="http://bulbapedia.bulbagarden.net/wiki/Wynaut_(Pok%C3%A9mon)" TargetMode="External"/><Relationship Id="rId128" Type="http://schemas.openxmlformats.org/officeDocument/2006/relationships/hyperlink" Target="http://bulbapedia.bulbagarden.net/wiki/Sandshrew_(Pok%C3%A9mon)" TargetMode="External"/><Relationship Id="rId335" Type="http://schemas.openxmlformats.org/officeDocument/2006/relationships/hyperlink" Target="http://bulbapedia.bulbagarden.net/wiki/Wailmer_(Pok%C3%A9mon)" TargetMode="External"/><Relationship Id="rId542" Type="http://schemas.openxmlformats.org/officeDocument/2006/relationships/hyperlink" Target="http://bulbapedia.bulbagarden.net/wiki/Magmortar_(Pok%C3%A9mon)" TargetMode="External"/><Relationship Id="rId181" Type="http://schemas.openxmlformats.org/officeDocument/2006/relationships/hyperlink" Target="http://bulbapedia.bulbagarden.net/wiki/Machoke_(Pok%C3%A9mon)" TargetMode="External"/><Relationship Id="rId402" Type="http://schemas.openxmlformats.org/officeDocument/2006/relationships/hyperlink" Target="http://bulbapedia.bulbagarden.net/wiki/Trubbish_(Pok%C3%A9mon)" TargetMode="External"/><Relationship Id="rId847" Type="http://schemas.openxmlformats.org/officeDocument/2006/relationships/hyperlink" Target="http://bulbapedia.bulbagarden.net/wiki/Pyukumuku_(Pok%C3%A9mon)" TargetMode="External"/><Relationship Id="rId279" Type="http://schemas.openxmlformats.org/officeDocument/2006/relationships/hyperlink" Target="http://bulbapedia.bulbagarden.net/wiki/Kabuto_(Pok%C3%A9mon)" TargetMode="External"/><Relationship Id="rId486" Type="http://schemas.openxmlformats.org/officeDocument/2006/relationships/hyperlink" Target="http://bulbapedia.bulbagarden.net/wiki/Banette_(Pok%C3%A9mon)" TargetMode="External"/><Relationship Id="rId693" Type="http://schemas.openxmlformats.org/officeDocument/2006/relationships/hyperlink" Target="http://bulbapedia.bulbagarden.net/wiki/Pidgeot_(Pok%C3%A9mon)" TargetMode="External"/><Relationship Id="rId707" Type="http://schemas.openxmlformats.org/officeDocument/2006/relationships/hyperlink" Target="http://bulbapedia.bulbagarden.net/wiki/Scyther_(Pok%C3%A9mon)" TargetMode="External"/><Relationship Id="rId43" Type="http://schemas.openxmlformats.org/officeDocument/2006/relationships/hyperlink" Target="http://bulbapedia.bulbagarden.net/wiki/Kricketot_(Pok%C3%A9mon)" TargetMode="External"/><Relationship Id="rId139" Type="http://schemas.openxmlformats.org/officeDocument/2006/relationships/hyperlink" Target="http://bulbapedia.bulbagarden.net/wiki/Teddiursa_(Pok%C3%A9mon)" TargetMode="External"/><Relationship Id="rId346" Type="http://schemas.openxmlformats.org/officeDocument/2006/relationships/hyperlink" Target="http://bulbapedia.bulbagarden.net/wiki/Abomasnow_(Pok%C3%A9mon)" TargetMode="External"/><Relationship Id="rId553" Type="http://schemas.openxmlformats.org/officeDocument/2006/relationships/hyperlink" Target="http://bulbapedia.bulbagarden.net/wiki/Ledian_(Pok%C3%A9mon)" TargetMode="External"/><Relationship Id="rId760" Type="http://schemas.openxmlformats.org/officeDocument/2006/relationships/hyperlink" Target="http://bulbapedia.bulbagarden.net/wiki/Zebstrika_(Pok%C3%A9mon)" TargetMode="External"/><Relationship Id="rId192" Type="http://schemas.openxmlformats.org/officeDocument/2006/relationships/hyperlink" Target="http://bulbapedia.bulbagarden.net/wiki/Torchic_(Pok%C3%A9mon)" TargetMode="External"/><Relationship Id="rId206" Type="http://schemas.openxmlformats.org/officeDocument/2006/relationships/hyperlink" Target="http://bulbapedia.bulbagarden.net/wiki/Carnivine_(Pok%C3%A9mon)" TargetMode="External"/><Relationship Id="rId413" Type="http://schemas.openxmlformats.org/officeDocument/2006/relationships/hyperlink" Target="http://bulbapedia.bulbagarden.net/wiki/Hypno_(Pok%C3%A9mon)" TargetMode="External"/><Relationship Id="rId858" Type="http://schemas.openxmlformats.org/officeDocument/2006/relationships/hyperlink" Target="http://bulbapedia.bulbagarden.net/wiki/Jangmo-o_(Pok%C3%A9mon)" TargetMode="External"/><Relationship Id="rId497" Type="http://schemas.openxmlformats.org/officeDocument/2006/relationships/hyperlink" Target="http://bulbapedia.bulbagarden.net/wiki/Watchog_(Pok%C3%A9mon)" TargetMode="External"/><Relationship Id="rId620" Type="http://schemas.openxmlformats.org/officeDocument/2006/relationships/hyperlink" Target="http://bulbapedia.bulbagarden.net/wiki/Krookodile_(Pok%C3%A9mon)" TargetMode="External"/><Relationship Id="rId718" Type="http://schemas.openxmlformats.org/officeDocument/2006/relationships/hyperlink" Target="http://bulbapedia.bulbagarden.net/wiki/Pyroar_(Pok%C3%A9mon)" TargetMode="External"/><Relationship Id="rId357" Type="http://schemas.openxmlformats.org/officeDocument/2006/relationships/hyperlink" Target="http://bulbapedia.bulbagarden.net/wiki/Larvesta_(Pok%C3%A9mon)" TargetMode="External"/><Relationship Id="rId54" Type="http://schemas.openxmlformats.org/officeDocument/2006/relationships/hyperlink" Target="http://bulbapedia.bulbagarden.net/wiki/Oddish_(Pok%C3%A9mon)" TargetMode="External"/><Relationship Id="rId217" Type="http://schemas.openxmlformats.org/officeDocument/2006/relationships/hyperlink" Target="http://bulbapedia.bulbagarden.net/wiki/Weedle_(Pok%C3%A9mon)" TargetMode="External"/><Relationship Id="rId564" Type="http://schemas.openxmlformats.org/officeDocument/2006/relationships/hyperlink" Target="http://bulbapedia.bulbagarden.net/wiki/Wingull_(Pok%C3%A9mon)" TargetMode="External"/><Relationship Id="rId771" Type="http://schemas.openxmlformats.org/officeDocument/2006/relationships/hyperlink" Target="http://bulbapedia.bulbagarden.net/wiki/Noivern_(Pok%C3%A9mon)" TargetMode="External"/><Relationship Id="rId869" Type="http://schemas.openxmlformats.org/officeDocument/2006/relationships/hyperlink" Target="http://bulbapedia.bulbagarden.net/wiki/Nihilego_(Pok%C3%A9mon)" TargetMode="External"/><Relationship Id="rId424" Type="http://schemas.openxmlformats.org/officeDocument/2006/relationships/hyperlink" Target="http://bulbapedia.bulbagarden.net/wiki/Gourgeist_(Pok%C3%A9mon)" TargetMode="External"/><Relationship Id="rId631" Type="http://schemas.openxmlformats.org/officeDocument/2006/relationships/hyperlink" Target="http://bulbapedia.bulbagarden.net/wiki/Elekid_(Pok%C3%A9mon)" TargetMode="External"/><Relationship Id="rId729" Type="http://schemas.openxmlformats.org/officeDocument/2006/relationships/hyperlink" Target="http://bulbapedia.bulbagarden.net/wiki/Tauros_(Pok%C3%A9mon)" TargetMode="External"/><Relationship Id="rId270" Type="http://schemas.openxmlformats.org/officeDocument/2006/relationships/hyperlink" Target="http://bulbapedia.bulbagarden.net/wiki/Gourgeist_(Pok%C3%A9mon)" TargetMode="External"/><Relationship Id="rId65" Type="http://schemas.openxmlformats.org/officeDocument/2006/relationships/hyperlink" Target="http://bulbapedia.bulbagarden.net/wiki/Steelix_(Pok%C3%A9mon)" TargetMode="External"/><Relationship Id="rId130" Type="http://schemas.openxmlformats.org/officeDocument/2006/relationships/hyperlink" Target="http://bulbapedia.bulbagarden.net/wiki/Bellsprout_(Pok%C3%A9mon)" TargetMode="External"/><Relationship Id="rId368" Type="http://schemas.openxmlformats.org/officeDocument/2006/relationships/hyperlink" Target="http://bulbapedia.bulbagarden.net/wiki/Pansage_(Pok%C3%A9mon)" TargetMode="External"/><Relationship Id="rId575" Type="http://schemas.openxmlformats.org/officeDocument/2006/relationships/hyperlink" Target="http://bulbapedia.bulbagarden.net/wiki/Rotom_(Pok%C3%A9mon)" TargetMode="External"/><Relationship Id="rId782" Type="http://schemas.openxmlformats.org/officeDocument/2006/relationships/hyperlink" Target="http://bulbapedia.bulbagarden.net/wiki/Mewtwo_(Pok%C3%A9mon)" TargetMode="External"/><Relationship Id="rId228" Type="http://schemas.openxmlformats.org/officeDocument/2006/relationships/hyperlink" Target="http://bulbapedia.bulbagarden.net/wiki/Swinub_(Pok%C3%A9mon)" TargetMode="External"/><Relationship Id="rId435" Type="http://schemas.openxmlformats.org/officeDocument/2006/relationships/hyperlink" Target="http://bulbapedia.bulbagarden.net/wiki/Dragonair_(Pok%C3%A9mon)" TargetMode="External"/><Relationship Id="rId642" Type="http://schemas.openxmlformats.org/officeDocument/2006/relationships/hyperlink" Target="http://bulbapedia.bulbagarden.net/wiki/Gliscor_(Pok%C3%A9mon)" TargetMode="External"/><Relationship Id="rId281" Type="http://schemas.openxmlformats.org/officeDocument/2006/relationships/hyperlink" Target="http://bulbapedia.bulbagarden.net/wiki/Ampharos_(Pok%C3%A9mon)" TargetMode="External"/><Relationship Id="rId502" Type="http://schemas.openxmlformats.org/officeDocument/2006/relationships/hyperlink" Target="http://bulbapedia.bulbagarden.net/wiki/Vanilluxe_(Pok%C3%A9mon)" TargetMode="External"/><Relationship Id="rId76" Type="http://schemas.openxmlformats.org/officeDocument/2006/relationships/hyperlink" Target="http://bulbapedia.bulbagarden.net/wiki/Bastiodon_(Pok%C3%A9mon)" TargetMode="External"/><Relationship Id="rId141" Type="http://schemas.openxmlformats.org/officeDocument/2006/relationships/hyperlink" Target="http://bulbapedia.bulbagarden.net/wiki/Mudkip_(Pok%C3%A9mon)" TargetMode="External"/><Relationship Id="rId379" Type="http://schemas.openxmlformats.org/officeDocument/2006/relationships/hyperlink" Target="http://bulbapedia.bulbagarden.net/wiki/Cyndaquil_(Pok%C3%A9mon)" TargetMode="External"/><Relationship Id="rId586" Type="http://schemas.openxmlformats.org/officeDocument/2006/relationships/hyperlink" Target="http://bulbapedia.bulbagarden.net/wiki/Poliwag_(Pok%C3%A9mon)" TargetMode="External"/><Relationship Id="rId793" Type="http://schemas.openxmlformats.org/officeDocument/2006/relationships/hyperlink" Target="http://bulbapedia.bulbagarden.net/wiki/Deoxys_(Pok%C3%A9mon)" TargetMode="External"/><Relationship Id="rId807" Type="http://schemas.openxmlformats.org/officeDocument/2006/relationships/hyperlink" Target="http://bulbapedia.bulbagarden.net/wiki/Pikipek_(Pok%C3%A9mon)" TargetMode="External"/><Relationship Id="rId7" Type="http://schemas.openxmlformats.org/officeDocument/2006/relationships/hyperlink" Target="http://bulbapedia.bulbagarden.net/wiki/Cleffa_(Pok%C3%A9mon)" TargetMode="External"/><Relationship Id="rId239" Type="http://schemas.openxmlformats.org/officeDocument/2006/relationships/hyperlink" Target="http://bulbapedia.bulbagarden.net/wiki/Aggron_(Pok%C3%A9mon)" TargetMode="External"/><Relationship Id="rId446" Type="http://schemas.openxmlformats.org/officeDocument/2006/relationships/hyperlink" Target="http://bulbapedia.bulbagarden.net/wiki/Breloom_(Pok%C3%A9mon)" TargetMode="External"/><Relationship Id="rId653" Type="http://schemas.openxmlformats.org/officeDocument/2006/relationships/hyperlink" Target="http://bulbapedia.bulbagarden.net/wiki/Haxorus_(Pok%C3%A9mon)" TargetMode="External"/><Relationship Id="rId292" Type="http://schemas.openxmlformats.org/officeDocument/2006/relationships/hyperlink" Target="http://bulbapedia.bulbagarden.net/wiki/Lillipup_(Pok%C3%A9mon)" TargetMode="External"/><Relationship Id="rId306" Type="http://schemas.openxmlformats.org/officeDocument/2006/relationships/hyperlink" Target="http://bulbapedia.bulbagarden.net/wiki/Axew_(Pok%C3%A9mon)" TargetMode="External"/><Relationship Id="rId860" Type="http://schemas.openxmlformats.org/officeDocument/2006/relationships/hyperlink" Target="http://bulbapedia.bulbagarden.net/wiki/Kommo-o_(Pok%C3%A9mon)" TargetMode="External"/><Relationship Id="rId45" Type="http://schemas.openxmlformats.org/officeDocument/2006/relationships/hyperlink" Target="http://bulbapedia.bulbagarden.net/wiki/Shelmet_(Pok%C3%A9mon)" TargetMode="External"/><Relationship Id="rId87" Type="http://schemas.openxmlformats.org/officeDocument/2006/relationships/hyperlink" Target="http://bulbapedia.bulbagarden.net/wiki/Skrelp_(Pok%C3%A9mon)" TargetMode="External"/><Relationship Id="rId110" Type="http://schemas.openxmlformats.org/officeDocument/2006/relationships/hyperlink" Target="http://bulbapedia.bulbagarden.net/wiki/Numel_(Pok%C3%A9mon)" TargetMode="External"/><Relationship Id="rId348" Type="http://schemas.openxmlformats.org/officeDocument/2006/relationships/hyperlink" Target="http://bulbapedia.bulbagarden.net/wiki/Dewott_(Pok%C3%A9mon)" TargetMode="External"/><Relationship Id="rId513" Type="http://schemas.openxmlformats.org/officeDocument/2006/relationships/hyperlink" Target="http://bulbapedia.bulbagarden.net/wiki/Skiploom_(Pok%C3%A9mon)" TargetMode="External"/><Relationship Id="rId555" Type="http://schemas.openxmlformats.org/officeDocument/2006/relationships/hyperlink" Target="http://bulbapedia.bulbagarden.net/wiki/Misdreavus_(Pok%C3%A9mon)" TargetMode="External"/><Relationship Id="rId597" Type="http://schemas.openxmlformats.org/officeDocument/2006/relationships/hyperlink" Target="http://bulbapedia.bulbagarden.net/wiki/Kyogre_(Pok%C3%A9mon)" TargetMode="External"/><Relationship Id="rId720" Type="http://schemas.openxmlformats.org/officeDocument/2006/relationships/hyperlink" Target="http://bulbapedia.bulbagarden.net/wiki/Galvantula_(Pok%C3%A9mon)" TargetMode="External"/><Relationship Id="rId762" Type="http://schemas.openxmlformats.org/officeDocument/2006/relationships/hyperlink" Target="http://bulbapedia.bulbagarden.net/wiki/Hawlucha_(Pok%C3%A9mon)" TargetMode="External"/><Relationship Id="rId818" Type="http://schemas.openxmlformats.org/officeDocument/2006/relationships/hyperlink" Target="http://bulbapedia.bulbagarden.net/wiki/Cutiefly_(Pok%C3%A9mon)" TargetMode="External"/><Relationship Id="rId152" Type="http://schemas.openxmlformats.org/officeDocument/2006/relationships/hyperlink" Target="http://bulbapedia.bulbagarden.net/wiki/Rhyperior_(Pok%C3%A9mon)" TargetMode="External"/><Relationship Id="rId194" Type="http://schemas.openxmlformats.org/officeDocument/2006/relationships/hyperlink" Target="http://bulbapedia.bulbagarden.net/wiki/Shuppet_(Pok%C3%A9mon)" TargetMode="External"/><Relationship Id="rId208" Type="http://schemas.openxmlformats.org/officeDocument/2006/relationships/hyperlink" Target="http://bulbapedia.bulbagarden.net/wiki/Hippowdon_(Pok%C3%A9mon)" TargetMode="External"/><Relationship Id="rId415" Type="http://schemas.openxmlformats.org/officeDocument/2006/relationships/hyperlink" Target="http://bulbapedia.bulbagarden.net/wiki/Lanturn_(Pok%C3%A9mon)" TargetMode="External"/><Relationship Id="rId457" Type="http://schemas.openxmlformats.org/officeDocument/2006/relationships/hyperlink" Target="http://bulbapedia.bulbagarden.net/wiki/Archen_(Pok%C3%A9mon)" TargetMode="External"/><Relationship Id="rId622" Type="http://schemas.openxmlformats.org/officeDocument/2006/relationships/hyperlink" Target="http://bulbapedia.bulbagarden.net/wiki/Unfezant_(Pok%C3%A9mon)" TargetMode="External"/><Relationship Id="rId261" Type="http://schemas.openxmlformats.org/officeDocument/2006/relationships/hyperlink" Target="http://bulbapedia.bulbagarden.net/wiki/Carbink_(Pok%C3%A9mon)" TargetMode="External"/><Relationship Id="rId499" Type="http://schemas.openxmlformats.org/officeDocument/2006/relationships/hyperlink" Target="http://bulbapedia.bulbagarden.net/wiki/Blastoise_(Pok%C3%A9mon)" TargetMode="External"/><Relationship Id="rId664" Type="http://schemas.openxmlformats.org/officeDocument/2006/relationships/hyperlink" Target="http://bulbapedia.bulbagarden.net/wiki/Charizard_(Pok%C3%A9mon)" TargetMode="External"/><Relationship Id="rId871" Type="http://schemas.openxmlformats.org/officeDocument/2006/relationships/hyperlink" Target="http://bulbapedia.bulbagarden.net/wiki/Pheromosa_(Pok%C3%A9mon)" TargetMode="External"/><Relationship Id="rId14" Type="http://schemas.openxmlformats.org/officeDocument/2006/relationships/hyperlink" Target="http://bulbapedia.bulbagarden.net/wiki/Foongus_(Pok%C3%A9mon)" TargetMode="External"/><Relationship Id="rId56" Type="http://schemas.openxmlformats.org/officeDocument/2006/relationships/hyperlink" Target="http://bulbapedia.bulbagarden.net/wiki/Slowbro_(Pok%C3%A9mon)" TargetMode="External"/><Relationship Id="rId317" Type="http://schemas.openxmlformats.org/officeDocument/2006/relationships/hyperlink" Target="http://bulbapedia.bulbagarden.net/wiki/Vanillish_(Pok%C3%A9mon)" TargetMode="External"/><Relationship Id="rId359" Type="http://schemas.openxmlformats.org/officeDocument/2006/relationships/hyperlink" Target="http://bulbapedia.bulbagarden.net/wiki/Aegislash_(Pok%C3%A9mon)" TargetMode="External"/><Relationship Id="rId524" Type="http://schemas.openxmlformats.org/officeDocument/2006/relationships/hyperlink" Target="http://bulbapedia.bulbagarden.net/wiki/Drifblim_(Pok%C3%A9mon)" TargetMode="External"/><Relationship Id="rId566" Type="http://schemas.openxmlformats.org/officeDocument/2006/relationships/hyperlink" Target="http://bulbapedia.bulbagarden.net/wiki/Illumise_(Pok%C3%A9mon)" TargetMode="External"/><Relationship Id="rId731" Type="http://schemas.openxmlformats.org/officeDocument/2006/relationships/hyperlink" Target="http://bulbapedia.bulbagarden.net/wiki/Espeon_(Pok%C3%A9mon)" TargetMode="External"/><Relationship Id="rId773" Type="http://schemas.openxmlformats.org/officeDocument/2006/relationships/hyperlink" Target="http://bulbapedia.bulbagarden.net/wiki/Weavile_(Pok%C3%A9mon)" TargetMode="External"/><Relationship Id="rId98" Type="http://schemas.openxmlformats.org/officeDocument/2006/relationships/hyperlink" Target="http://bulbapedia.bulbagarden.net/wiki/Clefairy_(Pok%C3%A9mon)" TargetMode="External"/><Relationship Id="rId121" Type="http://schemas.openxmlformats.org/officeDocument/2006/relationships/hyperlink" Target="http://bulbapedia.bulbagarden.net/wiki/Wormadam_(Pok%C3%A9mon)" TargetMode="External"/><Relationship Id="rId163" Type="http://schemas.openxmlformats.org/officeDocument/2006/relationships/hyperlink" Target="http://bulbapedia.bulbagarden.net/wiki/Drowzee_(Pok%C3%A9mon)" TargetMode="External"/><Relationship Id="rId219" Type="http://schemas.openxmlformats.org/officeDocument/2006/relationships/hyperlink" Target="http://bulbapedia.bulbagarden.net/wiki/Vileplume_(Pok%C3%A9mon)" TargetMode="External"/><Relationship Id="rId370" Type="http://schemas.openxmlformats.org/officeDocument/2006/relationships/hyperlink" Target="http://bulbapedia.bulbagarden.net/wiki/Panpour_(Pok%C3%A9mon)" TargetMode="External"/><Relationship Id="rId426" Type="http://schemas.openxmlformats.org/officeDocument/2006/relationships/hyperlink" Target="http://bulbapedia.bulbagarden.net/wiki/Spearow_(Pok%C3%A9mon)" TargetMode="External"/><Relationship Id="rId633" Type="http://schemas.openxmlformats.org/officeDocument/2006/relationships/hyperlink" Target="http://bulbapedia.bulbagarden.net/wiki/Plusle_(Pok%C3%A9mon)" TargetMode="External"/><Relationship Id="rId829" Type="http://schemas.openxmlformats.org/officeDocument/2006/relationships/hyperlink" Target="http://bulbapedia.bulbagarden.net/wiki/Fomantis_(Pok%C3%A9mon)" TargetMode="External"/><Relationship Id="rId230" Type="http://schemas.openxmlformats.org/officeDocument/2006/relationships/hyperlink" Target="http://bulbapedia.bulbagarden.net/wiki/Donphan_(Pok%C3%A9mon)" TargetMode="External"/><Relationship Id="rId468" Type="http://schemas.openxmlformats.org/officeDocument/2006/relationships/hyperlink" Target="http://bulbapedia.bulbagarden.net/wiki/Rattata_(Pok%C3%A9mon)" TargetMode="External"/><Relationship Id="rId675" Type="http://schemas.openxmlformats.org/officeDocument/2006/relationships/hyperlink" Target="http://bulbapedia.bulbagarden.net/wiki/Entei_(Pok%C3%A9mon)" TargetMode="External"/><Relationship Id="rId840" Type="http://schemas.openxmlformats.org/officeDocument/2006/relationships/hyperlink" Target="http://bulbapedia.bulbagarden.net/wiki/Comfey_(Pok%C3%A9mon)" TargetMode="External"/><Relationship Id="rId882" Type="http://schemas.openxmlformats.org/officeDocument/2006/relationships/hyperlink" Target="http://bulbapedia.bulbagarden.net/wiki/Oricorio_(Pok%C3%A9mon)" TargetMode="External"/><Relationship Id="rId25" Type="http://schemas.openxmlformats.org/officeDocument/2006/relationships/hyperlink" Target="http://bulbapedia.bulbagarden.net/wiki/Boldore_(Pok%C3%A9mon)" TargetMode="External"/><Relationship Id="rId67" Type="http://schemas.openxmlformats.org/officeDocument/2006/relationships/hyperlink" Target="http://bulbapedia.bulbagarden.net/wiki/Snubbull_(Pok%C3%A9mon)" TargetMode="External"/><Relationship Id="rId272" Type="http://schemas.openxmlformats.org/officeDocument/2006/relationships/hyperlink" Target="http://bulbapedia.bulbagarden.net/wiki/Zubat_(Pok%C3%A9mon)" TargetMode="External"/><Relationship Id="rId328" Type="http://schemas.openxmlformats.org/officeDocument/2006/relationships/hyperlink" Target="http://bulbapedia.bulbagarden.net/wiki/Pichu_(Pok%C3%A9mon)" TargetMode="External"/><Relationship Id="rId535" Type="http://schemas.openxmlformats.org/officeDocument/2006/relationships/hyperlink" Target="http://bulbapedia.bulbagarden.net/wiki/Hoopa_(Pok%C3%A9mon)" TargetMode="External"/><Relationship Id="rId577" Type="http://schemas.openxmlformats.org/officeDocument/2006/relationships/hyperlink" Target="http://bulbapedia.bulbagarden.net/wiki/Rotom_(Pok%C3%A9mon)" TargetMode="External"/><Relationship Id="rId700" Type="http://schemas.openxmlformats.org/officeDocument/2006/relationships/hyperlink" Target="http://bulbapedia.bulbagarden.net/wiki/Garchomp_(Pok%C3%A9mon)" TargetMode="External"/><Relationship Id="rId742" Type="http://schemas.openxmlformats.org/officeDocument/2006/relationships/hyperlink" Target="http://bulbapedia.bulbagarden.net/wiki/Tornadus_(Pok%C3%A9mon)" TargetMode="External"/><Relationship Id="rId132" Type="http://schemas.openxmlformats.org/officeDocument/2006/relationships/hyperlink" Target="http://bulbapedia.bulbagarden.net/wiki/Exeggcute_(Pok%C3%A9mon)" TargetMode="External"/><Relationship Id="rId174" Type="http://schemas.openxmlformats.org/officeDocument/2006/relationships/hyperlink" Target="http://bulbapedia.bulbagarden.net/wiki/Vanillite_(Pok%C3%A9mon)" TargetMode="External"/><Relationship Id="rId381" Type="http://schemas.openxmlformats.org/officeDocument/2006/relationships/hyperlink" Target="http://bulbapedia.bulbagarden.net/wiki/Scizor_(Pok%C3%A9mon)" TargetMode="External"/><Relationship Id="rId602" Type="http://schemas.openxmlformats.org/officeDocument/2006/relationships/hyperlink" Target="http://bulbapedia.bulbagarden.net/wiki/Roserade_(Pok%C3%A9mon)" TargetMode="External"/><Relationship Id="rId784" Type="http://schemas.openxmlformats.org/officeDocument/2006/relationships/hyperlink" Target="http://bulbapedia.bulbagarden.net/wiki/Manectric_(Pok%C3%A9mon)" TargetMode="External"/><Relationship Id="rId241" Type="http://schemas.openxmlformats.org/officeDocument/2006/relationships/hyperlink" Target="http://bulbapedia.bulbagarden.net/wiki/Swablu_(Pok%C3%A9mon)" TargetMode="External"/><Relationship Id="rId437" Type="http://schemas.openxmlformats.org/officeDocument/2006/relationships/hyperlink" Target="http://bulbapedia.bulbagarden.net/wiki/Natu_(Pok%C3%A9mon)" TargetMode="External"/><Relationship Id="rId479" Type="http://schemas.openxmlformats.org/officeDocument/2006/relationships/hyperlink" Target="http://bulbapedia.bulbagarden.net/wiki/Kingler_(Pok%C3%A9mon)" TargetMode="External"/><Relationship Id="rId644" Type="http://schemas.openxmlformats.org/officeDocument/2006/relationships/hyperlink" Target="http://bulbapedia.bulbagarden.net/wiki/Darmanitan_(Pok%C3%A9mon)" TargetMode="External"/><Relationship Id="rId686" Type="http://schemas.openxmlformats.org/officeDocument/2006/relationships/hyperlink" Target="http://bulbapedia.bulbagarden.net/wiki/Staraptor_(Pok%C3%A9mon)" TargetMode="External"/><Relationship Id="rId851" Type="http://schemas.openxmlformats.org/officeDocument/2006/relationships/hyperlink" Target="http://bulbapedia.bulbagarden.net/wiki/Komala_(Pok%C3%A9mon)" TargetMode="External"/><Relationship Id="rId36" Type="http://schemas.openxmlformats.org/officeDocument/2006/relationships/hyperlink" Target="http://bulbapedia.bulbagarden.net/wiki/Paras_(Pok%C3%A9mon)" TargetMode="External"/><Relationship Id="rId283" Type="http://schemas.openxmlformats.org/officeDocument/2006/relationships/hyperlink" Target="http://bulbapedia.bulbagarden.net/wiki/Blissey_(Pok%C3%A9mon)" TargetMode="External"/><Relationship Id="rId339" Type="http://schemas.openxmlformats.org/officeDocument/2006/relationships/hyperlink" Target="http://bulbapedia.bulbagarden.net/wiki/Barboach_(Pok%C3%A9mon)" TargetMode="External"/><Relationship Id="rId490" Type="http://schemas.openxmlformats.org/officeDocument/2006/relationships/hyperlink" Target="http://bulbapedia.bulbagarden.net/wiki/Deerling_(Pok%C3%A9mon)" TargetMode="External"/><Relationship Id="rId504" Type="http://schemas.openxmlformats.org/officeDocument/2006/relationships/hyperlink" Target="http://bulbapedia.bulbagarden.net/wiki/Venusaur_(Pok%C3%A9mon)" TargetMode="External"/><Relationship Id="rId546" Type="http://schemas.openxmlformats.org/officeDocument/2006/relationships/hyperlink" Target="http://bulbapedia.bulbagarden.net/wiki/Gourgeist_(Pok%C3%A9mon)" TargetMode="External"/><Relationship Id="rId711" Type="http://schemas.openxmlformats.org/officeDocument/2006/relationships/hyperlink" Target="http://bulbapedia.bulbagarden.net/wiki/Sharpedo_(Pok%C3%A9mon)" TargetMode="External"/><Relationship Id="rId753" Type="http://schemas.openxmlformats.org/officeDocument/2006/relationships/hyperlink" Target="http://bulbapedia.bulbagarden.net/wiki/Raikou_(Pok%C3%A9mon)" TargetMode="External"/><Relationship Id="rId78" Type="http://schemas.openxmlformats.org/officeDocument/2006/relationships/hyperlink" Target="http://bulbapedia.bulbagarden.net/wiki/Abomasnow_(Pok%C3%A9mon)" TargetMode="External"/><Relationship Id="rId101" Type="http://schemas.openxmlformats.org/officeDocument/2006/relationships/hyperlink" Target="http://bulbapedia.bulbagarden.net/wiki/Cubone_(Pok%C3%A9mon)" TargetMode="External"/><Relationship Id="rId143" Type="http://schemas.openxmlformats.org/officeDocument/2006/relationships/hyperlink" Target="http://bulbapedia.bulbagarden.net/wiki/Nincada_(Pok%C3%A9mon)" TargetMode="External"/><Relationship Id="rId185" Type="http://schemas.openxmlformats.org/officeDocument/2006/relationships/hyperlink" Target="http://bulbapedia.bulbagarden.net/wiki/Marowak_(Pok%C3%A9mon)" TargetMode="External"/><Relationship Id="rId350" Type="http://schemas.openxmlformats.org/officeDocument/2006/relationships/hyperlink" Target="http://bulbapedia.bulbagarden.net/wiki/Maractus_(Pok%C3%A9mon)" TargetMode="External"/><Relationship Id="rId406" Type="http://schemas.openxmlformats.org/officeDocument/2006/relationships/hyperlink" Target="http://bulbapedia.bulbagarden.net/wiki/Joltik_(Pok%C3%A9mon)" TargetMode="External"/><Relationship Id="rId588" Type="http://schemas.openxmlformats.org/officeDocument/2006/relationships/hyperlink" Target="http://bulbapedia.bulbagarden.net/wiki/Abra_(Pok%C3%A9mon)" TargetMode="External"/><Relationship Id="rId795" Type="http://schemas.openxmlformats.org/officeDocument/2006/relationships/hyperlink" Target="http://bulbapedia.bulbagarden.net/wiki/Ninjask_(Pok%C3%A9mon)" TargetMode="External"/><Relationship Id="rId809" Type="http://schemas.openxmlformats.org/officeDocument/2006/relationships/hyperlink" Target="http://bulbapedia.bulbagarden.net/wiki/Toucannon_(Pok%C3%A9mon)" TargetMode="External"/><Relationship Id="rId9" Type="http://schemas.openxmlformats.org/officeDocument/2006/relationships/hyperlink" Target="http://bulbapedia.bulbagarden.net/wiki/Wooper_(Pok%C3%A9mon)" TargetMode="External"/><Relationship Id="rId210" Type="http://schemas.openxmlformats.org/officeDocument/2006/relationships/hyperlink" Target="http://bulbapedia.bulbagarden.net/wiki/Ditto_(Pok%C3%A9mon)" TargetMode="External"/><Relationship Id="rId392" Type="http://schemas.openxmlformats.org/officeDocument/2006/relationships/hyperlink" Target="http://bulbapedia.bulbagarden.net/wiki/Seviper_(Pok%C3%A9mon)" TargetMode="External"/><Relationship Id="rId448" Type="http://schemas.openxmlformats.org/officeDocument/2006/relationships/hyperlink" Target="http://bulbapedia.bulbagarden.net/wiki/Vibrava_(Pok%C3%A9mon)" TargetMode="External"/><Relationship Id="rId613" Type="http://schemas.openxmlformats.org/officeDocument/2006/relationships/hyperlink" Target="http://bulbapedia.bulbagarden.net/wiki/Murkrow_(Pok%C3%A9mon)" TargetMode="External"/><Relationship Id="rId655" Type="http://schemas.openxmlformats.org/officeDocument/2006/relationships/hyperlink" Target="http://bulbapedia.bulbagarden.net/wiki/Basculin_(Pok%C3%A9mon)" TargetMode="External"/><Relationship Id="rId697" Type="http://schemas.openxmlformats.org/officeDocument/2006/relationships/hyperlink" Target="http://bulbapedia.bulbagarden.net/wiki/Thundurus_(Pok%C3%A9mon)" TargetMode="External"/><Relationship Id="rId820" Type="http://schemas.openxmlformats.org/officeDocument/2006/relationships/hyperlink" Target="http://bulbapedia.bulbagarden.net/wiki/Rockruff_(Pok%C3%A9mon)" TargetMode="External"/><Relationship Id="rId862" Type="http://schemas.openxmlformats.org/officeDocument/2006/relationships/hyperlink" Target="http://bulbapedia.bulbagarden.net/wiki/Tapu_Lele_(Pok%C3%A9mon)" TargetMode="External"/><Relationship Id="rId252" Type="http://schemas.openxmlformats.org/officeDocument/2006/relationships/hyperlink" Target="http://bulbapedia.bulbagarden.net/wiki/Lickilicky_(Pok%C3%A9mon)" TargetMode="External"/><Relationship Id="rId294" Type="http://schemas.openxmlformats.org/officeDocument/2006/relationships/hyperlink" Target="http://bulbapedia.bulbagarden.net/wiki/Dwebble_(Pok%C3%A9mon)" TargetMode="External"/><Relationship Id="rId308" Type="http://schemas.openxmlformats.org/officeDocument/2006/relationships/hyperlink" Target="http://bulbapedia.bulbagarden.net/wiki/Bunnelby_(Pok%C3%A9mon)" TargetMode="External"/><Relationship Id="rId515" Type="http://schemas.openxmlformats.org/officeDocument/2006/relationships/hyperlink" Target="http://bulbapedia.bulbagarden.net/wiki/Shiftry_(Pok%C3%A9mon)" TargetMode="External"/><Relationship Id="rId722" Type="http://schemas.openxmlformats.org/officeDocument/2006/relationships/hyperlink" Target="http://bulbapedia.bulbagarden.net/wiki/Terrakion_(Pok%C3%A9mon)" TargetMode="External"/><Relationship Id="rId47" Type="http://schemas.openxmlformats.org/officeDocument/2006/relationships/hyperlink" Target="http://bulbapedia.bulbagarden.net/wiki/Honedge_(Pok%C3%A9mon)" TargetMode="External"/><Relationship Id="rId89" Type="http://schemas.openxmlformats.org/officeDocument/2006/relationships/hyperlink" Target="http://bulbapedia.bulbagarden.net/wiki/Bidoof_(Pok%C3%A9mon)" TargetMode="External"/><Relationship Id="rId112" Type="http://schemas.openxmlformats.org/officeDocument/2006/relationships/hyperlink" Target="http://bulbapedia.bulbagarden.net/wiki/Corphish_(Pok%C3%A9mon)" TargetMode="External"/><Relationship Id="rId154" Type="http://schemas.openxmlformats.org/officeDocument/2006/relationships/hyperlink" Target="http://bulbapedia.bulbagarden.net/wiki/Gurdurr_(Pok%C3%A9mon)" TargetMode="External"/><Relationship Id="rId361" Type="http://schemas.openxmlformats.org/officeDocument/2006/relationships/hyperlink" Target="http://bulbapedia.bulbagarden.net/wiki/Sylveon_(Pok%C3%A9mon)" TargetMode="External"/><Relationship Id="rId557" Type="http://schemas.openxmlformats.org/officeDocument/2006/relationships/hyperlink" Target="http://bulbapedia.bulbagarden.net/wiki/Gligar_(Pok%C3%A9mon)" TargetMode="External"/><Relationship Id="rId599" Type="http://schemas.openxmlformats.org/officeDocument/2006/relationships/hyperlink" Target="http://bulbapedia.bulbagarden.net/wiki/Groudon_(Pok%C3%A9mon)" TargetMode="External"/><Relationship Id="rId764" Type="http://schemas.openxmlformats.org/officeDocument/2006/relationships/hyperlink" Target="http://bulbapedia.bulbagarden.net/wiki/Alakazam_(Pok%C3%A9mon)" TargetMode="External"/><Relationship Id="rId196" Type="http://schemas.openxmlformats.org/officeDocument/2006/relationships/hyperlink" Target="http://bulbapedia.bulbagarden.net/wiki/Shinx_(Pok%C3%A9mon)" TargetMode="External"/><Relationship Id="rId417" Type="http://schemas.openxmlformats.org/officeDocument/2006/relationships/hyperlink" Target="http://bulbapedia.bulbagarden.net/wiki/Seaking_(Pok%C3%A9mon)" TargetMode="External"/><Relationship Id="rId459" Type="http://schemas.openxmlformats.org/officeDocument/2006/relationships/hyperlink" Target="http://bulbapedia.bulbagarden.net/wiki/Helioptile_(Pok%C3%A9mon)" TargetMode="External"/><Relationship Id="rId624" Type="http://schemas.openxmlformats.org/officeDocument/2006/relationships/hyperlink" Target="http://bulbapedia.bulbagarden.net/wiki/Primeape_(Pok%C3%A9mon)" TargetMode="External"/><Relationship Id="rId666" Type="http://schemas.openxmlformats.org/officeDocument/2006/relationships/hyperlink" Target="http://bulbapedia.bulbagarden.net/wiki/Ninetales_(Pok%C3%A9mon)" TargetMode="External"/><Relationship Id="rId831" Type="http://schemas.openxmlformats.org/officeDocument/2006/relationships/hyperlink" Target="http://bulbapedia.bulbagarden.net/wiki/Morelull_(Pok%C3%A9mon)" TargetMode="External"/><Relationship Id="rId873" Type="http://schemas.openxmlformats.org/officeDocument/2006/relationships/hyperlink" Target="http://bulbapedia.bulbagarden.net/wiki/Celesteela_(Pok%C3%A9mon)" TargetMode="External"/><Relationship Id="rId16" Type="http://schemas.openxmlformats.org/officeDocument/2006/relationships/hyperlink" Target="http://bulbapedia.bulbagarden.net/wiki/Geodude_(Pok%C3%A9mon)" TargetMode="External"/><Relationship Id="rId221" Type="http://schemas.openxmlformats.org/officeDocument/2006/relationships/hyperlink" Target="http://bulbapedia.bulbagarden.net/wiki/Krabby_(Pok%C3%A9mon)" TargetMode="External"/><Relationship Id="rId263" Type="http://schemas.openxmlformats.org/officeDocument/2006/relationships/hyperlink" Target="http://bulbapedia.bulbagarden.net/wiki/Pupitar_(Pok%C3%A9mon)" TargetMode="External"/><Relationship Id="rId319" Type="http://schemas.openxmlformats.org/officeDocument/2006/relationships/hyperlink" Target="http://bulbapedia.bulbagarden.net/wiki/Ivysaur_(Pok%C3%A9mon)" TargetMode="External"/><Relationship Id="rId470" Type="http://schemas.openxmlformats.org/officeDocument/2006/relationships/hyperlink" Target="http://bulbapedia.bulbagarden.net/wiki/Litleo_(Pok%C3%A9mon)" TargetMode="External"/><Relationship Id="rId526" Type="http://schemas.openxmlformats.org/officeDocument/2006/relationships/hyperlink" Target="http://bulbapedia.bulbagarden.net/wiki/Mamoswine_(Pok%C3%A9mon)" TargetMode="External"/><Relationship Id="rId58" Type="http://schemas.openxmlformats.org/officeDocument/2006/relationships/hyperlink" Target="http://bulbapedia.bulbagarden.net/wiki/Lickitung_(Pok%C3%A9mon)" TargetMode="External"/><Relationship Id="rId123" Type="http://schemas.openxmlformats.org/officeDocument/2006/relationships/hyperlink" Target="http://bulbapedia.bulbagarden.net/wiki/Wormadam_(Pok%C3%A9mon)" TargetMode="External"/><Relationship Id="rId330" Type="http://schemas.openxmlformats.org/officeDocument/2006/relationships/hyperlink" Target="http://bulbapedia.bulbagarden.net/wiki/Swampert_(Pok%C3%A9mon)" TargetMode="External"/><Relationship Id="rId568" Type="http://schemas.openxmlformats.org/officeDocument/2006/relationships/hyperlink" Target="http://bulbapedia.bulbagarden.net/wiki/Cherrim_(Pok%C3%A9mon)" TargetMode="External"/><Relationship Id="rId733" Type="http://schemas.openxmlformats.org/officeDocument/2006/relationships/hyperlink" Target="http://bulbapedia.bulbagarden.net/wiki/Metagross_(Pok%C3%A9mon)" TargetMode="External"/><Relationship Id="rId775" Type="http://schemas.openxmlformats.org/officeDocument/2006/relationships/hyperlink" Target="http://bulbapedia.bulbagarden.net/wiki/Talonflame_(Pok%C3%A9mon)" TargetMode="External"/><Relationship Id="rId165" Type="http://schemas.openxmlformats.org/officeDocument/2006/relationships/hyperlink" Target="http://bulbapedia.bulbagarden.net/wiki/Patrat_(Pok%C3%A9mon)" TargetMode="External"/><Relationship Id="rId372" Type="http://schemas.openxmlformats.org/officeDocument/2006/relationships/hyperlink" Target="http://bulbapedia.bulbagarden.net/wiki/Chesnaught_(Pok%C3%A9mon)" TargetMode="External"/><Relationship Id="rId428" Type="http://schemas.openxmlformats.org/officeDocument/2006/relationships/hyperlink" Target="http://bulbapedia.bulbagarden.net/wiki/Poliwrath_(Pok%C3%A9mon)" TargetMode="External"/><Relationship Id="rId635" Type="http://schemas.openxmlformats.org/officeDocument/2006/relationships/hyperlink" Target="http://bulbapedia.bulbagarden.net/wiki/Sharpedo_(Pok%C3%A9mon)" TargetMode="External"/><Relationship Id="rId677" Type="http://schemas.openxmlformats.org/officeDocument/2006/relationships/hyperlink" Target="http://bulbapedia.bulbagarden.net/wiki/Blaziken_(Pok%C3%A9mon)" TargetMode="External"/><Relationship Id="rId800" Type="http://schemas.openxmlformats.org/officeDocument/2006/relationships/hyperlink" Target="http://bulbapedia.bulbagarden.net/wiki/Dartrix_(Pok%C3%A9mon)" TargetMode="External"/><Relationship Id="rId842" Type="http://schemas.openxmlformats.org/officeDocument/2006/relationships/hyperlink" Target="http://bulbapedia.bulbagarden.net/wiki/Passimian_(Pok%C3%A9mon)" TargetMode="External"/><Relationship Id="rId232" Type="http://schemas.openxmlformats.org/officeDocument/2006/relationships/hyperlink" Target="http://bulbapedia.bulbagarden.net/wiki/Lombre_(Pok%C3%A9mon)" TargetMode="External"/><Relationship Id="rId274" Type="http://schemas.openxmlformats.org/officeDocument/2006/relationships/hyperlink" Target="http://bulbapedia.bulbagarden.net/wiki/Machamp_(Pok%C3%A9mon)" TargetMode="External"/><Relationship Id="rId481" Type="http://schemas.openxmlformats.org/officeDocument/2006/relationships/hyperlink" Target="http://bulbapedia.bulbagarden.net/wiki/Heracross_(Pok%C3%A9mon)" TargetMode="External"/><Relationship Id="rId702" Type="http://schemas.openxmlformats.org/officeDocument/2006/relationships/hyperlink" Target="http://bulbapedia.bulbagarden.net/wiki/Emolga_(Pok%C3%A9mon)" TargetMode="External"/><Relationship Id="rId27" Type="http://schemas.openxmlformats.org/officeDocument/2006/relationships/hyperlink" Target="http://bulbapedia.bulbagarden.net/wiki/Escavalier_(Pok%C3%A9mon)" TargetMode="External"/><Relationship Id="rId69" Type="http://schemas.openxmlformats.org/officeDocument/2006/relationships/hyperlink" Target="http://bulbapedia.bulbagarden.net/wiki/Lotad_(Pok%C3%A9mon)" TargetMode="External"/><Relationship Id="rId134" Type="http://schemas.openxmlformats.org/officeDocument/2006/relationships/hyperlink" Target="http://bulbapedia.bulbagarden.net/wiki/Porygon_(Pok%C3%A9mon)" TargetMode="External"/><Relationship Id="rId537" Type="http://schemas.openxmlformats.org/officeDocument/2006/relationships/hyperlink" Target="http://bulbapedia.bulbagarden.net/wiki/Gyarados_(Pok%C3%A9mon)" TargetMode="External"/><Relationship Id="rId579" Type="http://schemas.openxmlformats.org/officeDocument/2006/relationships/hyperlink" Target="http://bulbapedia.bulbagarden.net/wiki/Hitmonlee_(Pok%C3%A9mon)" TargetMode="External"/><Relationship Id="rId744" Type="http://schemas.openxmlformats.org/officeDocument/2006/relationships/hyperlink" Target="http://bulbapedia.bulbagarden.net/wiki/Purugly_(Pok%C3%A9mon)" TargetMode="External"/><Relationship Id="rId786" Type="http://schemas.openxmlformats.org/officeDocument/2006/relationships/hyperlink" Target="http://bulbapedia.bulbagarden.net/wiki/Electrode_(Pok%C3%A9mon)" TargetMode="External"/><Relationship Id="rId80" Type="http://schemas.openxmlformats.org/officeDocument/2006/relationships/hyperlink" Target="http://bulbapedia.bulbagarden.net/wiki/Yamask_(Pok%C3%A9mon)" TargetMode="External"/><Relationship Id="rId176" Type="http://schemas.openxmlformats.org/officeDocument/2006/relationships/hyperlink" Target="http://bulbapedia.bulbagarden.net/wiki/Clauncher_(Pok%C3%A9mon)" TargetMode="External"/><Relationship Id="rId341" Type="http://schemas.openxmlformats.org/officeDocument/2006/relationships/hyperlink" Target="http://bulbapedia.bulbagarden.net/wiki/Empoleon_(Pok%C3%A9mon)" TargetMode="External"/><Relationship Id="rId383" Type="http://schemas.openxmlformats.org/officeDocument/2006/relationships/hyperlink" Target="http://bulbapedia.bulbagarden.net/wiki/Houndour_(Pok%C3%A9mon)" TargetMode="External"/><Relationship Id="rId439" Type="http://schemas.openxmlformats.org/officeDocument/2006/relationships/hyperlink" Target="http://bulbapedia.bulbagarden.net/wiki/Mantine_(Pok%C3%A9mon)" TargetMode="External"/><Relationship Id="rId590" Type="http://schemas.openxmlformats.org/officeDocument/2006/relationships/hyperlink" Target="http://bulbapedia.bulbagarden.net/wiki/Kangaskhan_(Pok%C3%A9mon)" TargetMode="External"/><Relationship Id="rId604" Type="http://schemas.openxmlformats.org/officeDocument/2006/relationships/hyperlink" Target="http://bulbapedia.bulbagarden.net/wiki/Porygon-Z_(Pok%C3%A9mon)" TargetMode="External"/><Relationship Id="rId646" Type="http://schemas.openxmlformats.org/officeDocument/2006/relationships/hyperlink" Target="http://bulbapedia.bulbagarden.net/wiki/Kyurem_(Pok%C3%A9mon)" TargetMode="External"/><Relationship Id="rId811" Type="http://schemas.openxmlformats.org/officeDocument/2006/relationships/hyperlink" Target="http://bulbapedia.bulbagarden.net/wiki/Gumshoos_(Pok%C3%A9mon)" TargetMode="External"/><Relationship Id="rId201" Type="http://schemas.openxmlformats.org/officeDocument/2006/relationships/hyperlink" Target="http://bulbapedia.bulbagarden.net/wiki/Conkeldurr_(Pok%C3%A9mon)" TargetMode="External"/><Relationship Id="rId243" Type="http://schemas.openxmlformats.org/officeDocument/2006/relationships/hyperlink" Target="http://bulbapedia.bulbagarden.net/wiki/Bagon_(Pok%C3%A9mon)" TargetMode="External"/><Relationship Id="rId285" Type="http://schemas.openxmlformats.org/officeDocument/2006/relationships/hyperlink" Target="http://bulbapedia.bulbagarden.net/wiki/Swalot_(Pok%C3%A9mon)" TargetMode="External"/><Relationship Id="rId450" Type="http://schemas.openxmlformats.org/officeDocument/2006/relationships/hyperlink" Target="http://bulbapedia.bulbagarden.net/wiki/Solrock_(Pok%C3%A9mon)" TargetMode="External"/><Relationship Id="rId506" Type="http://schemas.openxmlformats.org/officeDocument/2006/relationships/hyperlink" Target="http://bulbapedia.bulbagarden.net/wiki/Arbok_(Pok%C3%A9mon)" TargetMode="External"/><Relationship Id="rId688" Type="http://schemas.openxmlformats.org/officeDocument/2006/relationships/hyperlink" Target="http://bulbapedia.bulbagarden.net/wiki/Regigigas_(Pok%C3%A9mon)" TargetMode="External"/><Relationship Id="rId853" Type="http://schemas.openxmlformats.org/officeDocument/2006/relationships/hyperlink" Target="http://bulbapedia.bulbagarden.net/wiki/Togedemaru_(Pok%C3%A9mon)" TargetMode="External"/><Relationship Id="rId38" Type="http://schemas.openxmlformats.org/officeDocument/2006/relationships/hyperlink" Target="http://bulbapedia.bulbagarden.net/wiki/Rhyhorn_(Pok%C3%A9mon)" TargetMode="External"/><Relationship Id="rId103" Type="http://schemas.openxmlformats.org/officeDocument/2006/relationships/hyperlink" Target="http://bulbapedia.bulbagarden.net/wiki/Omanyte_(Pok%C3%A9mon)" TargetMode="External"/><Relationship Id="rId310" Type="http://schemas.openxmlformats.org/officeDocument/2006/relationships/hyperlink" Target="http://bulbapedia.bulbagarden.net/wiki/Croconaw_(Pok%C3%A9mon)" TargetMode="External"/><Relationship Id="rId492" Type="http://schemas.openxmlformats.org/officeDocument/2006/relationships/hyperlink" Target="http://bulbapedia.bulbagarden.net/wiki/Klefki_(Pok%C3%A9mon)" TargetMode="External"/><Relationship Id="rId548" Type="http://schemas.openxmlformats.org/officeDocument/2006/relationships/hyperlink" Target="http://bulbapedia.bulbagarden.net/wiki/Golduck_(Pok%C3%A9mon)" TargetMode="External"/><Relationship Id="rId713" Type="http://schemas.openxmlformats.org/officeDocument/2006/relationships/hyperlink" Target="http://bulbapedia.bulbagarden.net/wiki/Mismagius_(Pok%C3%A9mon)" TargetMode="External"/><Relationship Id="rId755" Type="http://schemas.openxmlformats.org/officeDocument/2006/relationships/hyperlink" Target="http://bulbapedia.bulbagarden.net/wiki/Rayquaza_(Pok%C3%A9mon)" TargetMode="External"/><Relationship Id="rId797" Type="http://schemas.openxmlformats.org/officeDocument/2006/relationships/hyperlink" Target="http://bulbapedia.bulbagarden.net/wiki/Pumpkaboo_(Pok%C3%A9mon)" TargetMode="External"/><Relationship Id="rId91" Type="http://schemas.openxmlformats.org/officeDocument/2006/relationships/hyperlink" Target="http://bulbapedia.bulbagarden.net/wiki/Hippopotas_(Pok%C3%A9mon)" TargetMode="External"/><Relationship Id="rId145" Type="http://schemas.openxmlformats.org/officeDocument/2006/relationships/hyperlink" Target="http://bulbapedia.bulbagarden.net/wiki/Lairon_(Pok%C3%A9mon)" TargetMode="External"/><Relationship Id="rId187" Type="http://schemas.openxmlformats.org/officeDocument/2006/relationships/hyperlink" Target="http://bulbapedia.bulbagarden.net/wiki/Flaaffy_(Pok%C3%A9mon)" TargetMode="External"/><Relationship Id="rId352" Type="http://schemas.openxmlformats.org/officeDocument/2006/relationships/hyperlink" Target="http://bulbapedia.bulbagarden.net/wiki/Jellicent_(Pok%C3%A9mon)" TargetMode="External"/><Relationship Id="rId394" Type="http://schemas.openxmlformats.org/officeDocument/2006/relationships/hyperlink" Target="http://bulbapedia.bulbagarden.net/wiki/Chimecho_(Pok%C3%A9mon)" TargetMode="External"/><Relationship Id="rId408" Type="http://schemas.openxmlformats.org/officeDocument/2006/relationships/hyperlink" Target="http://bulbapedia.bulbagarden.net/wiki/Heatmor_(Pok%C3%A9mon)" TargetMode="External"/><Relationship Id="rId615" Type="http://schemas.openxmlformats.org/officeDocument/2006/relationships/hyperlink" Target="http://bulbapedia.bulbagarden.net/wiki/Lumineon_(Pok%C3%A9mon)" TargetMode="External"/><Relationship Id="rId822" Type="http://schemas.openxmlformats.org/officeDocument/2006/relationships/hyperlink" Target="http://bulbapedia.bulbagarden.net/wiki/Wishiwashi_(Pok%C3%A9mon)" TargetMode="External"/><Relationship Id="rId212" Type="http://schemas.openxmlformats.org/officeDocument/2006/relationships/hyperlink" Target="http://bulbapedia.bulbagarden.net/wiki/Loudred_(Pok%C3%A9mon)" TargetMode="External"/><Relationship Id="rId254" Type="http://schemas.openxmlformats.org/officeDocument/2006/relationships/hyperlink" Target="http://bulbapedia.bulbagarden.net/wiki/Audino_(Pok%C3%A9mon)" TargetMode="External"/><Relationship Id="rId657" Type="http://schemas.openxmlformats.org/officeDocument/2006/relationships/hyperlink" Target="http://bulbapedia.bulbagarden.net/wiki/Hydreigon_(Pok%C3%A9mon)" TargetMode="External"/><Relationship Id="rId699" Type="http://schemas.openxmlformats.org/officeDocument/2006/relationships/hyperlink" Target="http://bulbapedia.bulbagarden.net/wiki/Dedenne_(Pok%C3%A9mon)" TargetMode="External"/><Relationship Id="rId864" Type="http://schemas.openxmlformats.org/officeDocument/2006/relationships/hyperlink" Target="http://bulbapedia.bulbagarden.net/wiki/Tapu_Fini_(Pok%C3%A9mon)" TargetMode="External"/><Relationship Id="rId49" Type="http://schemas.openxmlformats.org/officeDocument/2006/relationships/hyperlink" Target="http://bulbapedia.bulbagarden.net/wiki/Avalugg_(Pok%C3%A9mon)" TargetMode="External"/><Relationship Id="rId114" Type="http://schemas.openxmlformats.org/officeDocument/2006/relationships/hyperlink" Target="http://bulbapedia.bulbagarden.net/wiki/Spiritomb_(Pok%C3%A9mon)" TargetMode="External"/><Relationship Id="rId296" Type="http://schemas.openxmlformats.org/officeDocument/2006/relationships/hyperlink" Target="http://bulbapedia.bulbagarden.net/wiki/Ducklett_(Pok%C3%A9mon)" TargetMode="External"/><Relationship Id="rId461" Type="http://schemas.openxmlformats.org/officeDocument/2006/relationships/hyperlink" Target="http://bulbapedia.bulbagarden.net/wiki/Volcanion_(Pok%C3%A9mon)" TargetMode="External"/><Relationship Id="rId517" Type="http://schemas.openxmlformats.org/officeDocument/2006/relationships/hyperlink" Target="http://bulbapedia.bulbagarden.net/wiki/Medicham_(Pok%C3%A9mon)" TargetMode="External"/><Relationship Id="rId559" Type="http://schemas.openxmlformats.org/officeDocument/2006/relationships/hyperlink" Target="http://bulbapedia.bulbagarden.net/wiki/Heracross_(Pok%C3%A9mon)" TargetMode="External"/><Relationship Id="rId724" Type="http://schemas.openxmlformats.org/officeDocument/2006/relationships/hyperlink" Target="http://bulbapedia.bulbagarden.net/wiki/Keldeo_(Pok%C3%A9mon)" TargetMode="External"/><Relationship Id="rId766" Type="http://schemas.openxmlformats.org/officeDocument/2006/relationships/hyperlink" Target="http://bulbapedia.bulbagarden.net/wiki/Salamence_(Pok%C3%A9mon)" TargetMode="External"/><Relationship Id="rId60" Type="http://schemas.openxmlformats.org/officeDocument/2006/relationships/hyperlink" Target="http://bulbapedia.bulbagarden.net/wiki/Spinarak_(Pok%C3%A9mon)" TargetMode="External"/><Relationship Id="rId156" Type="http://schemas.openxmlformats.org/officeDocument/2006/relationships/hyperlink" Target="http://bulbapedia.bulbagarden.net/wiki/Eelektrik_(Pok%C3%A9mon)" TargetMode="External"/><Relationship Id="rId198" Type="http://schemas.openxmlformats.org/officeDocument/2006/relationships/hyperlink" Target="http://bulbapedia.bulbagarden.net/wiki/Dusknoir_(Pok%C3%A9mon)" TargetMode="External"/><Relationship Id="rId321" Type="http://schemas.openxmlformats.org/officeDocument/2006/relationships/hyperlink" Target="http://bulbapedia.bulbagarden.net/wiki/Growlithe_(Pok%C3%A9mon)" TargetMode="External"/><Relationship Id="rId363" Type="http://schemas.openxmlformats.org/officeDocument/2006/relationships/hyperlink" Target="http://bulbapedia.bulbagarden.net/wiki/Tyranitar_(Pok%C3%A9mon)" TargetMode="External"/><Relationship Id="rId419" Type="http://schemas.openxmlformats.org/officeDocument/2006/relationships/hyperlink" Target="http://bulbapedia.bulbagarden.net/wiki/Drilbur_(Pok%C3%A9mon)" TargetMode="External"/><Relationship Id="rId570" Type="http://schemas.openxmlformats.org/officeDocument/2006/relationships/hyperlink" Target="http://bulbapedia.bulbagarden.net/wiki/Glameow_(Pok%C3%A9mon)" TargetMode="External"/><Relationship Id="rId626" Type="http://schemas.openxmlformats.org/officeDocument/2006/relationships/hyperlink" Target="http://bulbapedia.bulbagarden.net/wiki/Haunter_(Pok%C3%A9mon)" TargetMode="External"/><Relationship Id="rId223" Type="http://schemas.openxmlformats.org/officeDocument/2006/relationships/hyperlink" Target="http://bulbapedia.bulbagarden.net/wiki/Dratini_(Pok%C3%A9mon)" TargetMode="External"/><Relationship Id="rId430" Type="http://schemas.openxmlformats.org/officeDocument/2006/relationships/hyperlink" Target="http://bulbapedia.bulbagarden.net/wiki/Tentacool_(Pok%C3%A9mon)" TargetMode="External"/><Relationship Id="rId668" Type="http://schemas.openxmlformats.org/officeDocument/2006/relationships/hyperlink" Target="http://bulbapedia.bulbagarden.net/wiki/Dodrio_(Pok%C3%A9mon)" TargetMode="External"/><Relationship Id="rId833" Type="http://schemas.openxmlformats.org/officeDocument/2006/relationships/hyperlink" Target="http://bulbapedia.bulbagarden.net/wiki/Salandit_(Pok%C3%A9mon)" TargetMode="External"/><Relationship Id="rId875" Type="http://schemas.openxmlformats.org/officeDocument/2006/relationships/hyperlink" Target="http://bulbapedia.bulbagarden.net/wiki/Guzzlord_(Pok%C3%A9mon)" TargetMode="External"/><Relationship Id="rId18" Type="http://schemas.openxmlformats.org/officeDocument/2006/relationships/hyperlink" Target="http://bulbapedia.bulbagarden.net/wiki/Togepi_(Pok%C3%A9mon)" TargetMode="External"/><Relationship Id="rId265" Type="http://schemas.openxmlformats.org/officeDocument/2006/relationships/hyperlink" Target="http://bulbapedia.bulbagarden.net/wiki/Pumpkaboo_(Pok%C3%A9mon)" TargetMode="External"/><Relationship Id="rId472" Type="http://schemas.openxmlformats.org/officeDocument/2006/relationships/hyperlink" Target="http://bulbapedia.bulbagarden.net/wiki/Braixen_(Pok%C3%A9mon)" TargetMode="External"/><Relationship Id="rId528" Type="http://schemas.openxmlformats.org/officeDocument/2006/relationships/hyperlink" Target="http://bulbapedia.bulbagarden.net/wiki/Mesprit_(Pok%C3%A9mon)" TargetMode="External"/><Relationship Id="rId735" Type="http://schemas.openxmlformats.org/officeDocument/2006/relationships/hyperlink" Target="http://bulbapedia.bulbagarden.net/wiki/Latias_(Pok%C3%A9mon)" TargetMode="External"/><Relationship Id="rId125" Type="http://schemas.openxmlformats.org/officeDocument/2006/relationships/hyperlink" Target="http://bulbapedia.bulbagarden.net/wiki/Chespin_(Pok%C3%A9mon)" TargetMode="External"/><Relationship Id="rId167" Type="http://schemas.openxmlformats.org/officeDocument/2006/relationships/hyperlink" Target="http://bulbapedia.bulbagarden.net/wiki/Swadloon_(Pok%C3%A9mon)" TargetMode="External"/><Relationship Id="rId332" Type="http://schemas.openxmlformats.org/officeDocument/2006/relationships/hyperlink" Target="http://bulbapedia.bulbagarden.net/wiki/Nuzleaf_(Pok%C3%A9mon)" TargetMode="External"/><Relationship Id="rId374" Type="http://schemas.openxmlformats.org/officeDocument/2006/relationships/hyperlink" Target="http://bulbapedia.bulbagarden.net/wiki/Sandslash_(Pok%C3%A9mon)" TargetMode="External"/><Relationship Id="rId581" Type="http://schemas.openxmlformats.org/officeDocument/2006/relationships/hyperlink" Target="http://bulbapedia.bulbagarden.net/wiki/Vivillon_(Pok%C3%A9mon)" TargetMode="External"/><Relationship Id="rId777" Type="http://schemas.openxmlformats.org/officeDocument/2006/relationships/hyperlink" Target="http://bulbapedia.bulbagarden.net/wiki/Meloetta_(Pok%C3%A9mon)" TargetMode="External"/><Relationship Id="rId71" Type="http://schemas.openxmlformats.org/officeDocument/2006/relationships/hyperlink" Target="http://bulbapedia.bulbagarden.net/wiki/Slakoth_(Pok%C3%A9mon)" TargetMode="External"/><Relationship Id="rId234" Type="http://schemas.openxmlformats.org/officeDocument/2006/relationships/hyperlink" Target="http://bulbapedia.bulbagarden.net/wiki/Hariyama_(Pok%C3%A9mon)" TargetMode="External"/><Relationship Id="rId637" Type="http://schemas.openxmlformats.org/officeDocument/2006/relationships/hyperlink" Target="http://bulbapedia.bulbagarden.net/wiki/Pachirisu_(Pok%C3%A9mon)" TargetMode="External"/><Relationship Id="rId679" Type="http://schemas.openxmlformats.org/officeDocument/2006/relationships/hyperlink" Target="http://bulbapedia.bulbagarden.net/wiki/Gardevoir_(Pok%C3%A9mon)" TargetMode="External"/><Relationship Id="rId802" Type="http://schemas.openxmlformats.org/officeDocument/2006/relationships/hyperlink" Target="http://bulbapedia.bulbagarden.net/wiki/Torracat_(Pok%C3%A9mon)" TargetMode="External"/><Relationship Id="rId844" Type="http://schemas.openxmlformats.org/officeDocument/2006/relationships/hyperlink" Target="http://bulbapedia.bulbagarden.net/wiki/Golisopod_(Pok%C3%A9mon)" TargetMode="External"/><Relationship Id="rId2" Type="http://schemas.openxmlformats.org/officeDocument/2006/relationships/hyperlink" Target="http://bulbapedia.bulbagarden.net/wiki/Munchlax_(Pok%C3%A9mon)" TargetMode="External"/><Relationship Id="rId29" Type="http://schemas.openxmlformats.org/officeDocument/2006/relationships/hyperlink" Target="http://bulbapedia.bulbagarden.net/wiki/Litwick_(Pok%C3%A9mon)" TargetMode="External"/><Relationship Id="rId276" Type="http://schemas.openxmlformats.org/officeDocument/2006/relationships/hyperlink" Target="http://bulbapedia.bulbagarden.net/wiki/Exeggutor_(Pok%C3%A9mon)" TargetMode="External"/><Relationship Id="rId441" Type="http://schemas.openxmlformats.org/officeDocument/2006/relationships/hyperlink" Target="http://bulbapedia.bulbagarden.net/wiki/Hitmontop_(Pok%C3%A9mon)" TargetMode="External"/><Relationship Id="rId483" Type="http://schemas.openxmlformats.org/officeDocument/2006/relationships/hyperlink" Target="http://bulbapedia.bulbagarden.net/wiki/Smeargle_(Pok%C3%A9mon)" TargetMode="External"/><Relationship Id="rId539" Type="http://schemas.openxmlformats.org/officeDocument/2006/relationships/hyperlink" Target="http://bulbapedia.bulbagarden.net/wiki/Monferno_(Pok%C3%A9mon)" TargetMode="External"/><Relationship Id="rId690" Type="http://schemas.openxmlformats.org/officeDocument/2006/relationships/hyperlink" Target="http://bulbapedia.bulbagarden.net/wiki/Shaymin_(Pok%C3%A9mon)" TargetMode="External"/><Relationship Id="rId704" Type="http://schemas.openxmlformats.org/officeDocument/2006/relationships/hyperlink" Target="http://bulbapedia.bulbagarden.net/wiki/Meowstic_(Pok%C3%A9mon)" TargetMode="External"/><Relationship Id="rId746" Type="http://schemas.openxmlformats.org/officeDocument/2006/relationships/hyperlink" Target="http://bulbapedia.bulbagarden.net/wiki/Scolipede_(Pok%C3%A9mon)" TargetMode="External"/><Relationship Id="rId40" Type="http://schemas.openxmlformats.org/officeDocument/2006/relationships/hyperlink" Target="http://bulbapedia.bulbagarden.net/wiki/Duskull_(Pok%C3%A9mon)" TargetMode="External"/><Relationship Id="rId136" Type="http://schemas.openxmlformats.org/officeDocument/2006/relationships/hyperlink" Target="http://bulbapedia.bulbagarden.net/wiki/Togetic_(Pok%C3%A9mon)" TargetMode="External"/><Relationship Id="rId178" Type="http://schemas.openxmlformats.org/officeDocument/2006/relationships/hyperlink" Target="http://bulbapedia.bulbagarden.net/wiki/Caterpie_(Pok%C3%A9mon)" TargetMode="External"/><Relationship Id="rId301" Type="http://schemas.openxmlformats.org/officeDocument/2006/relationships/hyperlink" Target="http://bulbapedia.bulbagarden.net/wiki/Pidgey_(Pok%C3%A9mon)" TargetMode="External"/><Relationship Id="rId343" Type="http://schemas.openxmlformats.org/officeDocument/2006/relationships/hyperlink" Target="http://bulbapedia.bulbagarden.net/wiki/Luxio_(Pok%C3%A9mon)" TargetMode="External"/><Relationship Id="rId550" Type="http://schemas.openxmlformats.org/officeDocument/2006/relationships/hyperlink" Target="http://bulbapedia.bulbagarden.net/wiki/Staryu_(Pok%C3%A9mon)" TargetMode="External"/><Relationship Id="rId788" Type="http://schemas.openxmlformats.org/officeDocument/2006/relationships/hyperlink" Target="http://bulbapedia.bulbagarden.net/wiki/Beedrill_(Pok%C3%A9mon)" TargetMode="External"/><Relationship Id="rId82" Type="http://schemas.openxmlformats.org/officeDocument/2006/relationships/hyperlink" Target="http://bulbapedia.bulbagarden.net/wiki/Duosion_(Pok%C3%A9mon)" TargetMode="External"/><Relationship Id="rId203" Type="http://schemas.openxmlformats.org/officeDocument/2006/relationships/hyperlink" Target="http://bulbapedia.bulbagarden.net/wiki/Crustle_(Pok%C3%A9mon)" TargetMode="External"/><Relationship Id="rId385" Type="http://schemas.openxmlformats.org/officeDocument/2006/relationships/hyperlink" Target="http://bulbapedia.bulbagarden.net/wiki/Beautifly_(Pok%C3%A9mon)" TargetMode="External"/><Relationship Id="rId592" Type="http://schemas.openxmlformats.org/officeDocument/2006/relationships/hyperlink" Target="http://bulbapedia.bulbagarden.net/wiki/Moltres_(Pok%C3%A9mon)" TargetMode="External"/><Relationship Id="rId606" Type="http://schemas.openxmlformats.org/officeDocument/2006/relationships/hyperlink" Target="http://bulbapedia.bulbagarden.net/wiki/Giratina_(Pok%C3%A9mon)" TargetMode="External"/><Relationship Id="rId648" Type="http://schemas.openxmlformats.org/officeDocument/2006/relationships/hyperlink" Target="http://bulbapedia.bulbagarden.net/wiki/Kyurem_(Pok%C3%A9mon)" TargetMode="External"/><Relationship Id="rId813" Type="http://schemas.openxmlformats.org/officeDocument/2006/relationships/hyperlink" Target="http://bulbapedia.bulbagarden.net/wiki/Charjabug_(Pok%C3%A9mon)" TargetMode="External"/><Relationship Id="rId855" Type="http://schemas.openxmlformats.org/officeDocument/2006/relationships/hyperlink" Target="http://bulbapedia.bulbagarden.net/wiki/Bruxish_(Pok%C3%A9mon)" TargetMode="External"/><Relationship Id="rId245" Type="http://schemas.openxmlformats.org/officeDocument/2006/relationships/hyperlink" Target="http://bulbapedia.bulbagarden.net/wiki/Metang_(Pok%C3%A9mon)" TargetMode="External"/><Relationship Id="rId287" Type="http://schemas.openxmlformats.org/officeDocument/2006/relationships/hyperlink" Target="http://bulbapedia.bulbagarden.net/wiki/Crawdaunt_(Pok%C3%A9mon)" TargetMode="External"/><Relationship Id="rId410" Type="http://schemas.openxmlformats.org/officeDocument/2006/relationships/hyperlink" Target="http://bulbapedia.bulbagarden.net/wiki/Finneon_(Pok%C3%A9mon)" TargetMode="External"/><Relationship Id="rId452" Type="http://schemas.openxmlformats.org/officeDocument/2006/relationships/hyperlink" Target="http://bulbapedia.bulbagarden.net/wiki/Metagross_(Pok%C3%A9mon)" TargetMode="External"/><Relationship Id="rId494" Type="http://schemas.openxmlformats.org/officeDocument/2006/relationships/hyperlink" Target="http://bulbapedia.bulbagarden.net/wiki/Hitmonchan_(Pok%C3%A9mon)" TargetMode="External"/><Relationship Id="rId508" Type="http://schemas.openxmlformats.org/officeDocument/2006/relationships/hyperlink" Target="http://bulbapedia.bulbagarden.net/wiki/Magikarp_(Pok%C3%A9mon)" TargetMode="External"/><Relationship Id="rId715" Type="http://schemas.openxmlformats.org/officeDocument/2006/relationships/hyperlink" Target="http://bulbapedia.bulbagarden.net/wiki/Cryogonal_(Pok%C3%A9mon)" TargetMode="External"/><Relationship Id="rId105" Type="http://schemas.openxmlformats.org/officeDocument/2006/relationships/hyperlink" Target="http://bulbapedia.bulbagarden.net/wiki/Quagsire_(Pok%C3%A9mon)" TargetMode="External"/><Relationship Id="rId147" Type="http://schemas.openxmlformats.org/officeDocument/2006/relationships/hyperlink" Target="http://bulbapedia.bulbagarden.net/wiki/Camerupt_(Pok%C3%A9mon)" TargetMode="External"/><Relationship Id="rId312" Type="http://schemas.openxmlformats.org/officeDocument/2006/relationships/hyperlink" Target="http://bulbapedia.bulbagarden.net/wiki/Rampardos_(Pok%C3%A9mon)" TargetMode="External"/><Relationship Id="rId354" Type="http://schemas.openxmlformats.org/officeDocument/2006/relationships/hyperlink" Target="http://bulbapedia.bulbagarden.net/wiki/Pawniard_(Pok%C3%A9mon)" TargetMode="External"/><Relationship Id="rId757" Type="http://schemas.openxmlformats.org/officeDocument/2006/relationships/hyperlink" Target="http://bulbapedia.bulbagarden.net/wiki/Ambipom_(Pok%C3%A9mon)" TargetMode="External"/><Relationship Id="rId799" Type="http://schemas.openxmlformats.org/officeDocument/2006/relationships/hyperlink" Target="http://bulbapedia.bulbagarden.net/wiki/Rowlet_(Pok%C3%A9mon)" TargetMode="External"/><Relationship Id="rId51" Type="http://schemas.openxmlformats.org/officeDocument/2006/relationships/hyperlink" Target="http://bulbapedia.bulbagarden.net/wiki/Spewpa_(Pok%C3%A9mon)" TargetMode="External"/><Relationship Id="rId93" Type="http://schemas.openxmlformats.org/officeDocument/2006/relationships/hyperlink" Target="http://bulbapedia.bulbagarden.net/wiki/Stunfisk_(Pok%C3%A9mon)" TargetMode="External"/><Relationship Id="rId189" Type="http://schemas.openxmlformats.org/officeDocument/2006/relationships/hyperlink" Target="http://bulbapedia.bulbagarden.net/wiki/Dunsparce_(Pok%C3%A9mon)" TargetMode="External"/><Relationship Id="rId396" Type="http://schemas.openxmlformats.org/officeDocument/2006/relationships/hyperlink" Target="http://bulbapedia.bulbagarden.net/wiki/Kricketune_(Pok%C3%A9mon)" TargetMode="External"/><Relationship Id="rId561" Type="http://schemas.openxmlformats.org/officeDocument/2006/relationships/hyperlink" Target="http://bulbapedia.bulbagarden.net/wiki/Stantler_(Pok%C3%A9mon)" TargetMode="External"/><Relationship Id="rId617" Type="http://schemas.openxmlformats.org/officeDocument/2006/relationships/hyperlink" Target="http://bulbapedia.bulbagarden.net/wiki/Landorus_(Pok%C3%A9mon)" TargetMode="External"/><Relationship Id="rId659" Type="http://schemas.openxmlformats.org/officeDocument/2006/relationships/hyperlink" Target="http://bulbapedia.bulbagarden.net/wiki/Gourgeist_(Pok%C3%A9mon)" TargetMode="External"/><Relationship Id="rId824" Type="http://schemas.openxmlformats.org/officeDocument/2006/relationships/hyperlink" Target="http://bulbapedia.bulbagarden.net/wiki/Toxapex_(Pok%C3%A9mon)" TargetMode="External"/><Relationship Id="rId866" Type="http://schemas.openxmlformats.org/officeDocument/2006/relationships/hyperlink" Target="http://bulbapedia.bulbagarden.net/wiki/Cosmoem_(Pok%C3%A9mon)" TargetMode="External"/><Relationship Id="rId214" Type="http://schemas.openxmlformats.org/officeDocument/2006/relationships/hyperlink" Target="http://bulbapedia.bulbagarden.net/wiki/Druddigon_(Pok%C3%A9mon)" TargetMode="External"/><Relationship Id="rId256" Type="http://schemas.openxmlformats.org/officeDocument/2006/relationships/hyperlink" Target="http://bulbapedia.bulbagarden.net/wiki/Darumaka_(Pok%C3%A9mon)" TargetMode="External"/><Relationship Id="rId298" Type="http://schemas.openxmlformats.org/officeDocument/2006/relationships/hyperlink" Target="http://bulbapedia.bulbagarden.net/wiki/Golurk_(Pok%C3%A9mon)" TargetMode="External"/><Relationship Id="rId421" Type="http://schemas.openxmlformats.org/officeDocument/2006/relationships/hyperlink" Target="http://bulbapedia.bulbagarden.net/wiki/Espurr_(Pok%C3%A9mon)" TargetMode="External"/><Relationship Id="rId463" Type="http://schemas.openxmlformats.org/officeDocument/2006/relationships/hyperlink" Target="http://bulbapedia.bulbagarden.net/wiki/Tyranitar_(Pok%C3%A9mon)" TargetMode="External"/><Relationship Id="rId519" Type="http://schemas.openxmlformats.org/officeDocument/2006/relationships/hyperlink" Target="http://bulbapedia.bulbagarden.net/wiki/Altaria_(Pok%C3%A9mon)" TargetMode="External"/><Relationship Id="rId670" Type="http://schemas.openxmlformats.org/officeDocument/2006/relationships/hyperlink" Target="http://bulbapedia.bulbagarden.net/wiki/Kangaskhan_(Pok%C3%A9mon)" TargetMode="External"/><Relationship Id="rId116" Type="http://schemas.openxmlformats.org/officeDocument/2006/relationships/hyperlink" Target="http://bulbapedia.bulbagarden.net/wiki/Golett_(Pok%C3%A9mon)" TargetMode="External"/><Relationship Id="rId158" Type="http://schemas.openxmlformats.org/officeDocument/2006/relationships/hyperlink" Target="http://bulbapedia.bulbagarden.net/wiki/Cubchoo_(Pok%C3%A9mon)" TargetMode="External"/><Relationship Id="rId323" Type="http://schemas.openxmlformats.org/officeDocument/2006/relationships/hyperlink" Target="http://bulbapedia.bulbagarden.net/wiki/Weezing_(Pok%C3%A9mon)" TargetMode="External"/><Relationship Id="rId530" Type="http://schemas.openxmlformats.org/officeDocument/2006/relationships/hyperlink" Target="http://bulbapedia.bulbagarden.net/wiki/Stoutland_(Pok%C3%A9mon)" TargetMode="External"/><Relationship Id="rId726" Type="http://schemas.openxmlformats.org/officeDocument/2006/relationships/hyperlink" Target="http://bulbapedia.bulbagarden.net/wiki/Heliolisk_(Pok%C3%A9mon)" TargetMode="External"/><Relationship Id="rId768" Type="http://schemas.openxmlformats.org/officeDocument/2006/relationships/hyperlink" Target="http://bulbapedia.bulbagarden.net/wiki/Pidgeot_(Pok%C3%A9mon)" TargetMode="External"/><Relationship Id="rId20" Type="http://schemas.openxmlformats.org/officeDocument/2006/relationships/hyperlink" Target="http://bulbapedia.bulbagarden.net/wiki/Wurmple_(Pok%C3%A9mon)" TargetMode="External"/><Relationship Id="rId62" Type="http://schemas.openxmlformats.org/officeDocument/2006/relationships/hyperlink" Target="http://bulbapedia.bulbagarden.net/wiki/Sunkern_(Pok%C3%A9mon)" TargetMode="External"/><Relationship Id="rId365" Type="http://schemas.openxmlformats.org/officeDocument/2006/relationships/hyperlink" Target="http://bulbapedia.bulbagarden.net/wiki/Fletchling_(Pok%C3%A9mon)" TargetMode="External"/><Relationship Id="rId572" Type="http://schemas.openxmlformats.org/officeDocument/2006/relationships/hyperlink" Target="http://bulbapedia.bulbagarden.net/wiki/Cresselia_(Pok%C3%A9mon)" TargetMode="External"/><Relationship Id="rId628" Type="http://schemas.openxmlformats.org/officeDocument/2006/relationships/hyperlink" Target="http://bulbapedia.bulbagarden.net/wiki/Xatu_(Pok%C3%A9mon)" TargetMode="External"/><Relationship Id="rId835" Type="http://schemas.openxmlformats.org/officeDocument/2006/relationships/hyperlink" Target="http://bulbapedia.bulbagarden.net/wiki/Stufful_(Pok%C3%A9mon)" TargetMode="External"/><Relationship Id="rId225" Type="http://schemas.openxmlformats.org/officeDocument/2006/relationships/hyperlink" Target="http://bulbapedia.bulbagarden.net/wiki/Bellossom_(Pok%C3%A9mon)" TargetMode="External"/><Relationship Id="rId267" Type="http://schemas.openxmlformats.org/officeDocument/2006/relationships/hyperlink" Target="http://bulbapedia.bulbagarden.net/wiki/Gorebyss_(Pok%C3%A9mon)" TargetMode="External"/><Relationship Id="rId432" Type="http://schemas.openxmlformats.org/officeDocument/2006/relationships/hyperlink" Target="http://bulbapedia.bulbagarden.net/wiki/Dewgong_(Pok%C3%A9mon)" TargetMode="External"/><Relationship Id="rId474" Type="http://schemas.openxmlformats.org/officeDocument/2006/relationships/hyperlink" Target="http://bulbapedia.bulbagarden.net/wiki/Stunky_(Pok%C3%A9mon)" TargetMode="External"/><Relationship Id="rId877" Type="http://schemas.openxmlformats.org/officeDocument/2006/relationships/hyperlink" Target="http://bulbapedia.bulbagarden.net/wiki/Magearna_(Pok%C3%A9mon)" TargetMode="External"/><Relationship Id="rId127" Type="http://schemas.openxmlformats.org/officeDocument/2006/relationships/hyperlink" Target="http://bulbapedia.bulbagarden.net/wiki/Gastrodon_(Pok%C3%A9mon)" TargetMode="External"/><Relationship Id="rId681" Type="http://schemas.openxmlformats.org/officeDocument/2006/relationships/hyperlink" Target="http://bulbapedia.bulbagarden.net/wiki/Medicham_(Pok%C3%A9mon)" TargetMode="External"/><Relationship Id="rId737" Type="http://schemas.openxmlformats.org/officeDocument/2006/relationships/hyperlink" Target="http://bulbapedia.bulbagarden.net/wiki/Latios_(Pok%C3%A9mon)" TargetMode="External"/><Relationship Id="rId779" Type="http://schemas.openxmlformats.org/officeDocument/2006/relationships/hyperlink" Target="http://bulbapedia.bulbagarden.net/wiki/Jolteon_(Pok%C3%A9mon)" TargetMode="External"/><Relationship Id="rId31" Type="http://schemas.openxmlformats.org/officeDocument/2006/relationships/hyperlink" Target="http://bulbapedia.bulbagarden.net/wiki/Lileep_(Pok%C3%A9mon)" TargetMode="External"/><Relationship Id="rId73" Type="http://schemas.openxmlformats.org/officeDocument/2006/relationships/hyperlink" Target="http://bulbapedia.bulbagarden.net/wiki/Aron_(Pok%C3%A9mon)" TargetMode="External"/><Relationship Id="rId169" Type="http://schemas.openxmlformats.org/officeDocument/2006/relationships/hyperlink" Target="http://bulbapedia.bulbagarden.net/wiki/Squirtle_(Pok%C3%A9mon)" TargetMode="External"/><Relationship Id="rId334" Type="http://schemas.openxmlformats.org/officeDocument/2006/relationships/hyperlink" Target="http://bulbapedia.bulbagarden.net/wiki/Meditite_(Pok%C3%A9mon)" TargetMode="External"/><Relationship Id="rId376" Type="http://schemas.openxmlformats.org/officeDocument/2006/relationships/hyperlink" Target="http://bulbapedia.bulbagarden.net/wiki/Vulpix_(Pok%C3%A9mon)" TargetMode="External"/><Relationship Id="rId541" Type="http://schemas.openxmlformats.org/officeDocument/2006/relationships/hyperlink" Target="http://bulbapedia.bulbagarden.net/wiki/Magby_(Pok%C3%A9mon)" TargetMode="External"/><Relationship Id="rId583" Type="http://schemas.openxmlformats.org/officeDocument/2006/relationships/hyperlink" Target="http://bulbapedia.bulbagarden.net/wiki/Golbat_(Pok%C3%A9mon)" TargetMode="External"/><Relationship Id="rId639" Type="http://schemas.openxmlformats.org/officeDocument/2006/relationships/hyperlink" Target="http://bulbapedia.bulbagarden.net/wiki/Electivire_(Pok%C3%A9mon)" TargetMode="External"/><Relationship Id="rId790" Type="http://schemas.openxmlformats.org/officeDocument/2006/relationships/hyperlink" Target="http://bulbapedia.bulbagarden.net/wiki/Accelgor_(Pok%C3%A9mon)" TargetMode="External"/><Relationship Id="rId804" Type="http://schemas.openxmlformats.org/officeDocument/2006/relationships/hyperlink" Target="http://bulbapedia.bulbagarden.net/wiki/Popplio_(Pok%C3%A9mon)" TargetMode="External"/><Relationship Id="rId4" Type="http://schemas.openxmlformats.org/officeDocument/2006/relationships/hyperlink" Target="http://bulbapedia.bulbagarden.net/wiki/Bonsly_(Pok%C3%A9mon)" TargetMode="External"/><Relationship Id="rId180" Type="http://schemas.openxmlformats.org/officeDocument/2006/relationships/hyperlink" Target="http://bulbapedia.bulbagarden.net/wiki/Venonat_(Pok%C3%A9mon)" TargetMode="External"/><Relationship Id="rId236" Type="http://schemas.openxmlformats.org/officeDocument/2006/relationships/hyperlink" Target="http://bulbapedia.bulbagarden.net/wiki/Sableye_(Pok%C3%A9mon)" TargetMode="External"/><Relationship Id="rId278" Type="http://schemas.openxmlformats.org/officeDocument/2006/relationships/hyperlink" Target="http://bulbapedia.bulbagarden.net/wiki/Omastar_(Pok%C3%A9mon)" TargetMode="External"/><Relationship Id="rId401" Type="http://schemas.openxmlformats.org/officeDocument/2006/relationships/hyperlink" Target="http://bulbapedia.bulbagarden.net/wiki/Sandile_(Pok%C3%A9mon)" TargetMode="External"/><Relationship Id="rId443" Type="http://schemas.openxmlformats.org/officeDocument/2006/relationships/hyperlink" Target="http://bulbapedia.bulbagarden.net/wiki/Swampert_(Pok%C3%A9mon)" TargetMode="External"/><Relationship Id="rId650" Type="http://schemas.openxmlformats.org/officeDocument/2006/relationships/hyperlink" Target="http://bulbapedia.bulbagarden.net/wiki/Raticate_(Pok%C3%A9mon)" TargetMode="External"/><Relationship Id="rId846" Type="http://schemas.openxmlformats.org/officeDocument/2006/relationships/hyperlink" Target="http://bulbapedia.bulbagarden.net/wiki/Palossand_(Pok%C3%A9mon)" TargetMode="External"/><Relationship Id="rId303" Type="http://schemas.openxmlformats.org/officeDocument/2006/relationships/hyperlink" Target="http://bulbapedia.bulbagarden.net/wiki/Torterra_(Pok%C3%A9mon)" TargetMode="External"/><Relationship Id="rId485" Type="http://schemas.openxmlformats.org/officeDocument/2006/relationships/hyperlink" Target="http://bulbapedia.bulbagarden.net/wiki/Anorith_(Pok%C3%A9mon)" TargetMode="External"/><Relationship Id="rId692" Type="http://schemas.openxmlformats.org/officeDocument/2006/relationships/hyperlink" Target="http://bulbapedia.bulbagarden.net/wiki/Volcarona_(Pok%C3%A9mon)" TargetMode="External"/><Relationship Id="rId706" Type="http://schemas.openxmlformats.org/officeDocument/2006/relationships/hyperlink" Target="http://bulbapedia.bulbagarden.net/wiki/Rapidash_(Pok%C3%A9mon)" TargetMode="External"/><Relationship Id="rId748" Type="http://schemas.openxmlformats.org/officeDocument/2006/relationships/hyperlink" Target="http://bulbapedia.bulbagarden.net/wiki/Swoobat_(Pok%C3%A9mon)" TargetMode="External"/><Relationship Id="rId42" Type="http://schemas.openxmlformats.org/officeDocument/2006/relationships/hyperlink" Target="http://bulbapedia.bulbagarden.net/wiki/Spheal_(Pok%C3%A9mon)" TargetMode="External"/><Relationship Id="rId84" Type="http://schemas.openxmlformats.org/officeDocument/2006/relationships/hyperlink" Target="http://bulbapedia.bulbagarden.net/wiki/Amoonguss_(Pok%C3%A9mon)" TargetMode="External"/><Relationship Id="rId138" Type="http://schemas.openxmlformats.org/officeDocument/2006/relationships/hyperlink" Target="http://bulbapedia.bulbagarden.net/wiki/Forretress_(Pok%C3%A9mon)" TargetMode="External"/><Relationship Id="rId345" Type="http://schemas.openxmlformats.org/officeDocument/2006/relationships/hyperlink" Target="http://bulbapedia.bulbagarden.net/wiki/Riolu_(Pok%C3%A9mon)" TargetMode="External"/><Relationship Id="rId387" Type="http://schemas.openxmlformats.org/officeDocument/2006/relationships/hyperlink" Target="http://bulbapedia.bulbagarden.net/wiki/Pelipper_(Pok%C3%A9mon)" TargetMode="External"/><Relationship Id="rId510" Type="http://schemas.openxmlformats.org/officeDocument/2006/relationships/hyperlink" Target="http://bulbapedia.bulbagarden.net/wiki/Dragonite_(Pok%C3%A9mon)" TargetMode="External"/><Relationship Id="rId552" Type="http://schemas.openxmlformats.org/officeDocument/2006/relationships/hyperlink" Target="http://bulbapedia.bulbagarden.net/wiki/Articuno_(Pok%C3%A9mon)" TargetMode="External"/><Relationship Id="rId594" Type="http://schemas.openxmlformats.org/officeDocument/2006/relationships/hyperlink" Target="http://bulbapedia.bulbagarden.net/wiki/Ho-Oh_(Pok%C3%A9mon)" TargetMode="External"/><Relationship Id="rId608" Type="http://schemas.openxmlformats.org/officeDocument/2006/relationships/hyperlink" Target="http://bulbapedia.bulbagarden.net/wiki/Lilligant_(Pok%C3%A9mon)" TargetMode="External"/><Relationship Id="rId815" Type="http://schemas.openxmlformats.org/officeDocument/2006/relationships/hyperlink" Target="http://bulbapedia.bulbagarden.net/wiki/Crabrawler_(Pok%C3%A9mon)" TargetMode="External"/><Relationship Id="rId191" Type="http://schemas.openxmlformats.org/officeDocument/2006/relationships/hyperlink" Target="http://bulbapedia.bulbagarden.net/wiki/Octillery_(Pok%C3%A9mon)" TargetMode="External"/><Relationship Id="rId205" Type="http://schemas.openxmlformats.org/officeDocument/2006/relationships/hyperlink" Target="http://bulbapedia.bulbagarden.net/wiki/Inkay_(Pok%C3%A9mon)" TargetMode="External"/><Relationship Id="rId247" Type="http://schemas.openxmlformats.org/officeDocument/2006/relationships/hyperlink" Target="http://bulbapedia.bulbagarden.net/wiki/Regice_(Pok%C3%A9mon)" TargetMode="External"/><Relationship Id="rId412" Type="http://schemas.openxmlformats.org/officeDocument/2006/relationships/hyperlink" Target="http://bulbapedia.bulbagarden.net/wiki/Cottonee_(Pok%C3%A9mon)" TargetMode="External"/><Relationship Id="rId857" Type="http://schemas.openxmlformats.org/officeDocument/2006/relationships/hyperlink" Target="http://bulbapedia.bulbagarden.net/wiki/Dhelmise_(Pok%C3%A9mon)" TargetMode="External"/><Relationship Id="rId107" Type="http://schemas.openxmlformats.org/officeDocument/2006/relationships/hyperlink" Target="http://bulbapedia.bulbagarden.net/wiki/Tyrogue_(Pok%C3%A9mon)" TargetMode="External"/><Relationship Id="rId289" Type="http://schemas.openxmlformats.org/officeDocument/2006/relationships/hyperlink" Target="http://bulbapedia.bulbagarden.net/wiki/Relicanth_(Pok%C3%A9mon)" TargetMode="External"/><Relationship Id="rId454" Type="http://schemas.openxmlformats.org/officeDocument/2006/relationships/hyperlink" Target="http://bulbapedia.bulbagarden.net/wiki/Combee_(Pok%C3%A9mon)" TargetMode="External"/><Relationship Id="rId496" Type="http://schemas.openxmlformats.org/officeDocument/2006/relationships/hyperlink" Target="http://bulbapedia.bulbagarden.net/wiki/Heatran_(Pok%C3%A9mon)" TargetMode="External"/><Relationship Id="rId661" Type="http://schemas.openxmlformats.org/officeDocument/2006/relationships/hyperlink" Target="http://bulbapedia.bulbagarden.net/wiki/Yveltal_(Pok%C3%A9mon)" TargetMode="External"/><Relationship Id="rId717" Type="http://schemas.openxmlformats.org/officeDocument/2006/relationships/hyperlink" Target="http://bulbapedia.bulbagarden.net/wiki/Liepard_(Pok%C3%A9mon)" TargetMode="External"/><Relationship Id="rId759" Type="http://schemas.openxmlformats.org/officeDocument/2006/relationships/hyperlink" Target="http://bulbapedia.bulbagarden.net/wiki/Cinccino_(Pok%C3%A9mon)" TargetMode="External"/><Relationship Id="rId11" Type="http://schemas.openxmlformats.org/officeDocument/2006/relationships/hyperlink" Target="http://bulbapedia.bulbagarden.net/wiki/Silcoon_(Pok%C3%A9mon)" TargetMode="External"/><Relationship Id="rId53" Type="http://schemas.openxmlformats.org/officeDocument/2006/relationships/hyperlink" Target="http://bulbapedia.bulbagarden.net/wiki/Metapod_(Pok%C3%A9mon)" TargetMode="External"/><Relationship Id="rId149" Type="http://schemas.openxmlformats.org/officeDocument/2006/relationships/hyperlink" Target="http://bulbapedia.bulbagarden.net/wiki/Piplup_(Pok%C3%A9mon)" TargetMode="External"/><Relationship Id="rId314" Type="http://schemas.openxmlformats.org/officeDocument/2006/relationships/hyperlink" Target="http://bulbapedia.bulbagarden.net/wiki/Zweilous_(Pok%C3%A9mon)" TargetMode="External"/><Relationship Id="rId356" Type="http://schemas.openxmlformats.org/officeDocument/2006/relationships/hyperlink" Target="http://bulbapedia.bulbagarden.net/wiki/Vullaby_(Pok%C3%A9mon)" TargetMode="External"/><Relationship Id="rId398" Type="http://schemas.openxmlformats.org/officeDocument/2006/relationships/hyperlink" Target="http://bulbapedia.bulbagarden.net/wiki/Glaceon_(Pok%C3%A9mon)" TargetMode="External"/><Relationship Id="rId521" Type="http://schemas.openxmlformats.org/officeDocument/2006/relationships/hyperlink" Target="http://bulbapedia.bulbagarden.net/wiki/Feebas_(Pok%C3%A9mon)" TargetMode="External"/><Relationship Id="rId563" Type="http://schemas.openxmlformats.org/officeDocument/2006/relationships/hyperlink" Target="http://bulbapedia.bulbagarden.net/wiki/Taillow_(Pok%C3%A9mon)" TargetMode="External"/><Relationship Id="rId619" Type="http://schemas.openxmlformats.org/officeDocument/2006/relationships/hyperlink" Target="http://bulbapedia.bulbagarden.net/wiki/Leavanny_(Pok%C3%A9mon)" TargetMode="External"/><Relationship Id="rId770" Type="http://schemas.openxmlformats.org/officeDocument/2006/relationships/hyperlink" Target="http://bulbapedia.bulbagarden.net/wiki/Greninja_(Pok%C3%A9mon)" TargetMode="External"/><Relationship Id="rId95" Type="http://schemas.openxmlformats.org/officeDocument/2006/relationships/hyperlink" Target="http://bulbapedia.bulbagarden.net/wiki/Bronzong_(Pok%C3%A9mon)" TargetMode="External"/><Relationship Id="rId160" Type="http://schemas.openxmlformats.org/officeDocument/2006/relationships/hyperlink" Target="http://bulbapedia.bulbagarden.net/wiki/Nidoran%E2%99%80_(Pok%C3%A9mon)" TargetMode="External"/><Relationship Id="rId216" Type="http://schemas.openxmlformats.org/officeDocument/2006/relationships/hyperlink" Target="http://bulbapedia.bulbagarden.net/wiki/Swirlix_(Pok%C3%A9mon)" TargetMode="External"/><Relationship Id="rId423" Type="http://schemas.openxmlformats.org/officeDocument/2006/relationships/hyperlink" Target="http://bulbapedia.bulbagarden.net/wiki/Palpitoad_(Pok%C3%A9mon)" TargetMode="External"/><Relationship Id="rId826" Type="http://schemas.openxmlformats.org/officeDocument/2006/relationships/hyperlink" Target="http://bulbapedia.bulbagarden.net/wiki/Mudsdale_(Pok%C3%A9mon)" TargetMode="External"/><Relationship Id="rId868" Type="http://schemas.openxmlformats.org/officeDocument/2006/relationships/hyperlink" Target="http://bulbapedia.bulbagarden.net/wiki/Lunala_(Pok%C3%A9mon)" TargetMode="External"/><Relationship Id="rId258" Type="http://schemas.openxmlformats.org/officeDocument/2006/relationships/hyperlink" Target="http://bulbapedia.bulbagarden.net/wiki/Eelektross_(Pok%C3%A9mon)" TargetMode="External"/><Relationship Id="rId465" Type="http://schemas.openxmlformats.org/officeDocument/2006/relationships/hyperlink" Target="http://bulbapedia.bulbagarden.net/wiki/Honchkrow_(Pok%C3%A9mon)" TargetMode="External"/><Relationship Id="rId630" Type="http://schemas.openxmlformats.org/officeDocument/2006/relationships/hyperlink" Target="http://bulbapedia.bulbagarden.net/wiki/Houndoom_(Pok%C3%A9mon)" TargetMode="External"/><Relationship Id="rId672" Type="http://schemas.openxmlformats.org/officeDocument/2006/relationships/hyperlink" Target="http://bulbapedia.bulbagarden.net/wiki/Mew_(Pok%C3%A9mon)" TargetMode="External"/><Relationship Id="rId728" Type="http://schemas.openxmlformats.org/officeDocument/2006/relationships/hyperlink" Target="http://bulbapedia.bulbagarden.net/wiki/Gengar_(Pok%C3%A9mon)" TargetMode="External"/><Relationship Id="rId22" Type="http://schemas.openxmlformats.org/officeDocument/2006/relationships/hyperlink" Target="http://bulbapedia.bulbagarden.net/wiki/Sableye_(Pok%C3%A9mon)" TargetMode="External"/><Relationship Id="rId64" Type="http://schemas.openxmlformats.org/officeDocument/2006/relationships/hyperlink" Target="http://bulbapedia.bulbagarden.net/wiki/Slowking_(Pok%C3%A9mon)" TargetMode="External"/><Relationship Id="rId118" Type="http://schemas.openxmlformats.org/officeDocument/2006/relationships/hyperlink" Target="http://bulbapedia.bulbagarden.net/wiki/Doublade_(Pok%C3%A9mon)" TargetMode="External"/><Relationship Id="rId325" Type="http://schemas.openxmlformats.org/officeDocument/2006/relationships/hyperlink" Target="http://bulbapedia.bulbagarden.net/wiki/Horsea_(Pok%C3%A9mon)" TargetMode="External"/><Relationship Id="rId367" Type="http://schemas.openxmlformats.org/officeDocument/2006/relationships/hyperlink" Target="http://bulbapedia.bulbagarden.net/wiki/Snivy_(Pok%C3%A9mon)" TargetMode="External"/><Relationship Id="rId532" Type="http://schemas.openxmlformats.org/officeDocument/2006/relationships/hyperlink" Target="http://bulbapedia.bulbagarden.net/wiki/Braviary_(Pok%C3%A9mon)" TargetMode="External"/><Relationship Id="rId574" Type="http://schemas.openxmlformats.org/officeDocument/2006/relationships/hyperlink" Target="http://bulbapedia.bulbagarden.net/wiki/Rotom_(Pok%C3%A9mon)" TargetMode="External"/><Relationship Id="rId171" Type="http://schemas.openxmlformats.org/officeDocument/2006/relationships/hyperlink" Target="http://bulbapedia.bulbagarden.net/wiki/Cradily_(Pok%C3%A9mon)" TargetMode="External"/><Relationship Id="rId227" Type="http://schemas.openxmlformats.org/officeDocument/2006/relationships/hyperlink" Target="http://bulbapedia.bulbagarden.net/wiki/Hoppip_(Pok%C3%A9mon)" TargetMode="External"/><Relationship Id="rId781" Type="http://schemas.openxmlformats.org/officeDocument/2006/relationships/hyperlink" Target="http://bulbapedia.bulbagarden.net/wiki/Mewtwo_(Pok%C3%A9mon)" TargetMode="External"/><Relationship Id="rId837" Type="http://schemas.openxmlformats.org/officeDocument/2006/relationships/hyperlink" Target="http://bulbapedia.bulbagarden.net/wiki/Bounsweet_(Pok%C3%A9mon)" TargetMode="External"/><Relationship Id="rId879" Type="http://schemas.openxmlformats.org/officeDocument/2006/relationships/hyperlink" Target="http://bulbapedia.bulbagarden.net/wiki/Litten_(Pok%C3%A9mon)" TargetMode="External"/><Relationship Id="rId269" Type="http://schemas.openxmlformats.org/officeDocument/2006/relationships/hyperlink" Target="http://bulbapedia.bulbagarden.net/wiki/Skiddo_(Pok%C3%A9mon)" TargetMode="External"/><Relationship Id="rId434" Type="http://schemas.openxmlformats.org/officeDocument/2006/relationships/hyperlink" Target="http://bulbapedia.bulbagarden.net/wiki/Onix_(Pok%C3%A9mon)" TargetMode="External"/><Relationship Id="rId476" Type="http://schemas.openxmlformats.org/officeDocument/2006/relationships/hyperlink" Target="http://bulbapedia.bulbagarden.net/wiki/Krokorok_(Pok%C3%A9mon)" TargetMode="External"/><Relationship Id="rId641" Type="http://schemas.openxmlformats.org/officeDocument/2006/relationships/hyperlink" Target="http://bulbapedia.bulbagarden.net/wiki/Leafeon_(Pok%C3%A9mon)" TargetMode="External"/><Relationship Id="rId683" Type="http://schemas.openxmlformats.org/officeDocument/2006/relationships/hyperlink" Target="http://bulbapedia.bulbagarden.net/wiki/Glalie_(Pok%C3%A9mon)" TargetMode="External"/><Relationship Id="rId739" Type="http://schemas.openxmlformats.org/officeDocument/2006/relationships/hyperlink" Target="http://bulbapedia.bulbagarden.net/wiki/Froslass_(Pok%C3%A9mon)" TargetMode="External"/><Relationship Id="rId33" Type="http://schemas.openxmlformats.org/officeDocument/2006/relationships/hyperlink" Target="http://bulbapedia.bulbagarden.net/wiki/Bronzor_(Pok%C3%A9mon)" TargetMode="External"/><Relationship Id="rId129" Type="http://schemas.openxmlformats.org/officeDocument/2006/relationships/hyperlink" Target="http://bulbapedia.bulbagarden.net/wiki/Gloom_(Pok%C3%A9mon)" TargetMode="External"/><Relationship Id="rId280" Type="http://schemas.openxmlformats.org/officeDocument/2006/relationships/hyperlink" Target="http://bulbapedia.bulbagarden.net/wiki/Ledyba_(Pok%C3%A9mon)" TargetMode="External"/><Relationship Id="rId336" Type="http://schemas.openxmlformats.org/officeDocument/2006/relationships/hyperlink" Target="http://bulbapedia.bulbagarden.net/wiki/Wailord_(Pok%C3%A9mon)" TargetMode="External"/><Relationship Id="rId501" Type="http://schemas.openxmlformats.org/officeDocument/2006/relationships/hyperlink" Target="http://bulbapedia.bulbagarden.net/wiki/Diggersby_(Pok%C3%A9mon)" TargetMode="External"/><Relationship Id="rId543" Type="http://schemas.openxmlformats.org/officeDocument/2006/relationships/hyperlink" Target="http://bulbapedia.bulbagarden.net/wiki/Servine_(Pok%C3%A9mon)" TargetMode="External"/><Relationship Id="rId75" Type="http://schemas.openxmlformats.org/officeDocument/2006/relationships/hyperlink" Target="http://bulbapedia.bulbagarden.net/wiki/Shieldon_(Pok%C3%A9mon)" TargetMode="External"/><Relationship Id="rId140" Type="http://schemas.openxmlformats.org/officeDocument/2006/relationships/hyperlink" Target="http://bulbapedia.bulbagarden.net/wiki/Phanpy_(Pok%C3%A9mon)" TargetMode="External"/><Relationship Id="rId182" Type="http://schemas.openxmlformats.org/officeDocument/2006/relationships/hyperlink" Target="http://bulbapedia.bulbagarden.net/wiki/Golem_(Pok%C3%A9mon)" TargetMode="External"/><Relationship Id="rId378" Type="http://schemas.openxmlformats.org/officeDocument/2006/relationships/hyperlink" Target="http://bulbapedia.bulbagarden.net/wiki/Flareon_(Pok%C3%A9mon)" TargetMode="External"/><Relationship Id="rId403" Type="http://schemas.openxmlformats.org/officeDocument/2006/relationships/hyperlink" Target="http://bulbapedia.bulbagarden.net/wiki/Zorua_(Pok%C3%A9mon)" TargetMode="External"/><Relationship Id="rId585" Type="http://schemas.openxmlformats.org/officeDocument/2006/relationships/hyperlink" Target="http://bulbapedia.bulbagarden.net/wiki/Meowth_(Pok%C3%A9mon)" TargetMode="External"/><Relationship Id="rId750" Type="http://schemas.openxmlformats.org/officeDocument/2006/relationships/hyperlink" Target="http://bulbapedia.bulbagarden.net/wiki/Starmie_(Pok%C3%A9mon)" TargetMode="External"/><Relationship Id="rId792" Type="http://schemas.openxmlformats.org/officeDocument/2006/relationships/hyperlink" Target="http://bulbapedia.bulbagarden.net/wiki/Aerodactyl_(Pok%C3%A9mon)" TargetMode="External"/><Relationship Id="rId806" Type="http://schemas.openxmlformats.org/officeDocument/2006/relationships/hyperlink" Target="http://bulbapedia.bulbagarden.net/wiki/Primarina_(Pok%C3%A9mon)" TargetMode="External"/><Relationship Id="rId848" Type="http://schemas.openxmlformats.org/officeDocument/2006/relationships/hyperlink" Target="http://bulbapedia.bulbagarden.net/wiki/Type:_Null_(Pok%C3%A9mon)" TargetMode="External"/><Relationship Id="rId6" Type="http://schemas.openxmlformats.org/officeDocument/2006/relationships/hyperlink" Target="http://bulbapedia.bulbagarden.net/wiki/Slowpoke_(Pok%C3%A9mon)" TargetMode="External"/><Relationship Id="rId238" Type="http://schemas.openxmlformats.org/officeDocument/2006/relationships/hyperlink" Target="http://bulbapedia.bulbagarden.net/wiki/Mawile_(Pok%C3%A9mon)" TargetMode="External"/><Relationship Id="rId445" Type="http://schemas.openxmlformats.org/officeDocument/2006/relationships/hyperlink" Target="http://bulbapedia.bulbagarden.net/wiki/Ludicolo_(Pok%C3%A9mon)" TargetMode="External"/><Relationship Id="rId487" Type="http://schemas.openxmlformats.org/officeDocument/2006/relationships/hyperlink" Target="http://bulbapedia.bulbagarden.net/wiki/Absol_(Pok%C3%A9mon)" TargetMode="External"/><Relationship Id="rId610" Type="http://schemas.openxmlformats.org/officeDocument/2006/relationships/hyperlink" Target="http://bulbapedia.bulbagarden.net/wiki/Reshiram_(Pok%C3%A9mon)" TargetMode="External"/><Relationship Id="rId652" Type="http://schemas.openxmlformats.org/officeDocument/2006/relationships/hyperlink" Target="http://bulbapedia.bulbagarden.net/wiki/Sigilyph_(Pok%C3%A9mon)" TargetMode="External"/><Relationship Id="rId694" Type="http://schemas.openxmlformats.org/officeDocument/2006/relationships/hyperlink" Target="http://bulbapedia.bulbagarden.net/wiki/Simisage_(Pok%C3%A9mon)" TargetMode="External"/><Relationship Id="rId708" Type="http://schemas.openxmlformats.org/officeDocument/2006/relationships/hyperlink" Target="http://bulbapedia.bulbagarden.net/wiki/Electabuzz_(Pok%C3%A9mon)" TargetMode="External"/><Relationship Id="rId291" Type="http://schemas.openxmlformats.org/officeDocument/2006/relationships/hyperlink" Target="http://bulbapedia.bulbagarden.net/wiki/Pignite_(Pok%C3%A9mon)" TargetMode="External"/><Relationship Id="rId305" Type="http://schemas.openxmlformats.org/officeDocument/2006/relationships/hyperlink" Target="http://bulbapedia.bulbagarden.net/wiki/Venipede_(Pok%C3%A9mon)" TargetMode="External"/><Relationship Id="rId347" Type="http://schemas.openxmlformats.org/officeDocument/2006/relationships/hyperlink" Target="http://bulbapedia.bulbagarden.net/wiki/Magnezone_(Pok%C3%A9mon)" TargetMode="External"/><Relationship Id="rId512" Type="http://schemas.openxmlformats.org/officeDocument/2006/relationships/hyperlink" Target="http://bulbapedia.bulbagarden.net/wiki/Quilava_(Pok%C3%A9mon)" TargetMode="External"/><Relationship Id="rId44" Type="http://schemas.openxmlformats.org/officeDocument/2006/relationships/hyperlink" Target="http://bulbapedia.bulbagarden.net/wiki/Gigalith_(Pok%C3%A9mon)" TargetMode="External"/><Relationship Id="rId86" Type="http://schemas.openxmlformats.org/officeDocument/2006/relationships/hyperlink" Target="http://bulbapedia.bulbagarden.net/wiki/Elgyem_(Pok%C3%A9mon)" TargetMode="External"/><Relationship Id="rId151" Type="http://schemas.openxmlformats.org/officeDocument/2006/relationships/hyperlink" Target="http://bulbapedia.bulbagarden.net/wiki/Snover_(Pok%C3%A9mon)" TargetMode="External"/><Relationship Id="rId389" Type="http://schemas.openxmlformats.org/officeDocument/2006/relationships/hyperlink" Target="http://bulbapedia.bulbagarden.net/wiki/Electrike_(Pok%C3%A9mon)" TargetMode="External"/><Relationship Id="rId554" Type="http://schemas.openxmlformats.org/officeDocument/2006/relationships/hyperlink" Target="http://bulbapedia.bulbagarden.net/wiki/Aipom_(Pok%C3%A9mon)" TargetMode="External"/><Relationship Id="rId596" Type="http://schemas.openxmlformats.org/officeDocument/2006/relationships/hyperlink" Target="http://bulbapedia.bulbagarden.net/wiki/Zangoose_(Pok%C3%A9mon)" TargetMode="External"/><Relationship Id="rId761" Type="http://schemas.openxmlformats.org/officeDocument/2006/relationships/hyperlink" Target="http://bulbapedia.bulbagarden.net/wiki/Whimsicott_(Pok%C3%A9mon)" TargetMode="External"/><Relationship Id="rId817" Type="http://schemas.openxmlformats.org/officeDocument/2006/relationships/hyperlink" Target="http://bulbapedia.bulbagarden.net/wiki/Oricorio_(Pok%C3%A9mon)" TargetMode="External"/><Relationship Id="rId859" Type="http://schemas.openxmlformats.org/officeDocument/2006/relationships/hyperlink" Target="http://bulbapedia.bulbagarden.net/wiki/Hakamo-o_(Pok%C3%A9mon)" TargetMode="External"/><Relationship Id="rId193" Type="http://schemas.openxmlformats.org/officeDocument/2006/relationships/hyperlink" Target="http://bulbapedia.bulbagarden.net/wiki/Armaldo_(Pok%C3%A9mon)" TargetMode="External"/><Relationship Id="rId207" Type="http://schemas.openxmlformats.org/officeDocument/2006/relationships/hyperlink" Target="http://bulbapedia.bulbagarden.net/wiki/Amaura_(Pok%C3%A9mon)" TargetMode="External"/><Relationship Id="rId249" Type="http://schemas.openxmlformats.org/officeDocument/2006/relationships/hyperlink" Target="http://bulbapedia.bulbagarden.net/wiki/Prinplup_(Pok%C3%A9mon)" TargetMode="External"/><Relationship Id="rId414" Type="http://schemas.openxmlformats.org/officeDocument/2006/relationships/hyperlink" Target="http://bulbapedia.bulbagarden.net/wiki/Chinchou_(Pok%C3%A9mon)" TargetMode="External"/><Relationship Id="rId456" Type="http://schemas.openxmlformats.org/officeDocument/2006/relationships/hyperlink" Target="http://bulbapedia.bulbagarden.net/wiki/Samurott_(Pok%C3%A9mon)" TargetMode="External"/><Relationship Id="rId498" Type="http://schemas.openxmlformats.org/officeDocument/2006/relationships/hyperlink" Target="http://bulbapedia.bulbagarden.net/wiki/Blastoise_(Pok%C3%A9mon)" TargetMode="External"/><Relationship Id="rId621" Type="http://schemas.openxmlformats.org/officeDocument/2006/relationships/hyperlink" Target="http://bulbapedia.bulbagarden.net/wiki/Magmar_(Pok%C3%A9mon)" TargetMode="External"/><Relationship Id="rId663" Type="http://schemas.openxmlformats.org/officeDocument/2006/relationships/hyperlink" Target="http://bulbapedia.bulbagarden.net/wiki/Charizard_(Pok%C3%A9mon)" TargetMode="External"/><Relationship Id="rId870" Type="http://schemas.openxmlformats.org/officeDocument/2006/relationships/hyperlink" Target="http://bulbapedia.bulbagarden.net/wiki/Buzzwole_(Pok%C3%A9mon)" TargetMode="External"/><Relationship Id="rId13" Type="http://schemas.openxmlformats.org/officeDocument/2006/relationships/hyperlink" Target="http://bulbapedia.bulbagarden.net/wiki/Roggenrola_(Pok%C3%A9mon)" TargetMode="External"/><Relationship Id="rId109" Type="http://schemas.openxmlformats.org/officeDocument/2006/relationships/hyperlink" Target="http://bulbapedia.bulbagarden.net/wiki/Shroomish_(Pok%C3%A9mon)" TargetMode="External"/><Relationship Id="rId260" Type="http://schemas.openxmlformats.org/officeDocument/2006/relationships/hyperlink" Target="http://bulbapedia.bulbagarden.net/wiki/Binacle_(Pok%C3%A9mon)" TargetMode="External"/><Relationship Id="rId316" Type="http://schemas.openxmlformats.org/officeDocument/2006/relationships/hyperlink" Target="http://bulbapedia.bulbagarden.net/wiki/Aurorus_(Pok%C3%A9mon)" TargetMode="External"/><Relationship Id="rId523" Type="http://schemas.openxmlformats.org/officeDocument/2006/relationships/hyperlink" Target="http://bulbapedia.bulbagarden.net/wiki/Staravia_(Pok%C3%A9mon)" TargetMode="External"/><Relationship Id="rId719" Type="http://schemas.openxmlformats.org/officeDocument/2006/relationships/hyperlink" Target="http://bulbapedia.bulbagarden.net/wiki/Infernape_(Pok%C3%A9mon)" TargetMode="External"/><Relationship Id="rId55" Type="http://schemas.openxmlformats.org/officeDocument/2006/relationships/hyperlink" Target="http://bulbapedia.bulbagarden.net/wiki/Parasect_(Pok%C3%A9mon)" TargetMode="External"/><Relationship Id="rId97" Type="http://schemas.openxmlformats.org/officeDocument/2006/relationships/hyperlink" Target="http://bulbapedia.bulbagarden.net/wiki/Kakuna_(Pok%C3%A9mon)" TargetMode="External"/><Relationship Id="rId120" Type="http://schemas.openxmlformats.org/officeDocument/2006/relationships/hyperlink" Target="http://bulbapedia.bulbagarden.net/wiki/Burmy_(Pok%C3%A9mon)" TargetMode="External"/><Relationship Id="rId358" Type="http://schemas.openxmlformats.org/officeDocument/2006/relationships/hyperlink" Target="http://bulbapedia.bulbagarden.net/wiki/Fennekin_(Pok%C3%A9mon)" TargetMode="External"/><Relationship Id="rId565" Type="http://schemas.openxmlformats.org/officeDocument/2006/relationships/hyperlink" Target="http://bulbapedia.bulbagarden.net/wiki/Volbeat_(Pok%C3%A9mon)" TargetMode="External"/><Relationship Id="rId730" Type="http://schemas.openxmlformats.org/officeDocument/2006/relationships/hyperlink" Target="http://bulbapedia.bulbagarden.net/wiki/Jumpluff_(Pok%C3%A9mon)" TargetMode="External"/><Relationship Id="rId772" Type="http://schemas.openxmlformats.org/officeDocument/2006/relationships/hyperlink" Target="http://bulbapedia.bulbagarden.net/wiki/Swellow_(Pok%C3%A9mon)" TargetMode="External"/><Relationship Id="rId828" Type="http://schemas.openxmlformats.org/officeDocument/2006/relationships/hyperlink" Target="http://bulbapedia.bulbagarden.net/wiki/Araquanid_(Pok%C3%A9mon)" TargetMode="External"/><Relationship Id="rId162" Type="http://schemas.openxmlformats.org/officeDocument/2006/relationships/hyperlink" Target="http://bulbapedia.bulbagarden.net/wiki/Pumpkaboo_(Pok%C3%A9mon)" TargetMode="External"/><Relationship Id="rId218" Type="http://schemas.openxmlformats.org/officeDocument/2006/relationships/hyperlink" Target="http://bulbapedia.bulbagarden.net/wiki/Nidoran%E2%99%82_(Pok%C3%A9mon)" TargetMode="External"/><Relationship Id="rId425" Type="http://schemas.openxmlformats.org/officeDocument/2006/relationships/hyperlink" Target="http://bulbapedia.bulbagarden.net/wiki/Butterfree_(Pok%C3%A9mon)" TargetMode="External"/><Relationship Id="rId467" Type="http://schemas.openxmlformats.org/officeDocument/2006/relationships/hyperlink" Target="http://bulbapedia.bulbagarden.net/wiki/Tyrantrum_(Pok%C3%A9mon)" TargetMode="External"/><Relationship Id="rId632" Type="http://schemas.openxmlformats.org/officeDocument/2006/relationships/hyperlink" Target="http://bulbapedia.bulbagarden.net/wiki/Grovyle_(Pok%C3%A9mon)" TargetMode="External"/><Relationship Id="rId271" Type="http://schemas.openxmlformats.org/officeDocument/2006/relationships/hyperlink" Target="http://bulbapedia.bulbagarden.net/wiki/Ekans_(Pok%C3%A9mon)" TargetMode="External"/><Relationship Id="rId674" Type="http://schemas.openxmlformats.org/officeDocument/2006/relationships/hyperlink" Target="http://bulbapedia.bulbagarden.net/wiki/Miltank_(Pok%C3%A9mon)" TargetMode="External"/><Relationship Id="rId881" Type="http://schemas.openxmlformats.org/officeDocument/2006/relationships/hyperlink" Target="http://bulbapedia.bulbagarden.net/wiki/Oricorio_(Pok%C3%A9mon)" TargetMode="External"/><Relationship Id="rId24" Type="http://schemas.openxmlformats.org/officeDocument/2006/relationships/hyperlink" Target="http://bulbapedia.bulbagarden.net/wiki/Torkoal_(Pok%C3%A9mon)" TargetMode="External"/><Relationship Id="rId66" Type="http://schemas.openxmlformats.org/officeDocument/2006/relationships/hyperlink" Target="http://bulbapedia.bulbagarden.net/wiki/Steelix_(Pok%C3%A9mon)" TargetMode="External"/><Relationship Id="rId131" Type="http://schemas.openxmlformats.org/officeDocument/2006/relationships/hyperlink" Target="http://bulbapedia.bulbagarden.net/wiki/Shellder_(Pok%C3%A9mon)" TargetMode="External"/><Relationship Id="rId327" Type="http://schemas.openxmlformats.org/officeDocument/2006/relationships/hyperlink" Target="http://bulbapedia.bulbagarden.net/wiki/Bayleef_(Pok%C3%A9mon)" TargetMode="External"/><Relationship Id="rId369" Type="http://schemas.openxmlformats.org/officeDocument/2006/relationships/hyperlink" Target="http://bulbapedia.bulbagarden.net/wiki/Pansear_(Pok%C3%A9mon)" TargetMode="External"/><Relationship Id="rId534" Type="http://schemas.openxmlformats.org/officeDocument/2006/relationships/hyperlink" Target="http://bulbapedia.bulbagarden.net/wiki/Goodra_(Pok%C3%A9mon)" TargetMode="External"/><Relationship Id="rId576" Type="http://schemas.openxmlformats.org/officeDocument/2006/relationships/hyperlink" Target="http://bulbapedia.bulbagarden.net/wiki/Rotom_(Pok%C3%A9mon)" TargetMode="External"/><Relationship Id="rId741" Type="http://schemas.openxmlformats.org/officeDocument/2006/relationships/hyperlink" Target="http://bulbapedia.bulbagarden.net/wiki/Diancie_(Pok%C3%A9mon)" TargetMode="External"/><Relationship Id="rId783" Type="http://schemas.openxmlformats.org/officeDocument/2006/relationships/hyperlink" Target="http://bulbapedia.bulbagarden.net/wiki/Crobat_(Pok%C3%A9mon)" TargetMode="External"/><Relationship Id="rId839" Type="http://schemas.openxmlformats.org/officeDocument/2006/relationships/hyperlink" Target="http://bulbapedia.bulbagarden.net/wiki/Tsareena_(Pok%C3%A9mon)" TargetMode="External"/><Relationship Id="rId173" Type="http://schemas.openxmlformats.org/officeDocument/2006/relationships/hyperlink" Target="http://bulbapedia.bulbagarden.net/wiki/Pancham_(Pok%C3%A9mon)" TargetMode="External"/><Relationship Id="rId229" Type="http://schemas.openxmlformats.org/officeDocument/2006/relationships/hyperlink" Target="http://bulbapedia.bulbagarden.net/wiki/Piloswine_(Pok%C3%A9mon)" TargetMode="External"/><Relationship Id="rId380" Type="http://schemas.openxmlformats.org/officeDocument/2006/relationships/hyperlink" Target="http://bulbapedia.bulbagarden.net/wiki/Umbreon_(Pok%C3%A9mon)" TargetMode="External"/><Relationship Id="rId436" Type="http://schemas.openxmlformats.org/officeDocument/2006/relationships/hyperlink" Target="http://bulbapedia.bulbagarden.net/wiki/Noctowl_(Pok%C3%A9mon)" TargetMode="External"/><Relationship Id="rId601" Type="http://schemas.openxmlformats.org/officeDocument/2006/relationships/hyperlink" Target="http://bulbapedia.bulbagarden.net/wiki/Deoxys_(Pok%C3%A9mon)" TargetMode="External"/><Relationship Id="rId643" Type="http://schemas.openxmlformats.org/officeDocument/2006/relationships/hyperlink" Target="http://bulbapedia.bulbagarden.net/wiki/Uxie_(Pok%C3%A9mon)" TargetMode="External"/><Relationship Id="rId240" Type="http://schemas.openxmlformats.org/officeDocument/2006/relationships/hyperlink" Target="http://bulbapedia.bulbagarden.net/wiki/Aggron_(Pok%C3%A9mon)" TargetMode="External"/><Relationship Id="rId478" Type="http://schemas.openxmlformats.org/officeDocument/2006/relationships/hyperlink" Target="http://bulbapedia.bulbagarden.net/wiki/Doduo_(Pok%C3%A9mon)" TargetMode="External"/><Relationship Id="rId685" Type="http://schemas.openxmlformats.org/officeDocument/2006/relationships/hyperlink" Target="http://bulbapedia.bulbagarden.net/wiki/Jirachi_(Pok%C3%A9mon)" TargetMode="External"/><Relationship Id="rId850" Type="http://schemas.openxmlformats.org/officeDocument/2006/relationships/hyperlink" Target="http://bulbapedia.bulbagarden.net/wiki/Minior_(Pok%C3%A9mon)" TargetMode="External"/><Relationship Id="rId35" Type="http://schemas.openxmlformats.org/officeDocument/2006/relationships/hyperlink" Target="http://bulbapedia.bulbagarden.net/wiki/Munna_(Pok%C3%A9mon)" TargetMode="External"/><Relationship Id="rId77" Type="http://schemas.openxmlformats.org/officeDocument/2006/relationships/hyperlink" Target="http://bulbapedia.bulbagarden.net/wiki/Happiny_(Pok%C3%A9mon)" TargetMode="External"/><Relationship Id="rId100" Type="http://schemas.openxmlformats.org/officeDocument/2006/relationships/hyperlink" Target="http://bulbapedia.bulbagarden.net/wiki/Graveler_(Pok%C3%A9mon)" TargetMode="External"/><Relationship Id="rId282" Type="http://schemas.openxmlformats.org/officeDocument/2006/relationships/hyperlink" Target="http://bulbapedia.bulbagarden.net/wiki/Ursaring_(Pok%C3%A9mon)" TargetMode="External"/><Relationship Id="rId338" Type="http://schemas.openxmlformats.org/officeDocument/2006/relationships/hyperlink" Target="http://bulbapedia.bulbagarden.net/wiki/Spinda_(Pok%C3%A9mon)" TargetMode="External"/><Relationship Id="rId503" Type="http://schemas.openxmlformats.org/officeDocument/2006/relationships/hyperlink" Target="http://bulbapedia.bulbagarden.net/wiki/Venusaur_(Pok%C3%A9mon)" TargetMode="External"/><Relationship Id="rId545" Type="http://schemas.openxmlformats.org/officeDocument/2006/relationships/hyperlink" Target="http://bulbapedia.bulbagarden.net/wiki/Fletchinder_(Pok%C3%A9mon)" TargetMode="External"/><Relationship Id="rId587" Type="http://schemas.openxmlformats.org/officeDocument/2006/relationships/hyperlink" Target="http://bulbapedia.bulbagarden.net/wiki/Poliwhirl_(Pok%C3%A9mon)" TargetMode="External"/><Relationship Id="rId710" Type="http://schemas.openxmlformats.org/officeDocument/2006/relationships/hyperlink" Target="http://bulbapedia.bulbagarden.net/wiki/Manectric_(Pok%C3%A9mon)" TargetMode="External"/><Relationship Id="rId752" Type="http://schemas.openxmlformats.org/officeDocument/2006/relationships/hyperlink" Target="http://bulbapedia.bulbagarden.net/wiki/Houndoom_(Pok%C3%A9mon)" TargetMode="External"/><Relationship Id="rId808" Type="http://schemas.openxmlformats.org/officeDocument/2006/relationships/hyperlink" Target="http://bulbapedia.bulbagarden.net/wiki/Trumbeak_(Pok%C3%A9mon)" TargetMode="External"/><Relationship Id="rId8" Type="http://schemas.openxmlformats.org/officeDocument/2006/relationships/hyperlink" Target="http://bulbapedia.bulbagarden.net/wiki/Igglybuff_(Pok%C3%A9mon)" TargetMode="External"/><Relationship Id="rId142" Type="http://schemas.openxmlformats.org/officeDocument/2006/relationships/hyperlink" Target="http://bulbapedia.bulbagarden.net/wiki/Ralts_(Pok%C3%A9mon)" TargetMode="External"/><Relationship Id="rId184" Type="http://schemas.openxmlformats.org/officeDocument/2006/relationships/hyperlink" Target="http://bulbapedia.bulbagarden.net/wiki/Seel_(Pok%C3%A9mon)" TargetMode="External"/><Relationship Id="rId391" Type="http://schemas.openxmlformats.org/officeDocument/2006/relationships/hyperlink" Target="http://bulbapedia.bulbagarden.net/wiki/Carvanha_(Pok%C3%A9mon)" TargetMode="External"/><Relationship Id="rId405" Type="http://schemas.openxmlformats.org/officeDocument/2006/relationships/hyperlink" Target="http://bulbapedia.bulbagarden.net/wiki/Alomomola_(Pok%C3%A9mon)" TargetMode="External"/><Relationship Id="rId447" Type="http://schemas.openxmlformats.org/officeDocument/2006/relationships/hyperlink" Target="http://bulbapedia.bulbagarden.net/wiki/Delcatty_(Pok%C3%A9mon)" TargetMode="External"/><Relationship Id="rId612" Type="http://schemas.openxmlformats.org/officeDocument/2006/relationships/hyperlink" Target="http://bulbapedia.bulbagarden.net/wiki/Meloetta_(Pok%C3%A9mon)" TargetMode="External"/><Relationship Id="rId794" Type="http://schemas.openxmlformats.org/officeDocument/2006/relationships/hyperlink" Target="http://bulbapedia.bulbagarden.net/wiki/Deoxys_(Pok%C3%A9mon)" TargetMode="External"/><Relationship Id="rId251" Type="http://schemas.openxmlformats.org/officeDocument/2006/relationships/hyperlink" Target="http://bulbapedia.bulbagarden.net/wiki/Mantyke_(Pok%C3%A9mon)" TargetMode="External"/><Relationship Id="rId489" Type="http://schemas.openxmlformats.org/officeDocument/2006/relationships/hyperlink" Target="http://bulbapedia.bulbagarden.net/wiki/Minccino_(Pok%C3%A9mon)" TargetMode="External"/><Relationship Id="rId654" Type="http://schemas.openxmlformats.org/officeDocument/2006/relationships/hyperlink" Target="http://bulbapedia.bulbagarden.net/wiki/Frogadier_(Pok%C3%A9mon)" TargetMode="External"/><Relationship Id="rId696" Type="http://schemas.openxmlformats.org/officeDocument/2006/relationships/hyperlink" Target="http://bulbapedia.bulbagarden.net/wiki/Simipour_(Pok%C3%A9mon)" TargetMode="External"/><Relationship Id="rId861" Type="http://schemas.openxmlformats.org/officeDocument/2006/relationships/hyperlink" Target="http://bulbapedia.bulbagarden.net/wiki/Tapu_Koko_(Pok%C3%A9mon)" TargetMode="External"/><Relationship Id="rId46" Type="http://schemas.openxmlformats.org/officeDocument/2006/relationships/hyperlink" Target="http://bulbapedia.bulbagarden.net/wiki/Whismur_(Pok%C3%A9mon)" TargetMode="External"/><Relationship Id="rId293" Type="http://schemas.openxmlformats.org/officeDocument/2006/relationships/hyperlink" Target="http://bulbapedia.bulbagarden.net/wiki/Darmanitan_(Pok%C3%A9mon)" TargetMode="External"/><Relationship Id="rId307" Type="http://schemas.openxmlformats.org/officeDocument/2006/relationships/hyperlink" Target="http://bulbapedia.bulbagarden.net/wiki/Quilladin_(Pok%C3%A9mon)" TargetMode="External"/><Relationship Id="rId349" Type="http://schemas.openxmlformats.org/officeDocument/2006/relationships/hyperlink" Target="http://bulbapedia.bulbagarden.net/wiki/Herdier_(Pok%C3%A9mon)" TargetMode="External"/><Relationship Id="rId514" Type="http://schemas.openxmlformats.org/officeDocument/2006/relationships/hyperlink" Target="http://bulbapedia.bulbagarden.net/wiki/Blaziken_(Pok%C3%A9mon)" TargetMode="External"/><Relationship Id="rId556" Type="http://schemas.openxmlformats.org/officeDocument/2006/relationships/hyperlink" Target="http://bulbapedia.bulbagarden.net/wiki/Girafarig_(Pok%C3%A9mon)" TargetMode="External"/><Relationship Id="rId721" Type="http://schemas.openxmlformats.org/officeDocument/2006/relationships/hyperlink" Target="http://bulbapedia.bulbagarden.net/wiki/Cobalion_(Pok%C3%A9mon)" TargetMode="External"/><Relationship Id="rId763" Type="http://schemas.openxmlformats.org/officeDocument/2006/relationships/hyperlink" Target="http://bulbapedia.bulbagarden.net/wiki/Dugtrio_(Pok%C3%A9mon)" TargetMode="External"/><Relationship Id="rId88" Type="http://schemas.openxmlformats.org/officeDocument/2006/relationships/hyperlink" Target="http://bulbapedia.bulbagarden.net/wiki/Turtwig_(Pok%C3%A9mon)" TargetMode="External"/><Relationship Id="rId111" Type="http://schemas.openxmlformats.org/officeDocument/2006/relationships/hyperlink" Target="http://bulbapedia.bulbagarden.net/wiki/Cacnea_(Pok%C3%A9mon)" TargetMode="External"/><Relationship Id="rId153" Type="http://schemas.openxmlformats.org/officeDocument/2006/relationships/hyperlink" Target="http://bulbapedia.bulbagarden.net/wiki/Probopass_(Pok%C3%A9mon)" TargetMode="External"/><Relationship Id="rId195" Type="http://schemas.openxmlformats.org/officeDocument/2006/relationships/hyperlink" Target="http://bulbapedia.bulbagarden.net/wiki/Sealeo_(Pok%C3%A9mon)" TargetMode="External"/><Relationship Id="rId209" Type="http://schemas.openxmlformats.org/officeDocument/2006/relationships/hyperlink" Target="http://bulbapedia.bulbagarden.net/wiki/Whirlipede_(Pok%C3%A9mon)" TargetMode="External"/><Relationship Id="rId360" Type="http://schemas.openxmlformats.org/officeDocument/2006/relationships/hyperlink" Target="http://bulbapedia.bulbagarden.net/wiki/Aegislash_(Pok%C3%A9mon)" TargetMode="External"/><Relationship Id="rId416" Type="http://schemas.openxmlformats.org/officeDocument/2006/relationships/hyperlink" Target="http://bulbapedia.bulbagarden.net/wiki/Fraxure_(Pok%C3%A9mon)" TargetMode="External"/><Relationship Id="rId598" Type="http://schemas.openxmlformats.org/officeDocument/2006/relationships/hyperlink" Target="http://bulbapedia.bulbagarden.net/wiki/Kyogre_(Pok%C3%A9mon)" TargetMode="External"/><Relationship Id="rId819" Type="http://schemas.openxmlformats.org/officeDocument/2006/relationships/hyperlink" Target="http://bulbapedia.bulbagarden.net/wiki/Ribombee_(Pok%C3%A9mon)" TargetMode="External"/><Relationship Id="rId220" Type="http://schemas.openxmlformats.org/officeDocument/2006/relationships/hyperlink" Target="http://bulbapedia.bulbagarden.net/wiki/Muk_(Pok%C3%A9mon)" TargetMode="External"/><Relationship Id="rId458" Type="http://schemas.openxmlformats.org/officeDocument/2006/relationships/hyperlink" Target="http://bulbapedia.bulbagarden.net/wiki/Bisharp_(Pok%C3%A9mon)" TargetMode="External"/><Relationship Id="rId623" Type="http://schemas.openxmlformats.org/officeDocument/2006/relationships/hyperlink" Target="http://bulbapedia.bulbagarden.net/wiki/Diglett_(Pok%C3%A9mon)" TargetMode="External"/><Relationship Id="rId665" Type="http://schemas.openxmlformats.org/officeDocument/2006/relationships/hyperlink" Target="http://bulbapedia.bulbagarden.net/wiki/Fearow_(Pok%C3%A9mon)" TargetMode="External"/><Relationship Id="rId830" Type="http://schemas.openxmlformats.org/officeDocument/2006/relationships/hyperlink" Target="http://bulbapedia.bulbagarden.net/wiki/Lurantis_(Pok%C3%A9mon)" TargetMode="External"/><Relationship Id="rId872" Type="http://schemas.openxmlformats.org/officeDocument/2006/relationships/hyperlink" Target="http://bulbapedia.bulbagarden.net/wiki/Xurkitree_(Pok%C3%A9mon)" TargetMode="External"/><Relationship Id="rId15" Type="http://schemas.openxmlformats.org/officeDocument/2006/relationships/hyperlink" Target="http://bulbapedia.bulbagarden.net/wiki/Jigglypuff_(Pok%C3%A9mon)" TargetMode="External"/><Relationship Id="rId57" Type="http://schemas.openxmlformats.org/officeDocument/2006/relationships/hyperlink" Target="http://bulbapedia.bulbagarden.net/wiki/Slowbro_(Pok%C3%A9mon)" TargetMode="External"/><Relationship Id="rId262" Type="http://schemas.openxmlformats.org/officeDocument/2006/relationships/hyperlink" Target="http://bulbapedia.bulbagarden.net/wiki/Diancie_(Pok%C3%A9mon)" TargetMode="External"/><Relationship Id="rId318" Type="http://schemas.openxmlformats.org/officeDocument/2006/relationships/hyperlink" Target="http://bulbapedia.bulbagarden.net/wiki/Clawitzer_(Pok%C3%A9mon)" TargetMode="External"/><Relationship Id="rId525" Type="http://schemas.openxmlformats.org/officeDocument/2006/relationships/hyperlink" Target="http://bulbapedia.bulbagarden.net/wiki/Togekiss_(Pok%C3%A9mon)" TargetMode="External"/><Relationship Id="rId567" Type="http://schemas.openxmlformats.org/officeDocument/2006/relationships/hyperlink" Target="http://bulbapedia.bulbagarden.net/wiki/Buizel_(Pok%C3%A9mon)" TargetMode="External"/><Relationship Id="rId732" Type="http://schemas.openxmlformats.org/officeDocument/2006/relationships/hyperlink" Target="http://bulbapedia.bulbagarden.net/wiki/Lugia_(Pok%C3%A9mon)" TargetMode="External"/><Relationship Id="rId99" Type="http://schemas.openxmlformats.org/officeDocument/2006/relationships/hyperlink" Target="http://bulbapedia.bulbagarden.net/wiki/Machop_(Pok%C3%A9mon)" TargetMode="External"/><Relationship Id="rId122" Type="http://schemas.openxmlformats.org/officeDocument/2006/relationships/hyperlink" Target="http://bulbapedia.bulbagarden.net/wiki/Wormadam_(Pok%C3%A9mon)" TargetMode="External"/><Relationship Id="rId164" Type="http://schemas.openxmlformats.org/officeDocument/2006/relationships/hyperlink" Target="http://bulbapedia.bulbagarden.net/wiki/Gible_(Pok%C3%A9mon)" TargetMode="External"/><Relationship Id="rId371" Type="http://schemas.openxmlformats.org/officeDocument/2006/relationships/hyperlink" Target="http://bulbapedia.bulbagarden.net/wiki/Tympole_(Pok%C3%A9mon)" TargetMode="External"/><Relationship Id="rId774" Type="http://schemas.openxmlformats.org/officeDocument/2006/relationships/hyperlink" Target="http://bulbapedia.bulbagarden.net/wiki/Darkrai_(Pok%C3%A9mon)" TargetMode="External"/><Relationship Id="rId427" Type="http://schemas.openxmlformats.org/officeDocument/2006/relationships/hyperlink" Target="http://bulbapedia.bulbagarden.net/wiki/Mankey_(Pok%C3%A9mon)" TargetMode="External"/><Relationship Id="rId469" Type="http://schemas.openxmlformats.org/officeDocument/2006/relationships/hyperlink" Target="http://bulbapedia.bulbagarden.net/wiki/Woobat_(Pok%C3%A9mon)" TargetMode="External"/><Relationship Id="rId634" Type="http://schemas.openxmlformats.org/officeDocument/2006/relationships/hyperlink" Target="http://bulbapedia.bulbagarden.net/wiki/Minun_(Pok%C3%A9mon)" TargetMode="External"/><Relationship Id="rId676" Type="http://schemas.openxmlformats.org/officeDocument/2006/relationships/hyperlink" Target="http://bulbapedia.bulbagarden.net/wiki/Celebi_(Pok%C3%A9mon)" TargetMode="External"/><Relationship Id="rId841" Type="http://schemas.openxmlformats.org/officeDocument/2006/relationships/hyperlink" Target="http://bulbapedia.bulbagarden.net/wiki/Oranguru_(Pok%C3%A9mon)" TargetMode="External"/><Relationship Id="rId883" Type="http://schemas.openxmlformats.org/officeDocument/2006/relationships/printerSettings" Target="../printerSettings/printerSettings2.bin"/><Relationship Id="rId26" Type="http://schemas.openxmlformats.org/officeDocument/2006/relationships/hyperlink" Target="http://bulbapedia.bulbagarden.net/wiki/Solosis_(Pok%C3%A9mon)" TargetMode="External"/><Relationship Id="rId231" Type="http://schemas.openxmlformats.org/officeDocument/2006/relationships/hyperlink" Target="http://bulbapedia.bulbagarden.net/wiki/Marshtomp_(Pok%C3%A9mon)" TargetMode="External"/><Relationship Id="rId273" Type="http://schemas.openxmlformats.org/officeDocument/2006/relationships/hyperlink" Target="http://bulbapedia.bulbagarden.net/wiki/Psyduck_(Pok%C3%A9mon)" TargetMode="External"/><Relationship Id="rId329" Type="http://schemas.openxmlformats.org/officeDocument/2006/relationships/hyperlink" Target="http://bulbapedia.bulbagarden.net/wiki/Porygon2_(Pok%C3%A9mon)" TargetMode="External"/><Relationship Id="rId480" Type="http://schemas.openxmlformats.org/officeDocument/2006/relationships/hyperlink" Target="http://bulbapedia.bulbagarden.net/wiki/Scizor_(Pok%C3%A9mon)" TargetMode="External"/><Relationship Id="rId536" Type="http://schemas.openxmlformats.org/officeDocument/2006/relationships/hyperlink" Target="http://bulbapedia.bulbagarden.net/wiki/Gyarados_(Pok%C3%A9mon)" TargetMode="External"/><Relationship Id="rId701" Type="http://schemas.openxmlformats.org/officeDocument/2006/relationships/hyperlink" Target="http://bulbapedia.bulbagarden.net/wiki/Furfrou_(Pok%C3%A9mon)" TargetMode="External"/><Relationship Id="rId68" Type="http://schemas.openxmlformats.org/officeDocument/2006/relationships/hyperlink" Target="http://bulbapedia.bulbagarden.net/wiki/Magcargo_(Pok%C3%A9mon)" TargetMode="External"/><Relationship Id="rId133" Type="http://schemas.openxmlformats.org/officeDocument/2006/relationships/hyperlink" Target="http://bulbapedia.bulbagarden.net/wiki/Rhydon_(Pok%C3%A9mon)" TargetMode="External"/><Relationship Id="rId175" Type="http://schemas.openxmlformats.org/officeDocument/2006/relationships/hyperlink" Target="http://bulbapedia.bulbagarden.net/wiki/Dragalge_(Pok%C3%A9mon)" TargetMode="External"/><Relationship Id="rId340" Type="http://schemas.openxmlformats.org/officeDocument/2006/relationships/hyperlink" Target="http://bulbapedia.bulbagarden.net/wiki/Whiscash_(Pok%C3%A9mon)" TargetMode="External"/><Relationship Id="rId578" Type="http://schemas.openxmlformats.org/officeDocument/2006/relationships/hyperlink" Target="http://bulbapedia.bulbagarden.net/wiki/Rotom_(Pok%C3%A9mon)" TargetMode="External"/><Relationship Id="rId743" Type="http://schemas.openxmlformats.org/officeDocument/2006/relationships/hyperlink" Target="http://bulbapedia.bulbagarden.net/wiki/Thundurus_(Pok%C3%A9mon)" TargetMode="External"/><Relationship Id="rId785" Type="http://schemas.openxmlformats.org/officeDocument/2006/relationships/hyperlink" Target="http://bulbapedia.bulbagarden.net/wiki/Lopunny_(Pok%C3%A9mon)" TargetMode="External"/><Relationship Id="rId200" Type="http://schemas.openxmlformats.org/officeDocument/2006/relationships/hyperlink" Target="http://bulbapedia.bulbagarden.net/wiki/Oshawott_(Pok%C3%A9mon)" TargetMode="External"/><Relationship Id="rId382" Type="http://schemas.openxmlformats.org/officeDocument/2006/relationships/hyperlink" Target="http://bulbapedia.bulbagarden.net/wiki/Remoraid_(Pok%C3%A9mon)" TargetMode="External"/><Relationship Id="rId438" Type="http://schemas.openxmlformats.org/officeDocument/2006/relationships/hyperlink" Target="http://bulbapedia.bulbagarden.net/wiki/Politoed_(Pok%C3%A9mon)" TargetMode="External"/><Relationship Id="rId603" Type="http://schemas.openxmlformats.org/officeDocument/2006/relationships/hyperlink" Target="http://bulbapedia.bulbagarden.net/wiki/Lucario_(Pok%C3%A9mon)" TargetMode="External"/><Relationship Id="rId645" Type="http://schemas.openxmlformats.org/officeDocument/2006/relationships/hyperlink" Target="http://bulbapedia.bulbagarden.net/wiki/Sawsbuck_(Pok%C3%A9mon)" TargetMode="External"/><Relationship Id="rId687" Type="http://schemas.openxmlformats.org/officeDocument/2006/relationships/hyperlink" Target="http://bulbapedia.bulbagarden.net/wiki/Palkia_(Pok%C3%A9mon)" TargetMode="External"/><Relationship Id="rId810" Type="http://schemas.openxmlformats.org/officeDocument/2006/relationships/hyperlink" Target="http://bulbapedia.bulbagarden.net/wiki/Yungoos_(Pok%C3%A9mon)" TargetMode="External"/><Relationship Id="rId852" Type="http://schemas.openxmlformats.org/officeDocument/2006/relationships/hyperlink" Target="http://bulbapedia.bulbagarden.net/wiki/Turtonator_(Pok%C3%A9mon)" TargetMode="External"/><Relationship Id="rId242" Type="http://schemas.openxmlformats.org/officeDocument/2006/relationships/hyperlink" Target="http://bulbapedia.bulbagarden.net/wiki/Snorunt_(Pok%C3%A9mon)" TargetMode="External"/><Relationship Id="rId284" Type="http://schemas.openxmlformats.org/officeDocument/2006/relationships/hyperlink" Target="http://bulbapedia.bulbagarden.net/wiki/Combusken_(Pok%C3%A9mon)" TargetMode="External"/><Relationship Id="rId491" Type="http://schemas.openxmlformats.org/officeDocument/2006/relationships/hyperlink" Target="http://bulbapedia.bulbagarden.net/wiki/Florges_(Pok%C3%A9mon)" TargetMode="External"/><Relationship Id="rId505" Type="http://schemas.openxmlformats.org/officeDocument/2006/relationships/hyperlink" Target="http://bulbapedia.bulbagarden.net/wiki/Charmeleon_(Pok%C3%A9mon)" TargetMode="External"/><Relationship Id="rId712" Type="http://schemas.openxmlformats.org/officeDocument/2006/relationships/hyperlink" Target="http://bulbapedia.bulbagarden.net/wiki/Lopunny_(Pok%C3%A9mon)" TargetMode="External"/><Relationship Id="rId37" Type="http://schemas.openxmlformats.org/officeDocument/2006/relationships/hyperlink" Target="http://bulbapedia.bulbagarden.net/wiki/Grimer_(Pok%C3%A9mon)" TargetMode="External"/><Relationship Id="rId79" Type="http://schemas.openxmlformats.org/officeDocument/2006/relationships/hyperlink" Target="http://bulbapedia.bulbagarden.net/wiki/Petilil_(Pok%C3%A9mon)" TargetMode="External"/><Relationship Id="rId102" Type="http://schemas.openxmlformats.org/officeDocument/2006/relationships/hyperlink" Target="http://bulbapedia.bulbagarden.net/wiki/Koffing_(Pok%C3%A9mon)" TargetMode="External"/><Relationship Id="rId144" Type="http://schemas.openxmlformats.org/officeDocument/2006/relationships/hyperlink" Target="http://bulbapedia.bulbagarden.net/wiki/Shedinja_(Pok%C3%A9mon)" TargetMode="External"/><Relationship Id="rId547" Type="http://schemas.openxmlformats.org/officeDocument/2006/relationships/hyperlink" Target="http://bulbapedia.bulbagarden.net/wiki/Nidoking_(Pok%C3%A9mon)" TargetMode="External"/><Relationship Id="rId589" Type="http://schemas.openxmlformats.org/officeDocument/2006/relationships/hyperlink" Target="http://bulbapedia.bulbagarden.net/wiki/Ponyta_(Pok%C3%A9mon)" TargetMode="External"/><Relationship Id="rId754" Type="http://schemas.openxmlformats.org/officeDocument/2006/relationships/hyperlink" Target="http://bulbapedia.bulbagarden.net/wiki/Absol_(Pok%C3%A9mon)" TargetMode="External"/><Relationship Id="rId796" Type="http://schemas.openxmlformats.org/officeDocument/2006/relationships/hyperlink" Target="http://bulbapedia.bulbagarden.net/wiki/Deoxys_(Pok%C3%A9mon)" TargetMode="External"/><Relationship Id="rId90" Type="http://schemas.openxmlformats.org/officeDocument/2006/relationships/hyperlink" Target="http://bulbapedia.bulbagarden.net/wiki/Clamperl_(Pok%C3%A9mon)" TargetMode="External"/><Relationship Id="rId186" Type="http://schemas.openxmlformats.org/officeDocument/2006/relationships/hyperlink" Target="http://bulbapedia.bulbagarden.net/wiki/Chikorita_(Pok%C3%A9mon)" TargetMode="External"/><Relationship Id="rId351" Type="http://schemas.openxmlformats.org/officeDocument/2006/relationships/hyperlink" Target="http://bulbapedia.bulbagarden.net/wiki/Karrablast_(Pok%C3%A9mon)" TargetMode="External"/><Relationship Id="rId393" Type="http://schemas.openxmlformats.org/officeDocument/2006/relationships/hyperlink" Target="http://bulbapedia.bulbagarden.net/wiki/Banette_(Pok%C3%A9mon)" TargetMode="External"/><Relationship Id="rId407" Type="http://schemas.openxmlformats.org/officeDocument/2006/relationships/hyperlink" Target="http://bulbapedia.bulbagarden.net/wiki/Mienfoo_(Pok%C3%A9mon)" TargetMode="External"/><Relationship Id="rId449" Type="http://schemas.openxmlformats.org/officeDocument/2006/relationships/hyperlink" Target="http://bulbapedia.bulbagarden.net/wiki/Lunatone_(Pok%C3%A9mon)" TargetMode="External"/><Relationship Id="rId614" Type="http://schemas.openxmlformats.org/officeDocument/2006/relationships/hyperlink" Target="http://bulbapedia.bulbagarden.net/wiki/Chatot_(Pok%C3%A9mon)" TargetMode="External"/><Relationship Id="rId656" Type="http://schemas.openxmlformats.org/officeDocument/2006/relationships/hyperlink" Target="http://bulbapedia.bulbagarden.net/wiki/Swanna_(Pok%C3%A9mon)" TargetMode="External"/><Relationship Id="rId821" Type="http://schemas.openxmlformats.org/officeDocument/2006/relationships/hyperlink" Target="http://bulbapedia.bulbagarden.net/wiki/Lycanroc_(Pok%C3%A9mon)" TargetMode="External"/><Relationship Id="rId863" Type="http://schemas.openxmlformats.org/officeDocument/2006/relationships/hyperlink" Target="http://bulbapedia.bulbagarden.net/wiki/Tapu_Bulu_(Pok%C3%A9mon)" TargetMode="External"/><Relationship Id="rId211" Type="http://schemas.openxmlformats.org/officeDocument/2006/relationships/hyperlink" Target="http://bulbapedia.bulbagarden.net/wiki/Unown_(Pok%C3%A9mon)" TargetMode="External"/><Relationship Id="rId253" Type="http://schemas.openxmlformats.org/officeDocument/2006/relationships/hyperlink" Target="http://bulbapedia.bulbagarden.net/wiki/Tangrowth_(Pok%C3%A9mon)" TargetMode="External"/><Relationship Id="rId295" Type="http://schemas.openxmlformats.org/officeDocument/2006/relationships/hyperlink" Target="http://bulbapedia.bulbagarden.net/wiki/Gothorita_(Pok%C3%A9mon)" TargetMode="External"/><Relationship Id="rId309" Type="http://schemas.openxmlformats.org/officeDocument/2006/relationships/hyperlink" Target="http://bulbapedia.bulbagarden.net/wiki/Wartortle_(Pok%C3%A9mon)" TargetMode="External"/><Relationship Id="rId460" Type="http://schemas.openxmlformats.org/officeDocument/2006/relationships/hyperlink" Target="http://bulbapedia.bulbagarden.net/wiki/Hoopa_(Pok%C3%A9mon)" TargetMode="External"/><Relationship Id="rId516" Type="http://schemas.openxmlformats.org/officeDocument/2006/relationships/hyperlink" Target="http://bulbapedia.bulbagarden.net/wiki/Gardevoir_(Pok%C3%A9mon)" TargetMode="External"/><Relationship Id="rId698" Type="http://schemas.openxmlformats.org/officeDocument/2006/relationships/hyperlink" Target="http://bulbapedia.bulbagarden.net/wiki/Landorus_(Pok%C3%A9mon)" TargetMode="External"/><Relationship Id="rId48" Type="http://schemas.openxmlformats.org/officeDocument/2006/relationships/hyperlink" Target="http://bulbapedia.bulbagarden.net/wiki/Bergmite_(Pok%C3%A9mon)" TargetMode="External"/><Relationship Id="rId113" Type="http://schemas.openxmlformats.org/officeDocument/2006/relationships/hyperlink" Target="http://bulbapedia.bulbagarden.net/wiki/Cherubi_(Pok%C3%A9mon)" TargetMode="External"/><Relationship Id="rId320" Type="http://schemas.openxmlformats.org/officeDocument/2006/relationships/hyperlink" Target="http://bulbapedia.bulbagarden.net/wiki/Clefable_(Pok%C3%A9mon)" TargetMode="External"/><Relationship Id="rId558" Type="http://schemas.openxmlformats.org/officeDocument/2006/relationships/hyperlink" Target="http://bulbapedia.bulbagarden.net/wiki/Qwilfish_(Pok%C3%A9mon)" TargetMode="External"/><Relationship Id="rId723" Type="http://schemas.openxmlformats.org/officeDocument/2006/relationships/hyperlink" Target="http://bulbapedia.bulbagarden.net/wiki/Virizion_(Pok%C3%A9mon)" TargetMode="External"/><Relationship Id="rId765" Type="http://schemas.openxmlformats.org/officeDocument/2006/relationships/hyperlink" Target="http://bulbapedia.bulbagarden.net/wiki/Sceptile_(Pok%C3%A9mon)" TargetMode="External"/><Relationship Id="rId155" Type="http://schemas.openxmlformats.org/officeDocument/2006/relationships/hyperlink" Target="http://bulbapedia.bulbagarden.net/wiki/Frillish_(Pok%C3%A9mon)" TargetMode="External"/><Relationship Id="rId197" Type="http://schemas.openxmlformats.org/officeDocument/2006/relationships/hyperlink" Target="http://bulbapedia.bulbagarden.net/wiki/Chingling_(Pok%C3%A9mon)" TargetMode="External"/><Relationship Id="rId362" Type="http://schemas.openxmlformats.org/officeDocument/2006/relationships/hyperlink" Target="http://bulbapedia.bulbagarden.net/wiki/Sliggoo_(Pok%C3%A9mon)" TargetMode="External"/><Relationship Id="rId418" Type="http://schemas.openxmlformats.org/officeDocument/2006/relationships/hyperlink" Target="http://bulbapedia.bulbagarden.net/wiki/Exploud_(Pok%C3%A9mon)" TargetMode="External"/><Relationship Id="rId625" Type="http://schemas.openxmlformats.org/officeDocument/2006/relationships/hyperlink" Target="http://bulbapedia.bulbagarden.net/wiki/Arcanine_(Pok%C3%A9mon)" TargetMode="External"/><Relationship Id="rId832" Type="http://schemas.openxmlformats.org/officeDocument/2006/relationships/hyperlink" Target="http://bulbapedia.bulbagarden.net/wiki/Shiinotic_(Pok%C3%A9mon)" TargetMode="External"/><Relationship Id="rId222" Type="http://schemas.openxmlformats.org/officeDocument/2006/relationships/hyperlink" Target="http://bulbapedia.bulbagarden.net/wiki/Chansey_(Pok%C3%A9mon)" TargetMode="External"/><Relationship Id="rId264" Type="http://schemas.openxmlformats.org/officeDocument/2006/relationships/hyperlink" Target="http://bulbapedia.bulbagarden.net/wiki/Tropius_(Pok%C3%A9mon)" TargetMode="External"/><Relationship Id="rId471" Type="http://schemas.openxmlformats.org/officeDocument/2006/relationships/hyperlink" Target="http://bulbapedia.bulbagarden.net/wiki/Slurpuff_(Pok%C3%A9mon)" TargetMode="External"/><Relationship Id="rId667" Type="http://schemas.openxmlformats.org/officeDocument/2006/relationships/hyperlink" Target="http://bulbapedia.bulbagarden.net/wiki/Tentacruel_(Pok%C3%A9mon)" TargetMode="External"/><Relationship Id="rId874" Type="http://schemas.openxmlformats.org/officeDocument/2006/relationships/hyperlink" Target="http://bulbapedia.bulbagarden.net/wiki/Kartana_(Pok%C3%A9mon)" TargetMode="External"/><Relationship Id="rId17" Type="http://schemas.openxmlformats.org/officeDocument/2006/relationships/hyperlink" Target="http://bulbapedia.bulbagarden.net/wiki/Sentret_(Pok%C3%A9mon)" TargetMode="External"/><Relationship Id="rId59" Type="http://schemas.openxmlformats.org/officeDocument/2006/relationships/hyperlink" Target="http://bulbapedia.bulbagarden.net/wiki/Snorlax_(Pok%C3%A9mon)" TargetMode="External"/><Relationship Id="rId124" Type="http://schemas.openxmlformats.org/officeDocument/2006/relationships/hyperlink" Target="http://bulbapedia.bulbagarden.net/wiki/Deino_(Pok%C3%A9mon)" TargetMode="External"/><Relationship Id="rId527" Type="http://schemas.openxmlformats.org/officeDocument/2006/relationships/hyperlink" Target="http://bulbapedia.bulbagarden.net/wiki/Gallade_(Pok%C3%A9mon)" TargetMode="External"/><Relationship Id="rId569" Type="http://schemas.openxmlformats.org/officeDocument/2006/relationships/hyperlink" Target="http://bulbapedia.bulbagarden.net/wiki/Buneary_(Pok%C3%A9mon)" TargetMode="External"/><Relationship Id="rId734" Type="http://schemas.openxmlformats.org/officeDocument/2006/relationships/hyperlink" Target="http://bulbapedia.bulbagarden.net/wiki/Latias_(Pok%C3%A9mon)" TargetMode="External"/><Relationship Id="rId776" Type="http://schemas.openxmlformats.org/officeDocument/2006/relationships/hyperlink" Target="http://bulbapedia.bulbagarden.net/wiki/Shaymin_(Pok%C3%A9mon)" TargetMode="External"/><Relationship Id="rId70" Type="http://schemas.openxmlformats.org/officeDocument/2006/relationships/hyperlink" Target="http://bulbapedia.bulbagarden.net/wiki/Seedot_(Pok%C3%A9mon)" TargetMode="External"/><Relationship Id="rId166" Type="http://schemas.openxmlformats.org/officeDocument/2006/relationships/hyperlink" Target="http://bulbapedia.bulbagarden.net/wiki/Sewaddle_(Pok%C3%A9mon)" TargetMode="External"/><Relationship Id="rId331" Type="http://schemas.openxmlformats.org/officeDocument/2006/relationships/hyperlink" Target="http://bulbapedia.bulbagarden.net/wiki/Zigzagoon_(Pok%C3%A9mon)" TargetMode="External"/><Relationship Id="rId373" Type="http://schemas.openxmlformats.org/officeDocument/2006/relationships/hyperlink" Target="http://bulbapedia.bulbagarden.net/wiki/Charmander_(Pok%C3%A9mon)" TargetMode="External"/><Relationship Id="rId429" Type="http://schemas.openxmlformats.org/officeDocument/2006/relationships/hyperlink" Target="http://bulbapedia.bulbagarden.net/wiki/Victreebel_(Pok%C3%A9mon)" TargetMode="External"/><Relationship Id="rId580" Type="http://schemas.openxmlformats.org/officeDocument/2006/relationships/hyperlink" Target="http://bulbapedia.bulbagarden.net/wiki/Excadrill_(Pok%C3%A9mon)" TargetMode="External"/><Relationship Id="rId636" Type="http://schemas.openxmlformats.org/officeDocument/2006/relationships/hyperlink" Target="http://bulbapedia.bulbagarden.net/wiki/Rayquaza_(Pok%C3%A9mon)" TargetMode="External"/><Relationship Id="rId801" Type="http://schemas.openxmlformats.org/officeDocument/2006/relationships/hyperlink" Target="http://bulbapedia.bulbagarden.net/wiki/Decidueye_(Pok%C3%A9mon)" TargetMode="External"/><Relationship Id="rId1" Type="http://schemas.openxmlformats.org/officeDocument/2006/relationships/hyperlink" Target="http://bulbapedia.bulbagarden.net/wiki/Shuckle_(Pok%C3%A9mon)" TargetMode="External"/><Relationship Id="rId233" Type="http://schemas.openxmlformats.org/officeDocument/2006/relationships/hyperlink" Target="http://bulbapedia.bulbagarden.net/wiki/Kirlia_(Pok%C3%A9mon)" TargetMode="External"/><Relationship Id="rId440" Type="http://schemas.openxmlformats.org/officeDocument/2006/relationships/hyperlink" Target="http://bulbapedia.bulbagarden.net/wiki/Skarmory_(Pok%C3%A9mon)" TargetMode="External"/><Relationship Id="rId678" Type="http://schemas.openxmlformats.org/officeDocument/2006/relationships/hyperlink" Target="http://bulbapedia.bulbagarden.net/wiki/Linoone_(Pok%C3%A9mon)" TargetMode="External"/><Relationship Id="rId843" Type="http://schemas.openxmlformats.org/officeDocument/2006/relationships/hyperlink" Target="http://bulbapedia.bulbagarden.net/wiki/Wimpod_(Pok%C3%A9mon)" TargetMode="External"/><Relationship Id="rId28" Type="http://schemas.openxmlformats.org/officeDocument/2006/relationships/hyperlink" Target="http://bulbapedia.bulbagarden.net/wiki/Ferrothorn_(Pok%C3%A9mon)" TargetMode="External"/><Relationship Id="rId275" Type="http://schemas.openxmlformats.org/officeDocument/2006/relationships/hyperlink" Target="http://bulbapedia.bulbagarden.net/wiki/Weepinbell_(Pok%C3%A9mon)" TargetMode="External"/><Relationship Id="rId300" Type="http://schemas.openxmlformats.org/officeDocument/2006/relationships/hyperlink" Target="http://bulbapedia.bulbagarden.net/wiki/Noibat_(Pok%C3%A9mon)" TargetMode="External"/><Relationship Id="rId482" Type="http://schemas.openxmlformats.org/officeDocument/2006/relationships/hyperlink" Target="http://bulbapedia.bulbagarden.net/wiki/Delibird_(Pok%C3%A9mon)" TargetMode="External"/><Relationship Id="rId538" Type="http://schemas.openxmlformats.org/officeDocument/2006/relationships/hyperlink" Target="http://bulbapedia.bulbagarden.net/wiki/Milotic_(Pok%C3%A9mon)" TargetMode="External"/><Relationship Id="rId703" Type="http://schemas.openxmlformats.org/officeDocument/2006/relationships/hyperlink" Target="http://bulbapedia.bulbagarden.net/wiki/Delphox_(Pok%C3%A9mon)" TargetMode="External"/><Relationship Id="rId745" Type="http://schemas.openxmlformats.org/officeDocument/2006/relationships/hyperlink" Target="http://bulbapedia.bulbagarden.net/wiki/Lucario_(Pok%C3%A9mon)" TargetMode="External"/><Relationship Id="rId81" Type="http://schemas.openxmlformats.org/officeDocument/2006/relationships/hyperlink" Target="http://bulbapedia.bulbagarden.net/wiki/Cofagrigus_(Pok%C3%A9mon)" TargetMode="External"/><Relationship Id="rId135" Type="http://schemas.openxmlformats.org/officeDocument/2006/relationships/hyperlink" Target="http://bulbapedia.bulbagarden.net/wiki/Ariados_(Pok%C3%A9mon)" TargetMode="External"/><Relationship Id="rId177" Type="http://schemas.openxmlformats.org/officeDocument/2006/relationships/hyperlink" Target="http://bulbapedia.bulbagarden.net/wiki/Bulbasaur_(Pok%C3%A9mon)" TargetMode="External"/><Relationship Id="rId342" Type="http://schemas.openxmlformats.org/officeDocument/2006/relationships/hyperlink" Target="http://bulbapedia.bulbagarden.net/wiki/Starly_(Pok%C3%A9mon)" TargetMode="External"/><Relationship Id="rId384" Type="http://schemas.openxmlformats.org/officeDocument/2006/relationships/hyperlink" Target="http://bulbapedia.bulbagarden.net/wiki/Smoochum_(Pok%C3%A9mon)" TargetMode="External"/><Relationship Id="rId591" Type="http://schemas.openxmlformats.org/officeDocument/2006/relationships/hyperlink" Target="http://bulbapedia.bulbagarden.net/wiki/Mr._Mime_(Pok%C3%A9mon)" TargetMode="External"/><Relationship Id="rId605" Type="http://schemas.openxmlformats.org/officeDocument/2006/relationships/hyperlink" Target="http://bulbapedia.bulbagarden.net/wiki/Dialga_(Pok%C3%A9mon)" TargetMode="External"/><Relationship Id="rId787" Type="http://schemas.openxmlformats.org/officeDocument/2006/relationships/hyperlink" Target="http://bulbapedia.bulbagarden.net/wiki/Mewtwo_(Pok%C3%A9mon)" TargetMode="External"/><Relationship Id="rId812" Type="http://schemas.openxmlformats.org/officeDocument/2006/relationships/hyperlink" Target="http://bulbapedia.bulbagarden.net/wiki/Grubbin_(Pok%C3%A9mon)" TargetMode="External"/><Relationship Id="rId202" Type="http://schemas.openxmlformats.org/officeDocument/2006/relationships/hyperlink" Target="http://bulbapedia.bulbagarden.net/wiki/Throh_(Pok%C3%A9mon)" TargetMode="External"/><Relationship Id="rId244" Type="http://schemas.openxmlformats.org/officeDocument/2006/relationships/hyperlink" Target="http://bulbapedia.bulbagarden.net/wiki/Shelgon_(Pok%C3%A9mon)" TargetMode="External"/><Relationship Id="rId647" Type="http://schemas.openxmlformats.org/officeDocument/2006/relationships/hyperlink" Target="http://bulbapedia.bulbagarden.net/wiki/Kyurem_(Pok%C3%A9mon)" TargetMode="External"/><Relationship Id="rId689" Type="http://schemas.openxmlformats.org/officeDocument/2006/relationships/hyperlink" Target="http://bulbapedia.bulbagarden.net/wiki/Manaphy_(Pok%C3%A9mon)" TargetMode="External"/><Relationship Id="rId854" Type="http://schemas.openxmlformats.org/officeDocument/2006/relationships/hyperlink" Target="http://bulbapedia.bulbagarden.net/wiki/Mimikyu_(Pok%C3%A9mon)" TargetMode="External"/><Relationship Id="rId39" Type="http://schemas.openxmlformats.org/officeDocument/2006/relationships/hyperlink" Target="http://bulbapedia.bulbagarden.net/wiki/Makuhita_(Pok%C3%A9mon)" TargetMode="External"/><Relationship Id="rId286" Type="http://schemas.openxmlformats.org/officeDocument/2006/relationships/hyperlink" Target="http://bulbapedia.bulbagarden.net/wiki/Cacturne_(Pok%C3%A9mon)" TargetMode="External"/><Relationship Id="rId451" Type="http://schemas.openxmlformats.org/officeDocument/2006/relationships/hyperlink" Target="http://bulbapedia.bulbagarden.net/wiki/Castform_(Pok%C3%A9mon)" TargetMode="External"/><Relationship Id="rId493" Type="http://schemas.openxmlformats.org/officeDocument/2006/relationships/hyperlink" Target="http://bulbapedia.bulbagarden.net/wiki/Nidoqueen_(Pok%C3%A9mon)" TargetMode="External"/><Relationship Id="rId507" Type="http://schemas.openxmlformats.org/officeDocument/2006/relationships/hyperlink" Target="http://bulbapedia.bulbagarden.net/wiki/Gastly_(Pok%C3%A9mon)" TargetMode="External"/><Relationship Id="rId549" Type="http://schemas.openxmlformats.org/officeDocument/2006/relationships/hyperlink" Target="http://bulbapedia.bulbagarden.net/wiki/Seadra_(Pok%C3%A9mon)" TargetMode="External"/><Relationship Id="rId714" Type="http://schemas.openxmlformats.org/officeDocument/2006/relationships/hyperlink" Target="http://bulbapedia.bulbagarden.net/wiki/Zoroark_(Pok%C3%A9mon)" TargetMode="External"/><Relationship Id="rId756" Type="http://schemas.openxmlformats.org/officeDocument/2006/relationships/hyperlink" Target="http://bulbapedia.bulbagarden.net/wiki/Floatzel_(Pok%C3%A9mon)" TargetMode="External"/><Relationship Id="rId50" Type="http://schemas.openxmlformats.org/officeDocument/2006/relationships/hyperlink" Target="http://bulbapedia.bulbagarden.net/wiki/Musharna_(Pok%C3%A9mon)" TargetMode="External"/><Relationship Id="rId104" Type="http://schemas.openxmlformats.org/officeDocument/2006/relationships/hyperlink" Target="http://bulbapedia.bulbagarden.net/wiki/Mareep_(Pok%C3%A9mon)" TargetMode="External"/><Relationship Id="rId146" Type="http://schemas.openxmlformats.org/officeDocument/2006/relationships/hyperlink" Target="http://bulbapedia.bulbagarden.net/wiki/Gulpin_(Pok%C3%A9mon)" TargetMode="External"/><Relationship Id="rId188" Type="http://schemas.openxmlformats.org/officeDocument/2006/relationships/hyperlink" Target="http://bulbapedia.bulbagarden.net/wiki/Ampharos_(Pok%C3%A9mon)" TargetMode="External"/><Relationship Id="rId311" Type="http://schemas.openxmlformats.org/officeDocument/2006/relationships/hyperlink" Target="http://bulbapedia.bulbagarden.net/wiki/Cranidos_(Pok%C3%A9mon)" TargetMode="External"/><Relationship Id="rId353" Type="http://schemas.openxmlformats.org/officeDocument/2006/relationships/hyperlink" Target="http://bulbapedia.bulbagarden.net/wiki/Tynamo_(Pok%C3%A9mon)" TargetMode="External"/><Relationship Id="rId395" Type="http://schemas.openxmlformats.org/officeDocument/2006/relationships/hyperlink" Target="http://bulbapedia.bulbagarden.net/wiki/Walrein_(Pok%C3%A9mon)" TargetMode="External"/><Relationship Id="rId409" Type="http://schemas.openxmlformats.org/officeDocument/2006/relationships/hyperlink" Target="http://bulbapedia.bulbagarden.net/wiki/Mothim_(Pok%C3%A9mon)" TargetMode="External"/><Relationship Id="rId560" Type="http://schemas.openxmlformats.org/officeDocument/2006/relationships/hyperlink" Target="http://bulbapedia.bulbagarden.net/wiki/Kingdra_(Pok%C3%A9mon)" TargetMode="External"/><Relationship Id="rId798" Type="http://schemas.openxmlformats.org/officeDocument/2006/relationships/hyperlink" Target="http://bulbapedia.bulbagarden.net/wiki/Pumpkaboo_(Pok%C3%A9mon)" TargetMode="External"/><Relationship Id="rId92" Type="http://schemas.openxmlformats.org/officeDocument/2006/relationships/hyperlink" Target="http://bulbapedia.bulbagarden.net/wiki/Carracosta_(Pok%C3%A9mon)" TargetMode="External"/><Relationship Id="rId213" Type="http://schemas.openxmlformats.org/officeDocument/2006/relationships/hyperlink" Target="http://bulbapedia.bulbagarden.net/wiki/Scraggy_(Pok%C3%A9mon)" TargetMode="External"/><Relationship Id="rId420" Type="http://schemas.openxmlformats.org/officeDocument/2006/relationships/hyperlink" Target="http://bulbapedia.bulbagarden.net/wiki/Gogoat_(Pok%C3%A9mon)" TargetMode="External"/><Relationship Id="rId616" Type="http://schemas.openxmlformats.org/officeDocument/2006/relationships/hyperlink" Target="http://bulbapedia.bulbagarden.net/wiki/Rotom_(Pok%C3%A9mon)" TargetMode="External"/><Relationship Id="rId658" Type="http://schemas.openxmlformats.org/officeDocument/2006/relationships/hyperlink" Target="http://bulbapedia.bulbagarden.net/wiki/Genesect_(Pok%C3%A9mon)" TargetMode="External"/><Relationship Id="rId823" Type="http://schemas.openxmlformats.org/officeDocument/2006/relationships/hyperlink" Target="http://bulbapedia.bulbagarden.net/wiki/Mareanie_(Pok%C3%A9mon)" TargetMode="External"/><Relationship Id="rId865" Type="http://schemas.openxmlformats.org/officeDocument/2006/relationships/hyperlink" Target="http://bulbapedia.bulbagarden.net/wiki/Cosmog_(Pok%C3%A9mon)" TargetMode="External"/><Relationship Id="rId255" Type="http://schemas.openxmlformats.org/officeDocument/2006/relationships/hyperlink" Target="http://bulbapedia.bulbagarden.net/wiki/Audino_(Pok%C3%A9mon)" TargetMode="External"/><Relationship Id="rId297" Type="http://schemas.openxmlformats.org/officeDocument/2006/relationships/hyperlink" Target="http://bulbapedia.bulbagarden.net/wiki/Lampent_(Pok%C3%A9mon)" TargetMode="External"/><Relationship Id="rId462" Type="http://schemas.openxmlformats.org/officeDocument/2006/relationships/hyperlink" Target="http://bulbapedia.bulbagarden.net/wiki/Pidgeotto_(Pok%C3%A9mon)" TargetMode="External"/><Relationship Id="rId518" Type="http://schemas.openxmlformats.org/officeDocument/2006/relationships/hyperlink" Target="http://bulbapedia.bulbagarden.net/wiki/Grumpig_(Pok%C3%A9mon)" TargetMode="External"/><Relationship Id="rId725" Type="http://schemas.openxmlformats.org/officeDocument/2006/relationships/hyperlink" Target="http://bulbapedia.bulbagarden.net/wiki/Durant_(Pok%C3%A9mon)" TargetMode="External"/><Relationship Id="rId115" Type="http://schemas.openxmlformats.org/officeDocument/2006/relationships/hyperlink" Target="http://bulbapedia.bulbagarden.net/wiki/Timburr_(Pok%C3%A9mon)" TargetMode="External"/><Relationship Id="rId157" Type="http://schemas.openxmlformats.org/officeDocument/2006/relationships/hyperlink" Target="http://bulbapedia.bulbagarden.net/wiki/Beheeyem_(Pok%C3%A9mon)" TargetMode="External"/><Relationship Id="rId322" Type="http://schemas.openxmlformats.org/officeDocument/2006/relationships/hyperlink" Target="http://bulbapedia.bulbagarden.net/wiki/Farfetch%27d_(Pok%C3%A9mon)" TargetMode="External"/><Relationship Id="rId364" Type="http://schemas.openxmlformats.org/officeDocument/2006/relationships/hyperlink" Target="http://bulbapedia.bulbagarden.net/wiki/Chimchar_(Pok%C3%A9mon)" TargetMode="External"/><Relationship Id="rId767" Type="http://schemas.openxmlformats.org/officeDocument/2006/relationships/hyperlink" Target="http://bulbapedia.bulbagarden.net/wiki/Arceus_(Pok%C3%A9mon)" TargetMode="External"/><Relationship Id="rId61" Type="http://schemas.openxmlformats.org/officeDocument/2006/relationships/hyperlink" Target="http://bulbapedia.bulbagarden.net/wiki/Sudowoodo_(Pok%C3%A9mon)" TargetMode="External"/><Relationship Id="rId199" Type="http://schemas.openxmlformats.org/officeDocument/2006/relationships/hyperlink" Target="http://bulbapedia.bulbagarden.net/wiki/Tepig_(Pok%C3%A9mon)" TargetMode="External"/><Relationship Id="rId571" Type="http://schemas.openxmlformats.org/officeDocument/2006/relationships/hyperlink" Target="http://bulbapedia.bulbagarden.net/wiki/Toxicroak_(Pok%C3%A9mon)" TargetMode="External"/><Relationship Id="rId627" Type="http://schemas.openxmlformats.org/officeDocument/2006/relationships/hyperlink" Target="http://bulbapedia.bulbagarden.net/wiki/Jynx_(Pok%C3%A9mon)" TargetMode="External"/><Relationship Id="rId669" Type="http://schemas.openxmlformats.org/officeDocument/2006/relationships/hyperlink" Target="http://bulbapedia.bulbagarden.net/wiki/Voltorb_(Pok%C3%A9mon)" TargetMode="External"/><Relationship Id="rId834" Type="http://schemas.openxmlformats.org/officeDocument/2006/relationships/hyperlink" Target="http://bulbapedia.bulbagarden.net/wiki/Salazzle_(Pok%C3%A9mon)" TargetMode="External"/><Relationship Id="rId876" Type="http://schemas.openxmlformats.org/officeDocument/2006/relationships/hyperlink" Target="http://bulbapedia.bulbagarden.net/wiki/Necrozma_(Pok%C3%A9mon)" TargetMode="External"/><Relationship Id="rId19" Type="http://schemas.openxmlformats.org/officeDocument/2006/relationships/hyperlink" Target="http://bulbapedia.bulbagarden.net/wiki/Slugma_(Pok%C3%A9mon)" TargetMode="External"/><Relationship Id="rId224" Type="http://schemas.openxmlformats.org/officeDocument/2006/relationships/hyperlink" Target="http://bulbapedia.bulbagarden.net/wiki/Hoothoot_(Pok%C3%A9mon)" TargetMode="External"/><Relationship Id="rId266" Type="http://schemas.openxmlformats.org/officeDocument/2006/relationships/hyperlink" Target="http://bulbapedia.bulbagarden.net/wiki/Huntail_(Pok%C3%A9mon)" TargetMode="External"/><Relationship Id="rId431" Type="http://schemas.openxmlformats.org/officeDocument/2006/relationships/hyperlink" Target="http://bulbapedia.bulbagarden.net/wiki/Magneton_(Pok%C3%A9mon)" TargetMode="External"/><Relationship Id="rId473" Type="http://schemas.openxmlformats.org/officeDocument/2006/relationships/hyperlink" Target="http://bulbapedia.bulbagarden.net/wiki/Malamar_(Pok%C3%A9mon)" TargetMode="External"/><Relationship Id="rId529" Type="http://schemas.openxmlformats.org/officeDocument/2006/relationships/hyperlink" Target="http://bulbapedia.bulbagarden.net/wiki/Phione_(Pok%C3%A9mon)" TargetMode="External"/><Relationship Id="rId680" Type="http://schemas.openxmlformats.org/officeDocument/2006/relationships/hyperlink" Target="http://bulbapedia.bulbagarden.net/wiki/Slaking_(Pok%C3%A9mon)" TargetMode="External"/><Relationship Id="rId736" Type="http://schemas.openxmlformats.org/officeDocument/2006/relationships/hyperlink" Target="http://bulbapedia.bulbagarden.net/wiki/Latios_(Pok%C3%A9mon)" TargetMode="External"/><Relationship Id="rId30" Type="http://schemas.openxmlformats.org/officeDocument/2006/relationships/hyperlink" Target="http://bulbapedia.bulbagarden.net/wiki/Tirtouga_(Pok%C3%A9mon)" TargetMode="External"/><Relationship Id="rId126" Type="http://schemas.openxmlformats.org/officeDocument/2006/relationships/hyperlink" Target="http://bulbapedia.bulbagarden.net/wiki/Phantump_(Pok%C3%A9mon)" TargetMode="External"/><Relationship Id="rId168" Type="http://schemas.openxmlformats.org/officeDocument/2006/relationships/hyperlink" Target="http://bulbapedia.bulbagarden.net/wiki/Flab%C3%A9b%C3%A9_(Pok%C3%A9mon)" TargetMode="External"/><Relationship Id="rId333" Type="http://schemas.openxmlformats.org/officeDocument/2006/relationships/hyperlink" Target="http://bulbapedia.bulbagarden.net/wiki/Masquerain_(Pok%C3%A9mon)" TargetMode="External"/><Relationship Id="rId540" Type="http://schemas.openxmlformats.org/officeDocument/2006/relationships/hyperlink" Target="http://bulbapedia.bulbagarden.net/wiki/Gabite_(Pok%C3%A9mon)" TargetMode="External"/><Relationship Id="rId778" Type="http://schemas.openxmlformats.org/officeDocument/2006/relationships/hyperlink" Target="http://bulbapedia.bulbagarden.net/wiki/Gengar_(Pok%C3%A9mon)" TargetMode="External"/><Relationship Id="rId72" Type="http://schemas.openxmlformats.org/officeDocument/2006/relationships/hyperlink" Target="http://bulbapedia.bulbagarden.net/wiki/Nosepass_(Pok%C3%A9mon)" TargetMode="External"/><Relationship Id="rId375" Type="http://schemas.openxmlformats.org/officeDocument/2006/relationships/hyperlink" Target="http://bulbapedia.bulbagarden.net/wiki/Nidorino_(Pok%C3%A9mon)" TargetMode="External"/><Relationship Id="rId582" Type="http://schemas.openxmlformats.org/officeDocument/2006/relationships/hyperlink" Target="http://bulbapedia.bulbagarden.net/wiki/Pikachu_(Pok%C3%A9mon)" TargetMode="External"/><Relationship Id="rId638" Type="http://schemas.openxmlformats.org/officeDocument/2006/relationships/hyperlink" Target="http://bulbapedia.bulbagarden.net/wiki/Drapion_(Pok%C3%A9mon)" TargetMode="External"/><Relationship Id="rId803" Type="http://schemas.openxmlformats.org/officeDocument/2006/relationships/hyperlink" Target="http://bulbapedia.bulbagarden.net/wiki/Incineroar_(Pok%C3%A9mon)" TargetMode="External"/><Relationship Id="rId845" Type="http://schemas.openxmlformats.org/officeDocument/2006/relationships/hyperlink" Target="http://bulbapedia.bulbagarden.net/wiki/Sandygast_(Pok%C3%A9mon)" TargetMode="External"/><Relationship Id="rId3" Type="http://schemas.openxmlformats.org/officeDocument/2006/relationships/hyperlink" Target="http://bulbapedia.bulbagarden.net/wiki/Trapinch_(Pok%C3%A9mon)" TargetMode="External"/><Relationship Id="rId235" Type="http://schemas.openxmlformats.org/officeDocument/2006/relationships/hyperlink" Target="http://bulbapedia.bulbagarden.net/wiki/Skitty_(Pok%C3%A9mon)" TargetMode="External"/><Relationship Id="rId277" Type="http://schemas.openxmlformats.org/officeDocument/2006/relationships/hyperlink" Target="http://bulbapedia.bulbagarden.net/wiki/Eevee_(Pok%C3%A9mon)" TargetMode="External"/><Relationship Id="rId400" Type="http://schemas.openxmlformats.org/officeDocument/2006/relationships/hyperlink" Target="http://bulbapedia.bulbagarden.net/wiki/Tranquill_(Pok%C3%A9mon)" TargetMode="External"/><Relationship Id="rId442" Type="http://schemas.openxmlformats.org/officeDocument/2006/relationships/hyperlink" Target="http://bulbapedia.bulbagarden.net/wiki/Treecko_(Pok%C3%A9mon)" TargetMode="External"/><Relationship Id="rId484" Type="http://schemas.openxmlformats.org/officeDocument/2006/relationships/hyperlink" Target="http://bulbapedia.bulbagarden.net/wiki/Claydol_(Pok%C3%A9mon)" TargetMode="External"/><Relationship Id="rId705" Type="http://schemas.openxmlformats.org/officeDocument/2006/relationships/hyperlink" Target="http://bulbapedia.bulbagarden.net/wiki/Kadabra_(Pok%C3%A9mon)" TargetMode="External"/><Relationship Id="rId137" Type="http://schemas.openxmlformats.org/officeDocument/2006/relationships/hyperlink" Target="http://bulbapedia.bulbagarden.net/wiki/Marill_(Pok%C3%A9mon)" TargetMode="External"/><Relationship Id="rId302" Type="http://schemas.openxmlformats.org/officeDocument/2006/relationships/hyperlink" Target="http://bulbapedia.bulbagarden.net/wiki/Nidorina_(Pok%C3%A9mon)" TargetMode="External"/><Relationship Id="rId344" Type="http://schemas.openxmlformats.org/officeDocument/2006/relationships/hyperlink" Target="http://bulbapedia.bulbagarden.net/wiki/Mime_Jr._(Pok%C3%A9mon)" TargetMode="External"/><Relationship Id="rId691" Type="http://schemas.openxmlformats.org/officeDocument/2006/relationships/hyperlink" Target="http://bulbapedia.bulbagarden.net/wiki/Victini_(Pok%C3%A9mon)" TargetMode="External"/><Relationship Id="rId747" Type="http://schemas.openxmlformats.org/officeDocument/2006/relationships/hyperlink" Target="http://bulbapedia.bulbagarden.net/wiki/Serperior_(Pok%C3%A9mon)" TargetMode="External"/><Relationship Id="rId789" Type="http://schemas.openxmlformats.org/officeDocument/2006/relationships/hyperlink" Target="http://bulbapedia.bulbagarden.net/wiki/Sceptile_(Pok%C3%A9mon)" TargetMode="External"/><Relationship Id="rId41" Type="http://schemas.openxmlformats.org/officeDocument/2006/relationships/hyperlink" Target="http://bulbapedia.bulbagarden.net/wiki/Dusclops_(Pok%C3%A9mon)" TargetMode="External"/><Relationship Id="rId83" Type="http://schemas.openxmlformats.org/officeDocument/2006/relationships/hyperlink" Target="http://bulbapedia.bulbagarden.net/wiki/Reuniclus_(Pok%C3%A9mon)" TargetMode="External"/><Relationship Id="rId179" Type="http://schemas.openxmlformats.org/officeDocument/2006/relationships/hyperlink" Target="http://bulbapedia.bulbagarden.net/wiki/Wigglytuff_(Pok%C3%A9mon)" TargetMode="External"/><Relationship Id="rId386" Type="http://schemas.openxmlformats.org/officeDocument/2006/relationships/hyperlink" Target="http://bulbapedia.bulbagarden.net/wiki/Dustox_(Pok%C3%A9mon)" TargetMode="External"/><Relationship Id="rId551" Type="http://schemas.openxmlformats.org/officeDocument/2006/relationships/hyperlink" Target="http://bulbapedia.bulbagarden.net/wiki/Pinsir_(Pok%C3%A9mon)" TargetMode="External"/><Relationship Id="rId593" Type="http://schemas.openxmlformats.org/officeDocument/2006/relationships/hyperlink" Target="http://bulbapedia.bulbagarden.net/wiki/Furret_(Pok%C3%A9mon)" TargetMode="External"/><Relationship Id="rId607" Type="http://schemas.openxmlformats.org/officeDocument/2006/relationships/hyperlink" Target="http://bulbapedia.bulbagarden.net/wiki/Giratina_(Pok%C3%A9mon)" TargetMode="External"/><Relationship Id="rId649" Type="http://schemas.openxmlformats.org/officeDocument/2006/relationships/hyperlink" Target="http://bulbapedia.bulbagarden.net/wiki/Zygarde_(Pok%C3%A9mon)" TargetMode="External"/><Relationship Id="rId814" Type="http://schemas.openxmlformats.org/officeDocument/2006/relationships/hyperlink" Target="http://bulbapedia.bulbagarden.net/wiki/Vikavolt_(Pok%C3%A9mon)" TargetMode="External"/><Relationship Id="rId856" Type="http://schemas.openxmlformats.org/officeDocument/2006/relationships/hyperlink" Target="http://bulbapedia.bulbagarden.net/wiki/Drampa_(Pok%C3%A9mon)" TargetMode="External"/><Relationship Id="rId190" Type="http://schemas.openxmlformats.org/officeDocument/2006/relationships/hyperlink" Target="http://bulbapedia.bulbagarden.net/wiki/Granbull_(Pok%C3%A9mon)" TargetMode="External"/><Relationship Id="rId204" Type="http://schemas.openxmlformats.org/officeDocument/2006/relationships/hyperlink" Target="http://bulbapedia.bulbagarden.net/wiki/Gothita_(Pok%C3%A9mon)" TargetMode="External"/><Relationship Id="rId246" Type="http://schemas.openxmlformats.org/officeDocument/2006/relationships/hyperlink" Target="http://bulbapedia.bulbagarden.net/wiki/Regirock_(Pok%C3%A9mon)" TargetMode="External"/><Relationship Id="rId288" Type="http://schemas.openxmlformats.org/officeDocument/2006/relationships/hyperlink" Target="http://bulbapedia.bulbagarden.net/wiki/Baltoy_(Pok%C3%A9mon)" TargetMode="External"/><Relationship Id="rId411" Type="http://schemas.openxmlformats.org/officeDocument/2006/relationships/hyperlink" Target="http://bulbapedia.bulbagarden.net/wiki/Purrloin_(Pok%C3%A9mon)" TargetMode="External"/><Relationship Id="rId453" Type="http://schemas.openxmlformats.org/officeDocument/2006/relationships/hyperlink" Target="http://bulbapedia.bulbagarden.net/wiki/Luxray_(Pok%C3%A9mon)" TargetMode="External"/><Relationship Id="rId509" Type="http://schemas.openxmlformats.org/officeDocument/2006/relationships/hyperlink" Target="http://bulbapedia.bulbagarden.net/wiki/Kabutops_(Pok%C3%A9mon)" TargetMode="External"/><Relationship Id="rId660" Type="http://schemas.openxmlformats.org/officeDocument/2006/relationships/hyperlink" Target="http://bulbapedia.bulbagarden.net/wiki/Xerneas_(Pok%C3%A9mon)" TargetMode="External"/><Relationship Id="rId106" Type="http://schemas.openxmlformats.org/officeDocument/2006/relationships/hyperlink" Target="http://bulbapedia.bulbagarden.net/wiki/Corsola_(Pok%C3%A9mon)" TargetMode="External"/><Relationship Id="rId313" Type="http://schemas.openxmlformats.org/officeDocument/2006/relationships/hyperlink" Target="http://bulbapedia.bulbagarden.net/wiki/Scrafty_(Pok%C3%A9mon)" TargetMode="External"/><Relationship Id="rId495" Type="http://schemas.openxmlformats.org/officeDocument/2006/relationships/hyperlink" Target="http://bulbapedia.bulbagarden.net/wiki/Blitzle_(Pok%C3%A9mon)" TargetMode="External"/><Relationship Id="rId716" Type="http://schemas.openxmlformats.org/officeDocument/2006/relationships/hyperlink" Target="http://bulbapedia.bulbagarden.net/wiki/Mienshao_(Pok%C3%A9mon)" TargetMode="External"/><Relationship Id="rId758" Type="http://schemas.openxmlformats.org/officeDocument/2006/relationships/hyperlink" Target="http://bulbapedia.bulbagarden.net/wiki/Azelf_(Pok%C3%A9mon)" TargetMode="External"/><Relationship Id="rId10" Type="http://schemas.openxmlformats.org/officeDocument/2006/relationships/hyperlink" Target="http://bulbapedia.bulbagarden.net/wiki/Pineco_(Pok%C3%A9mon)" TargetMode="External"/><Relationship Id="rId52" Type="http://schemas.openxmlformats.org/officeDocument/2006/relationships/hyperlink" Target="http://bulbapedia.bulbagarden.net/wiki/Aromatisse_(Pok%C3%A9mon)" TargetMode="External"/><Relationship Id="rId94" Type="http://schemas.openxmlformats.org/officeDocument/2006/relationships/hyperlink" Target="http://bulbapedia.bulbagarden.net/wiki/Wobbuffet_(Pok%C3%A9mon)" TargetMode="External"/><Relationship Id="rId148" Type="http://schemas.openxmlformats.org/officeDocument/2006/relationships/hyperlink" Target="http://bulbapedia.bulbagarden.net/wiki/Kecleon_(Pok%C3%A9mon)" TargetMode="External"/><Relationship Id="rId355" Type="http://schemas.openxmlformats.org/officeDocument/2006/relationships/hyperlink" Target="http://bulbapedia.bulbagarden.net/wiki/Rufflet_(Pok%C3%A9mon)" TargetMode="External"/><Relationship Id="rId397" Type="http://schemas.openxmlformats.org/officeDocument/2006/relationships/hyperlink" Target="http://bulbapedia.bulbagarden.net/wiki/Skorupi_(Pok%C3%A9mon)" TargetMode="External"/><Relationship Id="rId520" Type="http://schemas.openxmlformats.org/officeDocument/2006/relationships/hyperlink" Target="http://bulbapedia.bulbagarden.net/wiki/Altaria_(Pok%C3%A9mon)" TargetMode="External"/><Relationship Id="rId562" Type="http://schemas.openxmlformats.org/officeDocument/2006/relationships/hyperlink" Target="http://bulbapedia.bulbagarden.net/wiki/Suicune_(Pok%C3%A9mon)" TargetMode="External"/><Relationship Id="rId618" Type="http://schemas.openxmlformats.org/officeDocument/2006/relationships/hyperlink" Target="http://bulbapedia.bulbagarden.net/wiki/Garchomp_(Pok%C3%A9mon)" TargetMode="External"/><Relationship Id="rId825" Type="http://schemas.openxmlformats.org/officeDocument/2006/relationships/hyperlink" Target="http://bulbapedia.bulbagarden.net/wiki/Mudbray_(Pok%C3%A9mon)" TargetMode="External"/><Relationship Id="rId215" Type="http://schemas.openxmlformats.org/officeDocument/2006/relationships/hyperlink" Target="http://bulbapedia.bulbagarden.net/wiki/Tyrunt_(Pok%C3%A9mon)" TargetMode="External"/><Relationship Id="rId257" Type="http://schemas.openxmlformats.org/officeDocument/2006/relationships/hyperlink" Target="http://bulbapedia.bulbagarden.net/wiki/Klang_(Pok%C3%A9mon)" TargetMode="External"/><Relationship Id="rId422" Type="http://schemas.openxmlformats.org/officeDocument/2006/relationships/hyperlink" Target="http://bulbapedia.bulbagarden.net/wiki/Barbaracle_(Pok%C3%A9mon)" TargetMode="External"/><Relationship Id="rId464" Type="http://schemas.openxmlformats.org/officeDocument/2006/relationships/hyperlink" Target="http://bulbapedia.bulbagarden.net/wiki/Bibarel_(Pok%C3%A9mon)" TargetMode="External"/><Relationship Id="rId867" Type="http://schemas.openxmlformats.org/officeDocument/2006/relationships/hyperlink" Target="http://bulbapedia.bulbagarden.net/wiki/Solgaleo_(Pok%C3%A9mon)" TargetMode="External"/><Relationship Id="rId299" Type="http://schemas.openxmlformats.org/officeDocument/2006/relationships/hyperlink" Target="http://bulbapedia.bulbagarden.net/wiki/Bouffalant_(Pok%C3%A9mon)" TargetMode="External"/><Relationship Id="rId727" Type="http://schemas.openxmlformats.org/officeDocument/2006/relationships/hyperlink" Target="http://bulbapedia.bulbagarden.net/wiki/Raichu_(Pok%C3%A9mon)" TargetMode="External"/><Relationship Id="rId63" Type="http://schemas.openxmlformats.org/officeDocument/2006/relationships/hyperlink" Target="http://bulbapedia.bulbagarden.net/wiki/Sunflora_(Pok%C3%A9mon)" TargetMode="External"/><Relationship Id="rId159" Type="http://schemas.openxmlformats.org/officeDocument/2006/relationships/hyperlink" Target="http://bulbapedia.bulbagarden.net/wiki/Goomy_(Pok%C3%A9mon)" TargetMode="External"/><Relationship Id="rId366" Type="http://schemas.openxmlformats.org/officeDocument/2006/relationships/hyperlink" Target="http://bulbapedia.bulbagarden.net/wiki/Goldeen_(Pok%C3%A9mon)" TargetMode="External"/><Relationship Id="rId573" Type="http://schemas.openxmlformats.org/officeDocument/2006/relationships/hyperlink" Target="http://bulbapedia.bulbagarden.net/wiki/Sawk_(Pok%C3%A9mon)" TargetMode="External"/><Relationship Id="rId780" Type="http://schemas.openxmlformats.org/officeDocument/2006/relationships/hyperlink" Target="http://bulbapedia.bulbagarden.net/wiki/Aerodactyl_(Pok%C3%A9mon)" TargetMode="External"/><Relationship Id="rId226" Type="http://schemas.openxmlformats.org/officeDocument/2006/relationships/hyperlink" Target="http://bulbapedia.bulbagarden.net/wiki/Azumarill_(Pok%C3%A9mon)" TargetMode="External"/><Relationship Id="rId433" Type="http://schemas.openxmlformats.org/officeDocument/2006/relationships/hyperlink" Target="http://bulbapedia.bulbagarden.net/wiki/Cloyster_(Pok%C3%A9mon)" TargetMode="External"/><Relationship Id="rId878" Type="http://schemas.openxmlformats.org/officeDocument/2006/relationships/hyperlink" Target="http://bulbapedia.bulbagarden.net/wiki/Marshadow_(Pok%C3%A9mon)" TargetMode="External"/><Relationship Id="rId640" Type="http://schemas.openxmlformats.org/officeDocument/2006/relationships/hyperlink" Target="http://bulbapedia.bulbagarden.net/wiki/Yanmega_(Pok%C3%A9mon)" TargetMode="External"/><Relationship Id="rId738" Type="http://schemas.openxmlformats.org/officeDocument/2006/relationships/hyperlink" Target="http://bulbapedia.bulbagarden.net/wiki/Gallade_(Pok%C3%A9mon)" TargetMode="External"/><Relationship Id="rId74" Type="http://schemas.openxmlformats.org/officeDocument/2006/relationships/hyperlink" Target="http://bulbapedia.bulbagarden.net/wiki/Beldum_(Pok%C3%A9mon)" TargetMode="External"/><Relationship Id="rId377" Type="http://schemas.openxmlformats.org/officeDocument/2006/relationships/hyperlink" Target="http://bulbapedia.bulbagarden.net/wiki/Vaporeon_(Pok%C3%A9mon)" TargetMode="External"/><Relationship Id="rId500" Type="http://schemas.openxmlformats.org/officeDocument/2006/relationships/hyperlink" Target="http://bulbapedia.bulbagarden.net/wiki/Feraligatr_(Pok%C3%A9mon)" TargetMode="External"/><Relationship Id="rId584" Type="http://schemas.openxmlformats.org/officeDocument/2006/relationships/hyperlink" Target="http://bulbapedia.bulbagarden.net/wiki/Venomoth_(Pok%C3%A9mon)" TargetMode="External"/><Relationship Id="rId805" Type="http://schemas.openxmlformats.org/officeDocument/2006/relationships/hyperlink" Target="http://bulbapedia.bulbagarden.net/wiki/Brionne_(Pok%C3%A9mon)" TargetMode="External"/><Relationship Id="rId5" Type="http://schemas.openxmlformats.org/officeDocument/2006/relationships/hyperlink" Target="http://bulbapedia.bulbagarden.net/wiki/Ferroseed_(Pok%C3%A9mon)" TargetMode="External"/><Relationship Id="rId237" Type="http://schemas.openxmlformats.org/officeDocument/2006/relationships/hyperlink" Target="http://bulbapedia.bulbagarden.net/wiki/Mawile_(Pok%C3%A9mon)" TargetMode="External"/><Relationship Id="rId791" Type="http://schemas.openxmlformats.org/officeDocument/2006/relationships/hyperlink" Target="http://bulbapedia.bulbagarden.net/wiki/Alakazam_(Pok%C3%A9mon)" TargetMode="External"/><Relationship Id="rId444" Type="http://schemas.openxmlformats.org/officeDocument/2006/relationships/hyperlink" Target="http://bulbapedia.bulbagarden.net/wiki/Mightyena_(Pok%C3%A9mon)" TargetMode="External"/><Relationship Id="rId651" Type="http://schemas.openxmlformats.org/officeDocument/2006/relationships/hyperlink" Target="http://bulbapedia.bulbagarden.net/wiki/Luvdisc_(Pok%C3%A9mon)" TargetMode="External"/><Relationship Id="rId749" Type="http://schemas.openxmlformats.org/officeDocument/2006/relationships/hyperlink" Target="http://bulbapedia.bulbagarden.net/wiki/Persian_(Pok%C3%A9mon)" TargetMode="External"/><Relationship Id="rId290" Type="http://schemas.openxmlformats.org/officeDocument/2006/relationships/hyperlink" Target="http://bulbapedia.bulbagarden.net/wiki/Budew_(Pok%C3%A9mon)" TargetMode="External"/><Relationship Id="rId304" Type="http://schemas.openxmlformats.org/officeDocument/2006/relationships/hyperlink" Target="http://bulbapedia.bulbagarden.net/wiki/Trevenant_(Pok%C3%A9mon)" TargetMode="External"/><Relationship Id="rId388" Type="http://schemas.openxmlformats.org/officeDocument/2006/relationships/hyperlink" Target="http://bulbapedia.bulbagarden.net/wiki/Surskit_(Pok%C3%A9mon)" TargetMode="External"/><Relationship Id="rId511" Type="http://schemas.openxmlformats.org/officeDocument/2006/relationships/hyperlink" Target="http://bulbapedia.bulbagarden.net/wiki/Meganium_(Pok%C3%A9mon)" TargetMode="External"/><Relationship Id="rId609" Type="http://schemas.openxmlformats.org/officeDocument/2006/relationships/hyperlink" Target="http://bulbapedia.bulbagarden.net/wiki/Klinklang_(Pok%C3%A9mon)" TargetMode="External"/><Relationship Id="rId85" Type="http://schemas.openxmlformats.org/officeDocument/2006/relationships/hyperlink" Target="http://bulbapedia.bulbagarden.net/wiki/Klink_(Pok%C3%A9mon)" TargetMode="External"/><Relationship Id="rId150" Type="http://schemas.openxmlformats.org/officeDocument/2006/relationships/hyperlink" Target="http://bulbapedia.bulbagarden.net/wiki/Vespiquen_(Pok%C3%A9mon)" TargetMode="External"/><Relationship Id="rId595" Type="http://schemas.openxmlformats.org/officeDocument/2006/relationships/hyperlink" Target="http://bulbapedia.bulbagarden.net/wiki/Vigoroth_(Pok%C3%A9mon)" TargetMode="External"/><Relationship Id="rId816" Type="http://schemas.openxmlformats.org/officeDocument/2006/relationships/hyperlink" Target="http://bulbapedia.bulbagarden.net/wiki/Crabominable_(Pok%C3%A9mon)" TargetMode="External"/><Relationship Id="rId248" Type="http://schemas.openxmlformats.org/officeDocument/2006/relationships/hyperlink" Target="http://bulbapedia.bulbagarden.net/wiki/Registeel_(Pok%C3%A9mon)" TargetMode="External"/><Relationship Id="rId455" Type="http://schemas.openxmlformats.org/officeDocument/2006/relationships/hyperlink" Target="http://bulbapedia.bulbagarden.net/wiki/Drifloon_(Pok%C3%A9mon)" TargetMode="External"/><Relationship Id="rId662" Type="http://schemas.openxmlformats.org/officeDocument/2006/relationships/hyperlink" Target="http://bulbapedia.bulbagarden.net/wiki/Charizard_(Pok%C3%A9mon)" TargetMode="External"/><Relationship Id="rId12" Type="http://schemas.openxmlformats.org/officeDocument/2006/relationships/hyperlink" Target="http://bulbapedia.bulbagarden.net/wiki/Cascoon_(Pok%C3%A9mon)" TargetMode="External"/><Relationship Id="rId108" Type="http://schemas.openxmlformats.org/officeDocument/2006/relationships/hyperlink" Target="http://bulbapedia.bulbagarden.net/wiki/Poochyena_(Pok%C3%A9mon)" TargetMode="External"/><Relationship Id="rId315" Type="http://schemas.openxmlformats.org/officeDocument/2006/relationships/hyperlink" Target="http://bulbapedia.bulbagarden.net/wiki/Pangoro_(Pok%C3%A9mon)" TargetMode="External"/><Relationship Id="rId522" Type="http://schemas.openxmlformats.org/officeDocument/2006/relationships/hyperlink" Target="http://bulbapedia.bulbagarden.net/wiki/Glalie_(Pok%C3%A9mon)" TargetMode="External"/><Relationship Id="rId96" Type="http://schemas.openxmlformats.org/officeDocument/2006/relationships/hyperlink" Target="http://bulbapedia.bulbagarden.net/wiki/Shellos_(Pok%C3%A9mon)" TargetMode="External"/><Relationship Id="rId161" Type="http://schemas.openxmlformats.org/officeDocument/2006/relationships/hyperlink" Target="http://bulbapedia.bulbagarden.net/wiki/Larvitar_(Pok%C3%A9mon)" TargetMode="External"/><Relationship Id="rId399" Type="http://schemas.openxmlformats.org/officeDocument/2006/relationships/hyperlink" Target="http://bulbapedia.bulbagarden.net/wiki/Emboar_(Pok%C3%A9mon)" TargetMode="External"/><Relationship Id="rId827" Type="http://schemas.openxmlformats.org/officeDocument/2006/relationships/hyperlink" Target="http://bulbapedia.bulbagarden.net/wiki/Dewpider_(Pok%C3%A9mon)" TargetMode="External"/><Relationship Id="rId259" Type="http://schemas.openxmlformats.org/officeDocument/2006/relationships/hyperlink" Target="http://bulbapedia.bulbagarden.net/wiki/Beartic_(Pok%C3%A9mon)" TargetMode="External"/><Relationship Id="rId466" Type="http://schemas.openxmlformats.org/officeDocument/2006/relationships/hyperlink" Target="http://bulbapedia.bulbagarden.net/wiki/Froakie_(Pok%C3%A9mon)" TargetMode="External"/><Relationship Id="rId673" Type="http://schemas.openxmlformats.org/officeDocument/2006/relationships/hyperlink" Target="http://bulbapedia.bulbagarden.net/wiki/Typhlosion_(Pok%C3%A9mon)" TargetMode="External"/><Relationship Id="rId880" Type="http://schemas.openxmlformats.org/officeDocument/2006/relationships/hyperlink" Target="http://bulbapedia.bulbagarden.net/wiki/Oricorio_(Pok%C3%A9mon)" TargetMode="External"/><Relationship Id="rId23" Type="http://schemas.openxmlformats.org/officeDocument/2006/relationships/hyperlink" Target="http://bulbapedia.bulbagarden.net/wiki/Camerupt_(Pok%C3%A9mon)" TargetMode="External"/><Relationship Id="rId119" Type="http://schemas.openxmlformats.org/officeDocument/2006/relationships/hyperlink" Target="http://bulbapedia.bulbagarden.net/wiki/Grotle_(Pok%C3%A9mon)" TargetMode="External"/><Relationship Id="rId326" Type="http://schemas.openxmlformats.org/officeDocument/2006/relationships/hyperlink" Target="http://bulbapedia.bulbagarden.net/wiki/Lapras_(Pok%C3%A9mon)" TargetMode="External"/><Relationship Id="rId533" Type="http://schemas.openxmlformats.org/officeDocument/2006/relationships/hyperlink" Target="http://bulbapedia.bulbagarden.net/wiki/Mandibuzz_(Pok%C3%A9mon)" TargetMode="External"/><Relationship Id="rId740" Type="http://schemas.openxmlformats.org/officeDocument/2006/relationships/hyperlink" Target="http://bulbapedia.bulbagarden.net/wiki/Archeops_(Pok%C3%A9mon)" TargetMode="External"/><Relationship Id="rId838" Type="http://schemas.openxmlformats.org/officeDocument/2006/relationships/hyperlink" Target="http://bulbapedia.bulbagarden.net/wiki/Steenee_(Pok%C3%A9mon)" TargetMode="External"/><Relationship Id="rId172" Type="http://schemas.openxmlformats.org/officeDocument/2006/relationships/hyperlink" Target="http://bulbapedia.bulbagarden.net/wiki/Pidove_(Pok%C3%A9mon)" TargetMode="External"/><Relationship Id="rId477" Type="http://schemas.openxmlformats.org/officeDocument/2006/relationships/hyperlink" Target="http://bulbapedia.bulbagarden.net/wiki/Beedrill_(Pok%C3%A9mon)" TargetMode="External"/><Relationship Id="rId600" Type="http://schemas.openxmlformats.org/officeDocument/2006/relationships/hyperlink" Target="http://bulbapedia.bulbagarden.net/wiki/Groudon_(Pok%C3%A9mon)" TargetMode="External"/><Relationship Id="rId684" Type="http://schemas.openxmlformats.org/officeDocument/2006/relationships/hyperlink" Target="http://bulbapedia.bulbagarden.net/wiki/Salamence_(Pok%C3%A9mon)" TargetMode="External"/><Relationship Id="rId337" Type="http://schemas.openxmlformats.org/officeDocument/2006/relationships/hyperlink" Target="http://bulbapedia.bulbagarden.net/wiki/Spoink_(Pok%C3%A9mon)" TargetMode="External"/><Relationship Id="rId34" Type="http://schemas.openxmlformats.org/officeDocument/2006/relationships/hyperlink" Target="http://bulbapedia.bulbagarden.net/wiki/Spritzee_(Pok%C3%A9mon)" TargetMode="External"/><Relationship Id="rId544" Type="http://schemas.openxmlformats.org/officeDocument/2006/relationships/hyperlink" Target="http://bulbapedia.bulbagarden.net/wiki/Skuntank_(Pok%C3%A9mon)" TargetMode="External"/><Relationship Id="rId751" Type="http://schemas.openxmlformats.org/officeDocument/2006/relationships/hyperlink" Target="http://bulbapedia.bulbagarden.net/wiki/Sneasel_(Pok%C3%A9mon)" TargetMode="External"/><Relationship Id="rId849" Type="http://schemas.openxmlformats.org/officeDocument/2006/relationships/hyperlink" Target="http://bulbapedia.bulbagarden.net/wiki/Silvally_(Pok%C3%A9mon)" TargetMode="External"/><Relationship Id="rId183" Type="http://schemas.openxmlformats.org/officeDocument/2006/relationships/hyperlink" Target="http://bulbapedia.bulbagarden.net/wiki/Magnemite_(Pok%C3%A9mon)" TargetMode="External"/><Relationship Id="rId390" Type="http://schemas.openxmlformats.org/officeDocument/2006/relationships/hyperlink" Target="http://bulbapedia.bulbagarden.net/wiki/Roselia_(Pok%C3%A9mon)" TargetMode="External"/><Relationship Id="rId404" Type="http://schemas.openxmlformats.org/officeDocument/2006/relationships/hyperlink" Target="http://bulbapedia.bulbagarden.net/wiki/Gothitelle_(Pok%C3%A9mon)" TargetMode="External"/><Relationship Id="rId611" Type="http://schemas.openxmlformats.org/officeDocument/2006/relationships/hyperlink" Target="http://bulbapedia.bulbagarden.net/wiki/Zekrom_(Pok%C3%A9mon)" TargetMode="External"/><Relationship Id="rId250" Type="http://schemas.openxmlformats.org/officeDocument/2006/relationships/hyperlink" Target="http://bulbapedia.bulbagarden.net/wiki/Croagunk_(Pok%C3%A9mon)" TargetMode="External"/><Relationship Id="rId488" Type="http://schemas.openxmlformats.org/officeDocument/2006/relationships/hyperlink" Target="http://bulbapedia.bulbagarden.net/wiki/Garbodor_(Pok%C3%A9mon)" TargetMode="External"/><Relationship Id="rId695" Type="http://schemas.openxmlformats.org/officeDocument/2006/relationships/hyperlink" Target="http://bulbapedia.bulbagarden.net/wiki/Simisear_(Pok%C3%A9mon)" TargetMode="External"/><Relationship Id="rId709" Type="http://schemas.openxmlformats.org/officeDocument/2006/relationships/hyperlink" Target="http://bulbapedia.bulbagarden.net/wiki/Pinsir_(Pok%C3%A9mon)"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903"/>
  <sheetViews>
    <sheetView topLeftCell="C1" workbookViewId="0">
      <selection activeCell="D9" sqref="D9"/>
    </sheetView>
  </sheetViews>
  <sheetFormatPr defaultRowHeight="14.5" x14ac:dyDescent="0.35"/>
  <cols>
    <col min="1" max="1" width="9.1796875" hidden="1" customWidth="1"/>
    <col min="2" max="2" width="10.81640625" hidden="1" customWidth="1"/>
    <col min="3" max="3" width="14.453125" bestFit="1" customWidth="1"/>
    <col min="4" max="4" width="27.54296875" customWidth="1"/>
    <col min="5" max="5" width="12.7265625" customWidth="1"/>
    <col min="6" max="6" width="11.54296875" bestFit="1" customWidth="1"/>
    <col min="8" max="8" width="9.1796875" style="64"/>
    <col min="9" max="9" width="12.7265625" style="64" customWidth="1"/>
    <col min="10" max="10" width="12.81640625" style="64" customWidth="1"/>
    <col min="18" max="18" width="13.26953125" customWidth="1"/>
    <col min="21" max="21" width="11.7265625" customWidth="1"/>
    <col min="22" max="22" width="31.453125" customWidth="1"/>
    <col min="30" max="30" width="11.54296875" bestFit="1" customWidth="1"/>
  </cols>
  <sheetData>
    <row r="1" spans="1:30" ht="15.5" thickTop="1" thickBot="1" x14ac:dyDescent="0.4">
      <c r="A1">
        <f>MAX('All Mons Stats'!A:A)</f>
        <v>901</v>
      </c>
      <c r="B1" t="s">
        <v>830</v>
      </c>
      <c r="C1" t="s">
        <v>853</v>
      </c>
      <c r="D1" s="64">
        <v>4</v>
      </c>
      <c r="F1" s="77" t="s">
        <v>782</v>
      </c>
      <c r="G1" s="31" t="s">
        <v>783</v>
      </c>
      <c r="H1" s="32" t="s">
        <v>784</v>
      </c>
      <c r="I1" s="33" t="s">
        <v>785</v>
      </c>
      <c r="J1" s="34" t="s">
        <v>786</v>
      </c>
      <c r="K1" s="35" t="s">
        <v>787</v>
      </c>
      <c r="L1" s="36" t="s">
        <v>788</v>
      </c>
      <c r="M1" s="37" t="s">
        <v>789</v>
      </c>
      <c r="O1" t="s">
        <v>791</v>
      </c>
      <c r="P1" t="s">
        <v>790</v>
      </c>
      <c r="Q1" t="s">
        <v>852</v>
      </c>
      <c r="R1" t="s">
        <v>848</v>
      </c>
      <c r="S1" t="s">
        <v>800</v>
      </c>
      <c r="T1" s="64" t="s">
        <v>798</v>
      </c>
      <c r="U1" s="64" t="s">
        <v>799</v>
      </c>
      <c r="V1" s="69" t="s">
        <v>781</v>
      </c>
      <c r="W1" s="30" t="s">
        <v>782</v>
      </c>
      <c r="X1" s="31" t="s">
        <v>783</v>
      </c>
      <c r="Y1" s="32" t="s">
        <v>784</v>
      </c>
      <c r="Z1" s="33" t="s">
        <v>785</v>
      </c>
      <c r="AA1" s="34" t="s">
        <v>786</v>
      </c>
      <c r="AB1" s="35" t="s">
        <v>787</v>
      </c>
      <c r="AC1" s="36" t="s">
        <v>788</v>
      </c>
      <c r="AD1" s="37" t="s">
        <v>789</v>
      </c>
    </row>
    <row r="2" spans="1:30" ht="15" thickTop="1" x14ac:dyDescent="0.35">
      <c r="B2" t="s">
        <v>811</v>
      </c>
      <c r="C2" t="s">
        <v>833</v>
      </c>
      <c r="D2" t="s">
        <v>823</v>
      </c>
      <c r="E2" t="s">
        <v>789</v>
      </c>
      <c r="F2" s="78">
        <f t="shared" ref="F2:M2" si="0">AVERAGE(W:W)</f>
        <v>67</v>
      </c>
      <c r="G2" s="46">
        <f t="shared" si="0"/>
        <v>86</v>
      </c>
      <c r="H2" s="47">
        <f t="shared" si="0"/>
        <v>73</v>
      </c>
      <c r="I2" s="48">
        <f t="shared" si="0"/>
        <v>72</v>
      </c>
      <c r="J2" s="49">
        <f t="shared" si="0"/>
        <v>74</v>
      </c>
      <c r="K2" s="50">
        <f t="shared" si="0"/>
        <v>74</v>
      </c>
      <c r="L2" s="51">
        <f t="shared" si="0"/>
        <v>446</v>
      </c>
      <c r="M2" s="52">
        <f t="shared" si="0"/>
        <v>74.333333333333329</v>
      </c>
      <c r="O2">
        <f>IF(P2="","",1)</f>
        <v>1</v>
      </c>
      <c r="P2" s="117">
        <v>197</v>
      </c>
      <c r="Q2" s="60">
        <v>2</v>
      </c>
      <c r="R2" s="175" t="b">
        <v>1</v>
      </c>
      <c r="S2" s="60"/>
      <c r="T2" s="65" t="s">
        <v>823</v>
      </c>
      <c r="U2" s="65" t="s">
        <v>827</v>
      </c>
      <c r="V2" s="9" t="s">
        <v>373</v>
      </c>
      <c r="W2" s="10">
        <v>95</v>
      </c>
      <c r="X2" s="11">
        <v>65</v>
      </c>
      <c r="Y2" s="12">
        <v>110</v>
      </c>
      <c r="Z2" s="13">
        <v>60</v>
      </c>
      <c r="AA2" s="14">
        <v>130</v>
      </c>
      <c r="AB2" s="15">
        <v>65</v>
      </c>
      <c r="AC2" s="16">
        <v>525</v>
      </c>
      <c r="AD2" s="113">
        <f t="shared" ref="AD2:AD65" si="1">IF(P2="","",AC2/6)</f>
        <v>87.5</v>
      </c>
    </row>
    <row r="3" spans="1:30" x14ac:dyDescent="0.35">
      <c r="A3" t="s">
        <v>848</v>
      </c>
      <c r="B3" t="s">
        <v>823</v>
      </c>
      <c r="C3" t="s">
        <v>832</v>
      </c>
      <c r="D3" t="s">
        <v>827</v>
      </c>
      <c r="E3" t="s">
        <v>792</v>
      </c>
      <c r="F3" s="79">
        <f t="shared" ref="F3:M3" si="2">STDEV(W:W)</f>
        <v>21.389249636207438</v>
      </c>
      <c r="G3" s="81">
        <f t="shared" si="2"/>
        <v>29.025850547399983</v>
      </c>
      <c r="H3" s="82">
        <f t="shared" si="2"/>
        <v>28.635642126552707</v>
      </c>
      <c r="I3" s="83">
        <f t="shared" si="2"/>
        <v>38.826537316634351</v>
      </c>
      <c r="J3" s="84">
        <f t="shared" si="2"/>
        <v>37.815340802378074</v>
      </c>
      <c r="K3" s="85">
        <f t="shared" si="2"/>
        <v>32.480763537823428</v>
      </c>
      <c r="L3" s="86">
        <f t="shared" si="2"/>
        <v>143.23931024687323</v>
      </c>
      <c r="M3" s="53">
        <f t="shared" si="2"/>
        <v>23.873218374478892</v>
      </c>
      <c r="O3">
        <f>IF(P3="","",O2+1)</f>
        <v>2</v>
      </c>
      <c r="P3" s="18">
        <v>261</v>
      </c>
      <c r="Q3" s="61">
        <v>3</v>
      </c>
      <c r="R3" s="61" t="b">
        <v>0</v>
      </c>
      <c r="S3" s="61"/>
      <c r="T3" s="66" t="s">
        <v>823</v>
      </c>
      <c r="U3" s="66" t="s">
        <v>827</v>
      </c>
      <c r="V3" s="38" t="s">
        <v>106</v>
      </c>
      <c r="W3" s="39">
        <v>35</v>
      </c>
      <c r="X3" s="40">
        <v>55</v>
      </c>
      <c r="Y3" s="41">
        <v>35</v>
      </c>
      <c r="Z3" s="42">
        <v>30</v>
      </c>
      <c r="AA3" s="43">
        <v>30</v>
      </c>
      <c r="AB3" s="44">
        <v>35</v>
      </c>
      <c r="AC3" s="45">
        <v>220</v>
      </c>
      <c r="AD3" s="114">
        <f t="shared" si="1"/>
        <v>36.666666666666664</v>
      </c>
    </row>
    <row r="4" spans="1:30" x14ac:dyDescent="0.35">
      <c r="A4" t="s">
        <v>830</v>
      </c>
      <c r="B4" t="s">
        <v>822</v>
      </c>
      <c r="C4" t="s">
        <v>849</v>
      </c>
      <c r="D4" t="s">
        <v>830</v>
      </c>
      <c r="E4" t="s">
        <v>795</v>
      </c>
      <c r="F4" s="104">
        <f t="shared" ref="F4:M4" si="3">MAX(W:W)</f>
        <v>95</v>
      </c>
      <c r="G4" s="54">
        <f t="shared" si="3"/>
        <v>130</v>
      </c>
      <c r="H4" s="55">
        <f t="shared" si="3"/>
        <v>110</v>
      </c>
      <c r="I4" s="56">
        <f t="shared" si="3"/>
        <v>135</v>
      </c>
      <c r="J4" s="57">
        <f t="shared" si="3"/>
        <v>130</v>
      </c>
      <c r="K4" s="58">
        <f t="shared" si="3"/>
        <v>125</v>
      </c>
      <c r="L4" s="59">
        <f t="shared" si="3"/>
        <v>600</v>
      </c>
      <c r="M4" s="105">
        <f t="shared" si="3"/>
        <v>100</v>
      </c>
      <c r="O4">
        <f t="shared" ref="O4:O67" si="4">IF(P4="","",O3+1)</f>
        <v>3</v>
      </c>
      <c r="P4" s="18">
        <v>262</v>
      </c>
      <c r="Q4" s="61">
        <v>3</v>
      </c>
      <c r="R4" s="61" t="b">
        <v>1</v>
      </c>
      <c r="S4" s="61"/>
      <c r="T4" s="66" t="s">
        <v>823</v>
      </c>
      <c r="U4" s="66" t="s">
        <v>827</v>
      </c>
      <c r="V4" s="38" t="s">
        <v>437</v>
      </c>
      <c r="W4" s="39">
        <v>70</v>
      </c>
      <c r="X4" s="40">
        <v>90</v>
      </c>
      <c r="Y4" s="41">
        <v>70</v>
      </c>
      <c r="Z4" s="42">
        <v>60</v>
      </c>
      <c r="AA4" s="43">
        <v>60</v>
      </c>
      <c r="AB4" s="44">
        <v>70</v>
      </c>
      <c r="AC4" s="45">
        <v>420</v>
      </c>
      <c r="AD4" s="114">
        <f t="shared" si="1"/>
        <v>70</v>
      </c>
    </row>
    <row r="5" spans="1:30" ht="15" thickBot="1" x14ac:dyDescent="0.4">
      <c r="B5" t="s">
        <v>813</v>
      </c>
      <c r="E5" t="s">
        <v>794</v>
      </c>
      <c r="F5" s="106">
        <f t="shared" ref="F5:M5" si="5">MIN(W:W)</f>
        <v>35</v>
      </c>
      <c r="G5" s="107">
        <f t="shared" si="5"/>
        <v>55</v>
      </c>
      <c r="H5" s="108">
        <f t="shared" si="5"/>
        <v>35</v>
      </c>
      <c r="I5" s="109">
        <f t="shared" si="5"/>
        <v>30</v>
      </c>
      <c r="J5" s="110">
        <f t="shared" si="5"/>
        <v>30</v>
      </c>
      <c r="K5" s="111">
        <f t="shared" si="5"/>
        <v>35</v>
      </c>
      <c r="L5" s="120">
        <f t="shared" si="5"/>
        <v>220</v>
      </c>
      <c r="M5" s="112">
        <f t="shared" si="5"/>
        <v>36.666666666666664</v>
      </c>
      <c r="O5">
        <f t="shared" si="4"/>
        <v>4</v>
      </c>
      <c r="P5" s="18">
        <v>359</v>
      </c>
      <c r="Q5" s="61">
        <v>3</v>
      </c>
      <c r="R5" s="118" t="b">
        <v>1</v>
      </c>
      <c r="S5" s="61"/>
      <c r="T5" s="66" t="s">
        <v>823</v>
      </c>
      <c r="U5" s="66" t="s">
        <v>827</v>
      </c>
      <c r="V5" s="38" t="s">
        <v>480</v>
      </c>
      <c r="W5" s="39">
        <v>65</v>
      </c>
      <c r="X5" s="40">
        <v>130</v>
      </c>
      <c r="Y5" s="41">
        <v>60</v>
      </c>
      <c r="Z5" s="42">
        <v>75</v>
      </c>
      <c r="AA5" s="43">
        <v>60</v>
      </c>
      <c r="AB5" s="44">
        <v>75</v>
      </c>
      <c r="AC5" s="45">
        <v>465</v>
      </c>
      <c r="AD5" s="114">
        <f t="shared" si="1"/>
        <v>77.5</v>
      </c>
    </row>
    <row r="6" spans="1:30" ht="15" thickTop="1" x14ac:dyDescent="0.35">
      <c r="A6" s="64">
        <v>1</v>
      </c>
      <c r="B6" t="s">
        <v>815</v>
      </c>
      <c r="O6">
        <f t="shared" si="4"/>
        <v>5</v>
      </c>
      <c r="P6" s="18">
        <v>491</v>
      </c>
      <c r="Q6" s="61">
        <v>4</v>
      </c>
      <c r="R6" s="118" t="b">
        <v>1</v>
      </c>
      <c r="S6" s="61"/>
      <c r="T6" s="66" t="s">
        <v>823</v>
      </c>
      <c r="U6" s="66" t="s">
        <v>827</v>
      </c>
      <c r="V6" s="38" t="s">
        <v>759</v>
      </c>
      <c r="W6" s="39">
        <v>70</v>
      </c>
      <c r="X6" s="40">
        <v>90</v>
      </c>
      <c r="Y6" s="41">
        <v>90</v>
      </c>
      <c r="Z6" s="42">
        <v>135</v>
      </c>
      <c r="AA6" s="43">
        <v>90</v>
      </c>
      <c r="AB6" s="44">
        <v>125</v>
      </c>
      <c r="AC6" s="45">
        <v>600</v>
      </c>
      <c r="AD6" s="114">
        <f t="shared" si="1"/>
        <v>100</v>
      </c>
    </row>
    <row r="7" spans="1:30" ht="15" thickBot="1" x14ac:dyDescent="0.4">
      <c r="A7" s="64">
        <v>2</v>
      </c>
      <c r="B7" t="s">
        <v>816</v>
      </c>
      <c r="C7" s="116" t="s">
        <v>831</v>
      </c>
      <c r="D7" s="64">
        <f>MAX(O:O)</f>
        <v>5</v>
      </c>
      <c r="O7" t="str">
        <f t="shared" si="4"/>
        <v/>
      </c>
      <c r="P7" s="18"/>
      <c r="Q7" s="61"/>
      <c r="R7" s="118"/>
      <c r="S7" s="61"/>
      <c r="T7" s="66"/>
      <c r="U7" s="66"/>
      <c r="V7" s="38"/>
      <c r="W7" s="39"/>
      <c r="X7" s="40"/>
      <c r="Y7" s="41"/>
      <c r="Z7" s="42"/>
      <c r="AA7" s="43"/>
      <c r="AB7" s="44"/>
      <c r="AC7" s="45"/>
      <c r="AD7" s="114" t="str">
        <f t="shared" si="1"/>
        <v/>
      </c>
    </row>
    <row r="8" spans="1:30" ht="15.5" thickTop="1" thickBot="1" x14ac:dyDescent="0.4">
      <c r="A8" s="64">
        <v>3</v>
      </c>
      <c r="B8" t="s">
        <v>808</v>
      </c>
      <c r="F8" s="77" t="s">
        <v>782</v>
      </c>
      <c r="G8" s="31" t="s">
        <v>783</v>
      </c>
      <c r="H8" s="32" t="s">
        <v>784</v>
      </c>
      <c r="I8" s="33" t="s">
        <v>785</v>
      </c>
      <c r="J8" s="34" t="s">
        <v>786</v>
      </c>
      <c r="K8" s="35" t="s">
        <v>787</v>
      </c>
      <c r="L8" s="36" t="s">
        <v>788</v>
      </c>
      <c r="M8" s="37" t="s">
        <v>789</v>
      </c>
      <c r="O8" t="str">
        <f t="shared" si="4"/>
        <v/>
      </c>
      <c r="P8" s="18"/>
      <c r="Q8" s="61"/>
      <c r="R8" s="118"/>
      <c r="S8" s="61"/>
      <c r="T8" s="66"/>
      <c r="U8" s="66"/>
      <c r="V8" s="38"/>
      <c r="W8" s="39"/>
      <c r="X8" s="40"/>
      <c r="Y8" s="41"/>
      <c r="Z8" s="42"/>
      <c r="AA8" s="43"/>
      <c r="AB8" s="44"/>
      <c r="AC8" s="45"/>
      <c r="AD8" s="114" t="str">
        <f t="shared" si="1"/>
        <v/>
      </c>
    </row>
    <row r="9" spans="1:30" ht="15" thickTop="1" x14ac:dyDescent="0.35">
      <c r="A9" s="64">
        <v>4</v>
      </c>
      <c r="B9" t="s">
        <v>809</v>
      </c>
      <c r="C9" t="s">
        <v>828</v>
      </c>
      <c r="D9" t="s">
        <v>759</v>
      </c>
      <c r="E9" t="s">
        <v>850</v>
      </c>
      <c r="F9" s="97">
        <f>VLOOKUP($D$9,$V:$AD,2,FALSE)</f>
        <v>70</v>
      </c>
      <c r="G9" s="98">
        <f>VLOOKUP($D$9,$V:$AD,3,FALSE)</f>
        <v>90</v>
      </c>
      <c r="H9" s="99">
        <f>VLOOKUP($D$9,$V:$AD,4,FALSE)</f>
        <v>90</v>
      </c>
      <c r="I9" s="100">
        <f>VLOOKUP($D$9,$V:$AD,5,FALSE)</f>
        <v>135</v>
      </c>
      <c r="J9" s="101">
        <f>VLOOKUP($D$9,$V:$AD,6,FALSE)</f>
        <v>90</v>
      </c>
      <c r="K9" s="102">
        <f>VLOOKUP($D$9,$V:$AD,7,FALSE)</f>
        <v>125</v>
      </c>
      <c r="L9" s="119">
        <f>VLOOKUP($D$9,$V:$AD,8,FALSE)</f>
        <v>600</v>
      </c>
      <c r="M9" s="103">
        <f>VLOOKUP($D$9,$V:$AD,9,FALSE)</f>
        <v>100</v>
      </c>
      <c r="O9" t="str">
        <f t="shared" si="4"/>
        <v/>
      </c>
      <c r="P9" s="18"/>
      <c r="Q9" s="61"/>
      <c r="R9" s="118"/>
      <c r="S9" s="61"/>
      <c r="T9" s="66"/>
      <c r="U9" s="66"/>
      <c r="V9" s="38"/>
      <c r="W9" s="39"/>
      <c r="X9" s="40"/>
      <c r="Y9" s="41"/>
      <c r="Z9" s="42"/>
      <c r="AA9" s="43"/>
      <c r="AB9" s="44"/>
      <c r="AC9" s="45"/>
      <c r="AD9" s="114" t="str">
        <f t="shared" si="1"/>
        <v/>
      </c>
    </row>
    <row r="10" spans="1:30" x14ac:dyDescent="0.35">
      <c r="A10" s="64">
        <v>5</v>
      </c>
      <c r="B10" t="s">
        <v>821</v>
      </c>
      <c r="E10" t="s">
        <v>791</v>
      </c>
      <c r="F10" s="122">
        <f>_xlfn.RANK.EQ(VLOOKUP($D9,$V$2:$AC$799,2,FALSE),W$2:W$799,0)</f>
        <v>2</v>
      </c>
      <c r="G10" s="123">
        <f>_xlfn.RANK.EQ(VLOOKUP($D9,$V$2:$AC$799,3,FALSE),X$2:X$799,0)</f>
        <v>2</v>
      </c>
      <c r="H10" s="124">
        <f>_xlfn.RANK.EQ(VLOOKUP($D9,$V$2:$AC$799,4,FALSE),Y$2:Y$799,0)</f>
        <v>2</v>
      </c>
      <c r="I10" s="125">
        <f>_xlfn.RANK.EQ(VLOOKUP($D9,$V$2:$AC$799,5,FALSE),Z$2:Z$799,0)</f>
        <v>1</v>
      </c>
      <c r="J10" s="126">
        <f>_xlfn.RANK.EQ(VLOOKUP($D9,$V$2:$AC$799,6,FALSE),AA$2:AA$799,0)</f>
        <v>2</v>
      </c>
      <c r="K10" s="127">
        <f>_xlfn.RANK.EQ(VLOOKUP($D9,$V$2:$AC$799,7,FALSE),AB$2:AB$799,0)</f>
        <v>1</v>
      </c>
      <c r="L10" s="128">
        <f>_xlfn.RANK.EQ(VLOOKUP($D9,$V$2:$AC$799,8,FALSE),AC$2:AC$799,0)</f>
        <v>1</v>
      </c>
      <c r="M10" s="129">
        <f>L10</f>
        <v>1</v>
      </c>
      <c r="O10" t="str">
        <f t="shared" si="4"/>
        <v/>
      </c>
      <c r="P10" s="18"/>
      <c r="Q10" s="61"/>
      <c r="R10" s="118"/>
      <c r="S10" s="61"/>
      <c r="T10" s="66"/>
      <c r="U10" s="66"/>
      <c r="V10" s="38"/>
      <c r="W10" s="39"/>
      <c r="X10" s="40"/>
      <c r="Y10" s="41"/>
      <c r="Z10" s="42"/>
      <c r="AA10" s="43"/>
      <c r="AB10" s="44"/>
      <c r="AC10" s="45"/>
      <c r="AD10" s="114" t="str">
        <f t="shared" si="1"/>
        <v/>
      </c>
    </row>
    <row r="11" spans="1:30" x14ac:dyDescent="0.35">
      <c r="A11" s="64">
        <v>6</v>
      </c>
      <c r="B11" t="s">
        <v>806</v>
      </c>
      <c r="E11" t="s">
        <v>851</v>
      </c>
      <c r="F11" s="130">
        <f t="shared" ref="F11:M11" si="6">($D$7-F10)/($D$7-1)</f>
        <v>0.75</v>
      </c>
      <c r="G11" s="131">
        <f t="shared" si="6"/>
        <v>0.75</v>
      </c>
      <c r="H11" s="132">
        <f t="shared" si="6"/>
        <v>0.75</v>
      </c>
      <c r="I11" s="133">
        <f t="shared" si="6"/>
        <v>1</v>
      </c>
      <c r="J11" s="134">
        <f t="shared" si="6"/>
        <v>0.75</v>
      </c>
      <c r="K11" s="135">
        <f t="shared" si="6"/>
        <v>1</v>
      </c>
      <c r="L11" s="136">
        <f t="shared" si="6"/>
        <v>1</v>
      </c>
      <c r="M11" s="137">
        <f t="shared" si="6"/>
        <v>1</v>
      </c>
      <c r="O11" t="str">
        <f t="shared" si="4"/>
        <v/>
      </c>
      <c r="P11" s="18"/>
      <c r="Q11" s="61"/>
      <c r="R11" s="118"/>
      <c r="S11" s="61"/>
      <c r="T11" s="66"/>
      <c r="U11" s="66"/>
      <c r="V11" s="38"/>
      <c r="W11" s="39"/>
      <c r="X11" s="40"/>
      <c r="Y11" s="41"/>
      <c r="Z11" s="42"/>
      <c r="AA11" s="43"/>
      <c r="AB11" s="44"/>
      <c r="AC11" s="45"/>
      <c r="AD11" s="114" t="str">
        <f t="shared" si="1"/>
        <v/>
      </c>
    </row>
    <row r="12" spans="1:30" ht="15" thickBot="1" x14ac:dyDescent="0.4">
      <c r="A12" s="64">
        <v>7</v>
      </c>
      <c r="B12" t="s">
        <v>814</v>
      </c>
      <c r="E12" t="s">
        <v>793</v>
      </c>
      <c r="F12" s="80">
        <f t="shared" ref="F12:M12" si="7">_xlfn.NORM.DIST(F9,F2,F3,TRUE)</f>
        <v>0.55577167928190629</v>
      </c>
      <c r="G12" s="71">
        <f t="shared" si="7"/>
        <v>0.55480399527266966</v>
      </c>
      <c r="H12" s="72">
        <f t="shared" si="7"/>
        <v>0.72363215288396798</v>
      </c>
      <c r="I12" s="73">
        <f t="shared" si="7"/>
        <v>0.94766269653463964</v>
      </c>
      <c r="J12" s="74">
        <f t="shared" si="7"/>
        <v>0.66389202545746717</v>
      </c>
      <c r="K12" s="75">
        <f t="shared" si="7"/>
        <v>0.94181106910798296</v>
      </c>
      <c r="L12" s="76">
        <f t="shared" si="7"/>
        <v>0.85884036061493874</v>
      </c>
      <c r="M12" s="70">
        <f t="shared" si="7"/>
        <v>0.85884036061493851</v>
      </c>
      <c r="O12" t="str">
        <f t="shared" si="4"/>
        <v/>
      </c>
      <c r="P12" s="18"/>
      <c r="Q12" s="61"/>
      <c r="R12" s="61"/>
      <c r="S12" s="61"/>
      <c r="T12" s="66"/>
      <c r="U12" s="66"/>
      <c r="V12" s="38"/>
      <c r="W12" s="39"/>
      <c r="X12" s="40"/>
      <c r="Y12" s="41"/>
      <c r="Z12" s="42"/>
      <c r="AA12" s="43"/>
      <c r="AB12" s="44"/>
      <c r="AC12" s="45"/>
      <c r="AD12" s="114" t="str">
        <f t="shared" si="1"/>
        <v/>
      </c>
    </row>
    <row r="13" spans="1:30" ht="15" thickTop="1" x14ac:dyDescent="0.35">
      <c r="B13" t="s">
        <v>820</v>
      </c>
      <c r="O13" t="str">
        <f t="shared" si="4"/>
        <v/>
      </c>
      <c r="P13" s="18"/>
      <c r="Q13" s="61"/>
      <c r="R13" s="118"/>
      <c r="S13" s="61"/>
      <c r="T13" s="66"/>
      <c r="U13" s="66"/>
      <c r="V13" s="38"/>
      <c r="W13" s="39"/>
      <c r="X13" s="40"/>
      <c r="Y13" s="41"/>
      <c r="Z13" s="42"/>
      <c r="AA13" s="43"/>
      <c r="AB13" s="44"/>
      <c r="AC13" s="45"/>
      <c r="AD13" s="114" t="str">
        <f t="shared" si="1"/>
        <v/>
      </c>
    </row>
    <row r="14" spans="1:30" x14ac:dyDescent="0.35">
      <c r="B14" t="s">
        <v>812</v>
      </c>
      <c r="O14" t="str">
        <f t="shared" si="4"/>
        <v/>
      </c>
      <c r="P14" s="18"/>
      <c r="Q14" s="61"/>
      <c r="R14" s="61"/>
      <c r="S14" s="61"/>
      <c r="T14" s="66"/>
      <c r="U14" s="66"/>
      <c r="V14" s="38"/>
      <c r="W14" s="39"/>
      <c r="X14" s="40"/>
      <c r="Y14" s="41"/>
      <c r="Z14" s="42"/>
      <c r="AA14" s="43"/>
      <c r="AB14" s="44"/>
      <c r="AC14" s="45"/>
      <c r="AD14" s="114" t="str">
        <f t="shared" si="1"/>
        <v/>
      </c>
    </row>
    <row r="15" spans="1:30" x14ac:dyDescent="0.35">
      <c r="B15" t="s">
        <v>807</v>
      </c>
      <c r="O15" t="str">
        <f t="shared" si="4"/>
        <v/>
      </c>
      <c r="P15" s="18"/>
      <c r="Q15" s="61"/>
      <c r="R15" s="61"/>
      <c r="S15" s="61"/>
      <c r="T15" s="66"/>
      <c r="U15" s="66"/>
      <c r="V15" s="38"/>
      <c r="W15" s="39"/>
      <c r="X15" s="40"/>
      <c r="Y15" s="41"/>
      <c r="Z15" s="42"/>
      <c r="AA15" s="43"/>
      <c r="AB15" s="44"/>
      <c r="AC15" s="45"/>
      <c r="AD15" s="114" t="str">
        <f t="shared" si="1"/>
        <v/>
      </c>
    </row>
    <row r="16" spans="1:30" x14ac:dyDescent="0.35">
      <c r="B16" t="s">
        <v>817</v>
      </c>
      <c r="O16" t="str">
        <f t="shared" si="4"/>
        <v/>
      </c>
      <c r="P16" s="18"/>
      <c r="Q16" s="61"/>
      <c r="R16" s="118"/>
      <c r="S16" s="61"/>
      <c r="T16" s="66"/>
      <c r="U16" s="66"/>
      <c r="V16" s="38"/>
      <c r="W16" s="39"/>
      <c r="X16" s="40"/>
      <c r="Y16" s="41"/>
      <c r="Z16" s="42"/>
      <c r="AA16" s="43"/>
      <c r="AB16" s="44"/>
      <c r="AC16" s="45"/>
      <c r="AD16" s="114" t="str">
        <f t="shared" si="1"/>
        <v/>
      </c>
    </row>
    <row r="17" spans="2:30" x14ac:dyDescent="0.35">
      <c r="B17" t="s">
        <v>818</v>
      </c>
      <c r="O17" t="str">
        <f t="shared" si="4"/>
        <v/>
      </c>
      <c r="P17" s="18"/>
      <c r="Q17" s="61"/>
      <c r="R17" s="118"/>
      <c r="S17" s="61"/>
      <c r="T17" s="66"/>
      <c r="U17" s="66"/>
      <c r="V17" s="38"/>
      <c r="W17" s="39"/>
      <c r="X17" s="40"/>
      <c r="Y17" s="41"/>
      <c r="Z17" s="42"/>
      <c r="AA17" s="43"/>
      <c r="AB17" s="44"/>
      <c r="AC17" s="45"/>
      <c r="AD17" s="114" t="str">
        <f t="shared" si="1"/>
        <v/>
      </c>
    </row>
    <row r="18" spans="2:30" x14ac:dyDescent="0.35">
      <c r="B18" t="s">
        <v>819</v>
      </c>
      <c r="O18" t="str">
        <f t="shared" si="4"/>
        <v/>
      </c>
      <c r="P18" s="18"/>
      <c r="Q18" s="61"/>
      <c r="R18" s="118"/>
      <c r="S18" s="61"/>
      <c r="T18" s="66"/>
      <c r="U18" s="66"/>
      <c r="V18" s="38"/>
      <c r="W18" s="39"/>
      <c r="X18" s="40"/>
      <c r="Y18" s="41"/>
      <c r="Z18" s="42"/>
      <c r="AA18" s="43"/>
      <c r="AB18" s="44"/>
      <c r="AC18" s="45"/>
      <c r="AD18" s="114" t="str">
        <f t="shared" si="1"/>
        <v/>
      </c>
    </row>
    <row r="19" spans="2:30" x14ac:dyDescent="0.35">
      <c r="B19" t="s">
        <v>810</v>
      </c>
      <c r="O19" t="str">
        <f t="shared" si="4"/>
        <v/>
      </c>
      <c r="P19" s="18"/>
      <c r="Q19" s="61"/>
      <c r="R19" s="61"/>
      <c r="S19" s="61"/>
      <c r="T19" s="66"/>
      <c r="U19" s="66"/>
      <c r="V19" s="38"/>
      <c r="W19" s="39"/>
      <c r="X19" s="40"/>
      <c r="Y19" s="41"/>
      <c r="Z19" s="42"/>
      <c r="AA19" s="43"/>
      <c r="AB19" s="44"/>
      <c r="AC19" s="45"/>
      <c r="AD19" s="114" t="str">
        <f t="shared" si="1"/>
        <v/>
      </c>
    </row>
    <row r="20" spans="2:30" x14ac:dyDescent="0.35">
      <c r="B20" t="s">
        <v>827</v>
      </c>
      <c r="O20" t="str">
        <f t="shared" si="4"/>
        <v/>
      </c>
      <c r="P20" s="18"/>
      <c r="Q20" s="61"/>
      <c r="R20" s="61"/>
      <c r="S20" s="61"/>
      <c r="T20" s="66"/>
      <c r="U20" s="66"/>
      <c r="V20" s="38"/>
      <c r="W20" s="39"/>
      <c r="X20" s="40"/>
      <c r="Y20" s="41"/>
      <c r="Z20" s="42"/>
      <c r="AA20" s="43"/>
      <c r="AB20" s="44"/>
      <c r="AC20" s="45"/>
      <c r="AD20" s="114" t="str">
        <f t="shared" si="1"/>
        <v/>
      </c>
    </row>
    <row r="21" spans="2:30" x14ac:dyDescent="0.35">
      <c r="O21" t="str">
        <f t="shared" si="4"/>
        <v/>
      </c>
      <c r="P21" s="18"/>
      <c r="Q21" s="61"/>
      <c r="R21" s="118"/>
      <c r="S21" s="61"/>
      <c r="T21" s="66"/>
      <c r="U21" s="66"/>
      <c r="V21" s="38"/>
      <c r="W21" s="39"/>
      <c r="X21" s="40"/>
      <c r="Y21" s="41"/>
      <c r="Z21" s="42"/>
      <c r="AA21" s="43"/>
      <c r="AB21" s="44"/>
      <c r="AC21" s="45"/>
      <c r="AD21" s="114" t="str">
        <f t="shared" si="1"/>
        <v/>
      </c>
    </row>
    <row r="22" spans="2:30" x14ac:dyDescent="0.35">
      <c r="O22" t="str">
        <f t="shared" si="4"/>
        <v/>
      </c>
      <c r="P22" s="18"/>
      <c r="Q22" s="61"/>
      <c r="R22" s="118"/>
      <c r="S22" s="61"/>
      <c r="T22" s="66"/>
      <c r="U22" s="66"/>
      <c r="V22" s="38"/>
      <c r="W22" s="39"/>
      <c r="X22" s="40"/>
      <c r="Y22" s="41"/>
      <c r="Z22" s="42"/>
      <c r="AA22" s="43"/>
      <c r="AB22" s="44"/>
      <c r="AC22" s="45"/>
      <c r="AD22" s="114" t="str">
        <f t="shared" si="1"/>
        <v/>
      </c>
    </row>
    <row r="23" spans="2:30" x14ac:dyDescent="0.35">
      <c r="O23" t="str">
        <f t="shared" si="4"/>
        <v/>
      </c>
      <c r="P23" s="18"/>
      <c r="Q23" s="61"/>
      <c r="R23" s="61"/>
      <c r="S23" s="61"/>
      <c r="T23" s="66"/>
      <c r="U23" s="66"/>
      <c r="V23" s="38"/>
      <c r="W23" s="39"/>
      <c r="X23" s="40"/>
      <c r="Y23" s="41"/>
      <c r="Z23" s="42"/>
      <c r="AA23" s="43"/>
      <c r="AB23" s="44"/>
      <c r="AC23" s="45"/>
      <c r="AD23" s="114" t="str">
        <f t="shared" si="1"/>
        <v/>
      </c>
    </row>
    <row r="24" spans="2:30" x14ac:dyDescent="0.35">
      <c r="O24" t="str">
        <f t="shared" si="4"/>
        <v/>
      </c>
      <c r="P24" s="18"/>
      <c r="Q24" s="61"/>
      <c r="R24" s="61"/>
      <c r="S24" s="61"/>
      <c r="T24" s="66"/>
      <c r="U24" s="66"/>
      <c r="V24" s="38"/>
      <c r="W24" s="39"/>
      <c r="X24" s="40"/>
      <c r="Y24" s="41"/>
      <c r="Z24" s="42"/>
      <c r="AA24" s="43"/>
      <c r="AB24" s="44"/>
      <c r="AC24" s="45"/>
      <c r="AD24" s="114" t="str">
        <f t="shared" si="1"/>
        <v/>
      </c>
    </row>
    <row r="25" spans="2:30" x14ac:dyDescent="0.35">
      <c r="O25" t="str">
        <f t="shared" si="4"/>
        <v/>
      </c>
      <c r="P25" s="18"/>
      <c r="Q25" s="61"/>
      <c r="R25" s="118"/>
      <c r="S25" s="61"/>
      <c r="T25" s="66"/>
      <c r="U25" s="66"/>
      <c r="V25" s="38"/>
      <c r="W25" s="39"/>
      <c r="X25" s="40"/>
      <c r="Y25" s="41"/>
      <c r="Z25" s="42"/>
      <c r="AA25" s="43"/>
      <c r="AB25" s="44"/>
      <c r="AC25" s="45"/>
      <c r="AD25" s="114" t="str">
        <f t="shared" si="1"/>
        <v/>
      </c>
    </row>
    <row r="26" spans="2:30" x14ac:dyDescent="0.35">
      <c r="O26" t="str">
        <f t="shared" si="4"/>
        <v/>
      </c>
      <c r="P26" s="18"/>
      <c r="Q26" s="61"/>
      <c r="R26" s="61"/>
      <c r="S26" s="61"/>
      <c r="T26" s="66"/>
      <c r="U26" s="66"/>
      <c r="V26" s="38"/>
      <c r="W26" s="39"/>
      <c r="X26" s="40"/>
      <c r="Y26" s="41"/>
      <c r="Z26" s="42"/>
      <c r="AA26" s="43"/>
      <c r="AB26" s="44"/>
      <c r="AC26" s="45"/>
      <c r="AD26" s="114" t="str">
        <f t="shared" si="1"/>
        <v/>
      </c>
    </row>
    <row r="27" spans="2:30" x14ac:dyDescent="0.35">
      <c r="O27" t="str">
        <f t="shared" si="4"/>
        <v/>
      </c>
      <c r="P27" s="18"/>
      <c r="Q27" s="61"/>
      <c r="R27" s="118"/>
      <c r="S27" s="61"/>
      <c r="T27" s="66"/>
      <c r="U27" s="66"/>
      <c r="V27" s="38"/>
      <c r="W27" s="39"/>
      <c r="X27" s="40"/>
      <c r="Y27" s="41"/>
      <c r="Z27" s="42"/>
      <c r="AA27" s="43"/>
      <c r="AB27" s="44"/>
      <c r="AC27" s="45"/>
      <c r="AD27" s="114" t="str">
        <f t="shared" si="1"/>
        <v/>
      </c>
    </row>
    <row r="28" spans="2:30" x14ac:dyDescent="0.35">
      <c r="O28" t="str">
        <f t="shared" si="4"/>
        <v/>
      </c>
      <c r="P28" s="18"/>
      <c r="Q28" s="61"/>
      <c r="R28" s="118"/>
      <c r="S28" s="61"/>
      <c r="T28" s="66"/>
      <c r="U28" s="66"/>
      <c r="V28" s="38"/>
      <c r="W28" s="39"/>
      <c r="X28" s="40"/>
      <c r="Y28" s="41"/>
      <c r="Z28" s="42"/>
      <c r="AA28" s="43"/>
      <c r="AB28" s="44"/>
      <c r="AC28" s="45"/>
      <c r="AD28" s="114" t="str">
        <f t="shared" si="1"/>
        <v/>
      </c>
    </row>
    <row r="29" spans="2:30" x14ac:dyDescent="0.35">
      <c r="O29" t="str">
        <f t="shared" si="4"/>
        <v/>
      </c>
      <c r="P29" s="18"/>
      <c r="Q29" s="61"/>
      <c r="R29" s="61"/>
      <c r="S29" s="61"/>
      <c r="T29" s="66"/>
      <c r="U29" s="66"/>
      <c r="V29" s="38"/>
      <c r="W29" s="39"/>
      <c r="X29" s="40"/>
      <c r="Y29" s="41"/>
      <c r="Z29" s="42"/>
      <c r="AA29" s="43"/>
      <c r="AB29" s="44"/>
      <c r="AC29" s="45"/>
      <c r="AD29" s="114" t="str">
        <f t="shared" si="1"/>
        <v/>
      </c>
    </row>
    <row r="30" spans="2:30" x14ac:dyDescent="0.35">
      <c r="O30" t="str">
        <f t="shared" si="4"/>
        <v/>
      </c>
      <c r="P30" s="18"/>
      <c r="Q30" s="61"/>
      <c r="R30" s="118"/>
      <c r="S30" s="61"/>
      <c r="T30" s="66"/>
      <c r="U30" s="66"/>
      <c r="V30" s="38"/>
      <c r="W30" s="39"/>
      <c r="X30" s="40"/>
      <c r="Y30" s="41"/>
      <c r="Z30" s="42"/>
      <c r="AA30" s="43"/>
      <c r="AB30" s="44"/>
      <c r="AC30" s="45"/>
      <c r="AD30" s="114" t="str">
        <f t="shared" si="1"/>
        <v/>
      </c>
    </row>
    <row r="31" spans="2:30" x14ac:dyDescent="0.35">
      <c r="O31" t="str">
        <f t="shared" si="4"/>
        <v/>
      </c>
      <c r="P31" s="18"/>
      <c r="Q31" s="61"/>
      <c r="R31" s="61"/>
      <c r="S31" s="61"/>
      <c r="T31" s="66"/>
      <c r="U31" s="66"/>
      <c r="V31" s="38"/>
      <c r="W31" s="39"/>
      <c r="X31" s="40"/>
      <c r="Y31" s="41"/>
      <c r="Z31" s="42"/>
      <c r="AA31" s="43"/>
      <c r="AB31" s="44"/>
      <c r="AC31" s="45"/>
      <c r="AD31" s="114" t="str">
        <f t="shared" si="1"/>
        <v/>
      </c>
    </row>
    <row r="32" spans="2:30" x14ac:dyDescent="0.35">
      <c r="O32" t="str">
        <f t="shared" si="4"/>
        <v/>
      </c>
      <c r="P32" s="18"/>
      <c r="Q32" s="61"/>
      <c r="R32" s="118"/>
      <c r="S32" s="61"/>
      <c r="T32" s="66"/>
      <c r="U32" s="66"/>
      <c r="V32" s="38"/>
      <c r="W32" s="39"/>
      <c r="X32" s="40"/>
      <c r="Y32" s="41"/>
      <c r="Z32" s="42"/>
      <c r="AA32" s="43"/>
      <c r="AB32" s="44"/>
      <c r="AC32" s="45"/>
      <c r="AD32" s="114" t="str">
        <f t="shared" si="1"/>
        <v/>
      </c>
    </row>
    <row r="33" spans="15:30" x14ac:dyDescent="0.35">
      <c r="O33" t="str">
        <f t="shared" si="4"/>
        <v/>
      </c>
      <c r="P33" s="18"/>
      <c r="Q33" s="61"/>
      <c r="R33" s="118"/>
      <c r="S33" s="61"/>
      <c r="T33" s="66"/>
      <c r="U33" s="66"/>
      <c r="V33" s="38"/>
      <c r="W33" s="39"/>
      <c r="X33" s="40"/>
      <c r="Y33" s="41"/>
      <c r="Z33" s="42"/>
      <c r="AA33" s="43"/>
      <c r="AB33" s="44"/>
      <c r="AC33" s="45"/>
      <c r="AD33" s="114" t="str">
        <f t="shared" si="1"/>
        <v/>
      </c>
    </row>
    <row r="34" spans="15:30" x14ac:dyDescent="0.35">
      <c r="O34" t="str">
        <f t="shared" si="4"/>
        <v/>
      </c>
      <c r="P34" s="62"/>
      <c r="Q34" s="118"/>
      <c r="R34" s="61"/>
      <c r="S34" s="61"/>
      <c r="T34" s="66"/>
      <c r="U34" s="66"/>
      <c r="V34" s="38"/>
      <c r="W34" s="39"/>
      <c r="X34" s="40"/>
      <c r="Y34" s="41"/>
      <c r="Z34" s="42"/>
      <c r="AA34" s="43"/>
      <c r="AB34" s="44"/>
      <c r="AC34" s="45"/>
      <c r="AD34" s="114" t="str">
        <f t="shared" si="1"/>
        <v/>
      </c>
    </row>
    <row r="35" spans="15:30" x14ac:dyDescent="0.35">
      <c r="O35" t="str">
        <f t="shared" si="4"/>
        <v/>
      </c>
      <c r="P35" s="62"/>
      <c r="Q35" s="118"/>
      <c r="R35" s="118"/>
      <c r="S35" s="61"/>
      <c r="T35" s="66"/>
      <c r="U35" s="66"/>
      <c r="V35" s="38"/>
      <c r="W35" s="39"/>
      <c r="X35" s="40"/>
      <c r="Y35" s="41"/>
      <c r="Z35" s="42"/>
      <c r="AA35" s="43"/>
      <c r="AB35" s="44"/>
      <c r="AC35" s="45"/>
      <c r="AD35" s="114" t="str">
        <f t="shared" si="1"/>
        <v/>
      </c>
    </row>
    <row r="36" spans="15:30" x14ac:dyDescent="0.35">
      <c r="O36" t="str">
        <f t="shared" si="4"/>
        <v/>
      </c>
      <c r="P36" s="18"/>
      <c r="Q36" s="61"/>
      <c r="R36" s="118"/>
      <c r="S36" s="61"/>
      <c r="T36" s="66"/>
      <c r="U36" s="66"/>
      <c r="V36" s="38"/>
      <c r="W36" s="39"/>
      <c r="X36" s="40"/>
      <c r="Y36" s="41"/>
      <c r="Z36" s="42"/>
      <c r="AA36" s="43"/>
      <c r="AB36" s="44"/>
      <c r="AC36" s="45"/>
      <c r="AD36" s="114" t="str">
        <f t="shared" si="1"/>
        <v/>
      </c>
    </row>
    <row r="37" spans="15:30" x14ac:dyDescent="0.35">
      <c r="O37" t="str">
        <f t="shared" si="4"/>
        <v/>
      </c>
      <c r="P37" s="18"/>
      <c r="Q37" s="61"/>
      <c r="R37" s="61"/>
      <c r="S37" s="61"/>
      <c r="T37" s="66"/>
      <c r="U37" s="66"/>
      <c r="V37" s="38"/>
      <c r="W37" s="39"/>
      <c r="X37" s="40"/>
      <c r="Y37" s="41"/>
      <c r="Z37" s="42"/>
      <c r="AA37" s="43"/>
      <c r="AB37" s="44"/>
      <c r="AC37" s="45"/>
      <c r="AD37" s="114" t="str">
        <f t="shared" si="1"/>
        <v/>
      </c>
    </row>
    <row r="38" spans="15:30" x14ac:dyDescent="0.35">
      <c r="O38" t="str">
        <f t="shared" si="4"/>
        <v/>
      </c>
      <c r="P38" s="18"/>
      <c r="Q38" s="61"/>
      <c r="R38" s="118"/>
      <c r="S38" s="61"/>
      <c r="T38" s="66"/>
      <c r="U38" s="66"/>
      <c r="V38" s="38"/>
      <c r="W38" s="39"/>
      <c r="X38" s="40"/>
      <c r="Y38" s="41"/>
      <c r="Z38" s="42"/>
      <c r="AA38" s="43"/>
      <c r="AB38" s="44"/>
      <c r="AC38" s="45"/>
      <c r="AD38" s="114" t="str">
        <f t="shared" si="1"/>
        <v/>
      </c>
    </row>
    <row r="39" spans="15:30" x14ac:dyDescent="0.35">
      <c r="O39" t="str">
        <f t="shared" si="4"/>
        <v/>
      </c>
      <c r="P39" s="18"/>
      <c r="Q39" s="61"/>
      <c r="R39" s="118"/>
      <c r="S39" s="61"/>
      <c r="T39" s="66"/>
      <c r="U39" s="66"/>
      <c r="V39" s="38"/>
      <c r="W39" s="39"/>
      <c r="X39" s="40"/>
      <c r="Y39" s="41"/>
      <c r="Z39" s="42"/>
      <c r="AA39" s="43"/>
      <c r="AB39" s="44"/>
      <c r="AC39" s="45"/>
      <c r="AD39" s="114" t="str">
        <f t="shared" si="1"/>
        <v/>
      </c>
    </row>
    <row r="40" spans="15:30" x14ac:dyDescent="0.35">
      <c r="O40" t="str">
        <f t="shared" si="4"/>
        <v/>
      </c>
      <c r="P40" s="18"/>
      <c r="Q40" s="61"/>
      <c r="R40" s="61"/>
      <c r="S40" s="61"/>
      <c r="T40" s="66"/>
      <c r="U40" s="66"/>
      <c r="V40" s="38"/>
      <c r="W40" s="39"/>
      <c r="X40" s="40"/>
      <c r="Y40" s="41"/>
      <c r="Z40" s="42"/>
      <c r="AA40" s="43"/>
      <c r="AB40" s="44"/>
      <c r="AC40" s="45"/>
      <c r="AD40" s="114" t="str">
        <f t="shared" si="1"/>
        <v/>
      </c>
    </row>
    <row r="41" spans="15:30" x14ac:dyDescent="0.35">
      <c r="O41" t="str">
        <f t="shared" si="4"/>
        <v/>
      </c>
      <c r="P41" s="18"/>
      <c r="Q41" s="61"/>
      <c r="R41" s="118"/>
      <c r="S41" s="61"/>
      <c r="T41" s="66"/>
      <c r="U41" s="66"/>
      <c r="V41" s="38"/>
      <c r="W41" s="39"/>
      <c r="X41" s="40"/>
      <c r="Y41" s="41"/>
      <c r="Z41" s="42"/>
      <c r="AA41" s="43"/>
      <c r="AB41" s="44"/>
      <c r="AC41" s="45"/>
      <c r="AD41" s="114" t="str">
        <f t="shared" si="1"/>
        <v/>
      </c>
    </row>
    <row r="42" spans="15:30" x14ac:dyDescent="0.35">
      <c r="O42" t="str">
        <f t="shared" si="4"/>
        <v/>
      </c>
      <c r="P42" s="18"/>
      <c r="Q42" s="61"/>
      <c r="R42" s="118"/>
      <c r="S42" s="61"/>
      <c r="T42" s="66"/>
      <c r="U42" s="66"/>
      <c r="V42" s="38"/>
      <c r="W42" s="39"/>
      <c r="X42" s="40"/>
      <c r="Y42" s="41"/>
      <c r="Z42" s="42"/>
      <c r="AA42" s="43"/>
      <c r="AB42" s="44"/>
      <c r="AC42" s="45"/>
      <c r="AD42" s="114" t="str">
        <f t="shared" si="1"/>
        <v/>
      </c>
    </row>
    <row r="43" spans="15:30" x14ac:dyDescent="0.35">
      <c r="O43" t="str">
        <f t="shared" si="4"/>
        <v/>
      </c>
      <c r="P43" s="18"/>
      <c r="Q43" s="61"/>
      <c r="R43" s="118"/>
      <c r="S43" s="61"/>
      <c r="T43" s="66"/>
      <c r="U43" s="66"/>
      <c r="V43" s="38"/>
      <c r="W43" s="39"/>
      <c r="X43" s="40"/>
      <c r="Y43" s="41"/>
      <c r="Z43" s="42"/>
      <c r="AA43" s="43"/>
      <c r="AB43" s="44"/>
      <c r="AC43" s="45"/>
      <c r="AD43" s="114" t="str">
        <f t="shared" si="1"/>
        <v/>
      </c>
    </row>
    <row r="44" spans="15:30" x14ac:dyDescent="0.35">
      <c r="O44" t="str">
        <f t="shared" si="4"/>
        <v/>
      </c>
      <c r="P44" s="18"/>
      <c r="Q44" s="61"/>
      <c r="R44" s="61"/>
      <c r="S44" s="61"/>
      <c r="T44" s="66"/>
      <c r="U44" s="66"/>
      <c r="V44" s="38"/>
      <c r="W44" s="39"/>
      <c r="X44" s="40"/>
      <c r="Y44" s="41"/>
      <c r="Z44" s="42"/>
      <c r="AA44" s="43"/>
      <c r="AB44" s="44"/>
      <c r="AC44" s="45"/>
      <c r="AD44" s="114" t="str">
        <f t="shared" si="1"/>
        <v/>
      </c>
    </row>
    <row r="45" spans="15:30" x14ac:dyDescent="0.35">
      <c r="O45" t="str">
        <f t="shared" si="4"/>
        <v/>
      </c>
      <c r="P45" s="18"/>
      <c r="Q45" s="61"/>
      <c r="R45" s="61"/>
      <c r="S45" s="61"/>
      <c r="T45" s="66"/>
      <c r="U45" s="66"/>
      <c r="V45" s="38"/>
      <c r="W45" s="39"/>
      <c r="X45" s="40"/>
      <c r="Y45" s="41"/>
      <c r="Z45" s="42"/>
      <c r="AA45" s="43"/>
      <c r="AB45" s="44"/>
      <c r="AC45" s="45"/>
      <c r="AD45" s="114" t="str">
        <f t="shared" si="1"/>
        <v/>
      </c>
    </row>
    <row r="46" spans="15:30" x14ac:dyDescent="0.35">
      <c r="O46" t="str">
        <f t="shared" si="4"/>
        <v/>
      </c>
      <c r="P46" s="18"/>
      <c r="Q46" s="61"/>
      <c r="R46" s="61"/>
      <c r="S46" s="61"/>
      <c r="T46" s="66"/>
      <c r="U46" s="66"/>
      <c r="V46" s="38"/>
      <c r="W46" s="39"/>
      <c r="X46" s="40"/>
      <c r="Y46" s="41"/>
      <c r="Z46" s="42"/>
      <c r="AA46" s="43"/>
      <c r="AB46" s="44"/>
      <c r="AC46" s="45"/>
      <c r="AD46" s="114" t="str">
        <f t="shared" si="1"/>
        <v/>
      </c>
    </row>
    <row r="47" spans="15:30" x14ac:dyDescent="0.35">
      <c r="O47" t="str">
        <f t="shared" si="4"/>
        <v/>
      </c>
      <c r="P47" s="18"/>
      <c r="Q47" s="61"/>
      <c r="R47" s="118"/>
      <c r="S47" s="61"/>
      <c r="T47" s="66"/>
      <c r="U47" s="66"/>
      <c r="V47" s="38"/>
      <c r="W47" s="39"/>
      <c r="X47" s="40"/>
      <c r="Y47" s="41"/>
      <c r="Z47" s="42"/>
      <c r="AA47" s="43"/>
      <c r="AB47" s="44"/>
      <c r="AC47" s="45"/>
      <c r="AD47" s="114" t="str">
        <f t="shared" si="1"/>
        <v/>
      </c>
    </row>
    <row r="48" spans="15:30" x14ac:dyDescent="0.35">
      <c r="O48" t="str">
        <f t="shared" si="4"/>
        <v/>
      </c>
      <c r="P48" s="18"/>
      <c r="Q48" s="61"/>
      <c r="R48" s="118"/>
      <c r="S48" s="61"/>
      <c r="T48" s="66"/>
      <c r="U48" s="66"/>
      <c r="V48" s="38"/>
      <c r="W48" s="39"/>
      <c r="X48" s="40"/>
      <c r="Y48" s="41"/>
      <c r="Z48" s="42"/>
      <c r="AA48" s="43"/>
      <c r="AB48" s="44"/>
      <c r="AC48" s="45"/>
      <c r="AD48" s="114" t="str">
        <f t="shared" si="1"/>
        <v/>
      </c>
    </row>
    <row r="49" spans="15:30" x14ac:dyDescent="0.35">
      <c r="O49" t="str">
        <f t="shared" si="4"/>
        <v/>
      </c>
      <c r="P49" s="18"/>
      <c r="Q49" s="61"/>
      <c r="R49" s="61"/>
      <c r="S49" s="61"/>
      <c r="T49" s="66"/>
      <c r="U49" s="66"/>
      <c r="V49" s="38"/>
      <c r="W49" s="39"/>
      <c r="X49" s="40"/>
      <c r="Y49" s="41"/>
      <c r="Z49" s="42"/>
      <c r="AA49" s="43"/>
      <c r="AB49" s="44"/>
      <c r="AC49" s="45"/>
      <c r="AD49" s="114" t="str">
        <f t="shared" si="1"/>
        <v/>
      </c>
    </row>
    <row r="50" spans="15:30" x14ac:dyDescent="0.35">
      <c r="O50" t="str">
        <f t="shared" si="4"/>
        <v/>
      </c>
      <c r="P50" s="18"/>
      <c r="Q50" s="61"/>
      <c r="R50" s="61"/>
      <c r="S50" s="61"/>
      <c r="T50" s="66"/>
      <c r="U50" s="66"/>
      <c r="V50" s="38"/>
      <c r="W50" s="39"/>
      <c r="X50" s="40"/>
      <c r="Y50" s="41"/>
      <c r="Z50" s="42"/>
      <c r="AA50" s="43"/>
      <c r="AB50" s="44"/>
      <c r="AC50" s="45"/>
      <c r="AD50" s="114" t="str">
        <f t="shared" si="1"/>
        <v/>
      </c>
    </row>
    <row r="51" spans="15:30" x14ac:dyDescent="0.35">
      <c r="O51" t="str">
        <f t="shared" si="4"/>
        <v/>
      </c>
      <c r="P51" s="18"/>
      <c r="Q51" s="61"/>
      <c r="R51" s="118"/>
      <c r="S51" s="61"/>
      <c r="T51" s="66"/>
      <c r="U51" s="66"/>
      <c r="V51" s="38"/>
      <c r="W51" s="39"/>
      <c r="X51" s="40"/>
      <c r="Y51" s="41"/>
      <c r="Z51" s="42"/>
      <c r="AA51" s="43"/>
      <c r="AB51" s="44"/>
      <c r="AC51" s="45"/>
      <c r="AD51" s="114" t="str">
        <f t="shared" si="1"/>
        <v/>
      </c>
    </row>
    <row r="52" spans="15:30" x14ac:dyDescent="0.35">
      <c r="O52" t="str">
        <f t="shared" si="4"/>
        <v/>
      </c>
      <c r="P52" s="18"/>
      <c r="Q52" s="61"/>
      <c r="R52" s="61"/>
      <c r="S52" s="61"/>
      <c r="T52" s="66"/>
      <c r="U52" s="66"/>
      <c r="V52" s="38"/>
      <c r="W52" s="39"/>
      <c r="X52" s="40"/>
      <c r="Y52" s="41"/>
      <c r="Z52" s="42"/>
      <c r="AA52" s="43"/>
      <c r="AB52" s="44"/>
      <c r="AC52" s="45"/>
      <c r="AD52" s="114" t="str">
        <f t="shared" si="1"/>
        <v/>
      </c>
    </row>
    <row r="53" spans="15:30" x14ac:dyDescent="0.35">
      <c r="O53" t="str">
        <f t="shared" si="4"/>
        <v/>
      </c>
      <c r="P53" s="18"/>
      <c r="Q53" s="61"/>
      <c r="R53" s="118"/>
      <c r="S53" s="61"/>
      <c r="T53" s="66"/>
      <c r="U53" s="66"/>
      <c r="V53" s="38"/>
      <c r="W53" s="39"/>
      <c r="X53" s="40"/>
      <c r="Y53" s="41"/>
      <c r="Z53" s="42"/>
      <c r="AA53" s="43"/>
      <c r="AB53" s="44"/>
      <c r="AC53" s="45"/>
      <c r="AD53" s="114" t="str">
        <f t="shared" si="1"/>
        <v/>
      </c>
    </row>
    <row r="54" spans="15:30" x14ac:dyDescent="0.35">
      <c r="O54" t="str">
        <f t="shared" si="4"/>
        <v/>
      </c>
      <c r="P54" s="18"/>
      <c r="Q54" s="61"/>
      <c r="R54" s="61"/>
      <c r="S54" s="61"/>
      <c r="T54" s="66"/>
      <c r="U54" s="66"/>
      <c r="V54" s="38"/>
      <c r="W54" s="39"/>
      <c r="X54" s="40"/>
      <c r="Y54" s="41"/>
      <c r="Z54" s="42"/>
      <c r="AA54" s="43"/>
      <c r="AB54" s="44"/>
      <c r="AC54" s="45"/>
      <c r="AD54" s="114" t="str">
        <f t="shared" si="1"/>
        <v/>
      </c>
    </row>
    <row r="55" spans="15:30" x14ac:dyDescent="0.35">
      <c r="O55" t="str">
        <f t="shared" si="4"/>
        <v/>
      </c>
      <c r="P55" s="18"/>
      <c r="Q55" s="61"/>
      <c r="R55" s="118"/>
      <c r="S55" s="61"/>
      <c r="T55" s="66"/>
      <c r="U55" s="66"/>
      <c r="V55" s="38"/>
      <c r="W55" s="39"/>
      <c r="X55" s="40"/>
      <c r="Y55" s="41"/>
      <c r="Z55" s="42"/>
      <c r="AA55" s="43"/>
      <c r="AB55" s="44"/>
      <c r="AC55" s="45"/>
      <c r="AD55" s="114" t="str">
        <f t="shared" si="1"/>
        <v/>
      </c>
    </row>
    <row r="56" spans="15:30" x14ac:dyDescent="0.35">
      <c r="O56" t="str">
        <f t="shared" si="4"/>
        <v/>
      </c>
      <c r="P56" s="18"/>
      <c r="Q56" s="61"/>
      <c r="R56" s="61"/>
      <c r="S56" s="61"/>
      <c r="T56" s="66"/>
      <c r="U56" s="66"/>
      <c r="V56" s="38"/>
      <c r="W56" s="39"/>
      <c r="X56" s="40"/>
      <c r="Y56" s="41"/>
      <c r="Z56" s="42"/>
      <c r="AA56" s="43"/>
      <c r="AB56" s="44"/>
      <c r="AC56" s="45"/>
      <c r="AD56" s="114" t="str">
        <f t="shared" si="1"/>
        <v/>
      </c>
    </row>
    <row r="57" spans="15:30" x14ac:dyDescent="0.35">
      <c r="O57" t="str">
        <f t="shared" si="4"/>
        <v/>
      </c>
      <c r="P57" s="18"/>
      <c r="Q57" s="61"/>
      <c r="R57" s="118"/>
      <c r="S57" s="61"/>
      <c r="T57" s="66"/>
      <c r="U57" s="66"/>
      <c r="V57" s="38"/>
      <c r="W57" s="39"/>
      <c r="X57" s="40"/>
      <c r="Y57" s="41"/>
      <c r="Z57" s="42"/>
      <c r="AA57" s="43"/>
      <c r="AB57" s="44"/>
      <c r="AC57" s="45"/>
      <c r="AD57" s="114" t="str">
        <f t="shared" si="1"/>
        <v/>
      </c>
    </row>
    <row r="58" spans="15:30" x14ac:dyDescent="0.35">
      <c r="O58" t="str">
        <f t="shared" si="4"/>
        <v/>
      </c>
      <c r="P58" s="18"/>
      <c r="Q58" s="61"/>
      <c r="R58" s="61"/>
      <c r="S58" s="61"/>
      <c r="T58" s="66"/>
      <c r="U58" s="66"/>
      <c r="V58" s="38"/>
      <c r="W58" s="39"/>
      <c r="X58" s="40"/>
      <c r="Y58" s="41"/>
      <c r="Z58" s="42"/>
      <c r="AA58" s="43"/>
      <c r="AB58" s="44"/>
      <c r="AC58" s="45"/>
      <c r="AD58" s="114" t="str">
        <f t="shared" si="1"/>
        <v/>
      </c>
    </row>
    <row r="59" spans="15:30" x14ac:dyDescent="0.35">
      <c r="O59" t="str">
        <f t="shared" si="4"/>
        <v/>
      </c>
      <c r="P59" s="62"/>
      <c r="Q59" s="118"/>
      <c r="R59" s="61"/>
      <c r="S59" s="61"/>
      <c r="T59" s="66"/>
      <c r="U59" s="66"/>
      <c r="V59" s="38"/>
      <c r="W59" s="39"/>
      <c r="X59" s="40"/>
      <c r="Y59" s="41"/>
      <c r="Z59" s="42"/>
      <c r="AA59" s="43"/>
      <c r="AB59" s="44"/>
      <c r="AC59" s="45"/>
      <c r="AD59" s="114" t="str">
        <f t="shared" si="1"/>
        <v/>
      </c>
    </row>
    <row r="60" spans="15:30" x14ac:dyDescent="0.35">
      <c r="O60" t="str">
        <f t="shared" si="4"/>
        <v/>
      </c>
      <c r="P60" s="18"/>
      <c r="Q60" s="61"/>
      <c r="R60" s="61"/>
      <c r="S60" s="61"/>
      <c r="T60" s="66"/>
      <c r="U60" s="66"/>
      <c r="V60" s="38"/>
      <c r="W60" s="39"/>
      <c r="X60" s="40"/>
      <c r="Y60" s="41"/>
      <c r="Z60" s="42"/>
      <c r="AA60" s="43"/>
      <c r="AB60" s="44"/>
      <c r="AC60" s="45"/>
      <c r="AD60" s="114" t="str">
        <f t="shared" si="1"/>
        <v/>
      </c>
    </row>
    <row r="61" spans="15:30" x14ac:dyDescent="0.35">
      <c r="O61" t="str">
        <f t="shared" si="4"/>
        <v/>
      </c>
      <c r="P61" s="18"/>
      <c r="Q61" s="61"/>
      <c r="R61" s="61"/>
      <c r="S61" s="61"/>
      <c r="T61" s="66"/>
      <c r="U61" s="66"/>
      <c r="V61" s="38"/>
      <c r="W61" s="39"/>
      <c r="X61" s="40"/>
      <c r="Y61" s="41"/>
      <c r="Z61" s="42"/>
      <c r="AA61" s="43"/>
      <c r="AB61" s="44"/>
      <c r="AC61" s="45"/>
      <c r="AD61" s="114" t="str">
        <f t="shared" si="1"/>
        <v/>
      </c>
    </row>
    <row r="62" spans="15:30" x14ac:dyDescent="0.35">
      <c r="O62" t="str">
        <f t="shared" si="4"/>
        <v/>
      </c>
      <c r="P62" s="18"/>
      <c r="Q62" s="61"/>
      <c r="R62" s="118"/>
      <c r="S62" s="61"/>
      <c r="T62" s="66"/>
      <c r="U62" s="66"/>
      <c r="V62" s="38"/>
      <c r="W62" s="39"/>
      <c r="X62" s="40"/>
      <c r="Y62" s="41"/>
      <c r="Z62" s="42"/>
      <c r="AA62" s="43"/>
      <c r="AB62" s="44"/>
      <c r="AC62" s="45"/>
      <c r="AD62" s="114" t="str">
        <f t="shared" si="1"/>
        <v/>
      </c>
    </row>
    <row r="63" spans="15:30" x14ac:dyDescent="0.35">
      <c r="O63" t="str">
        <f t="shared" si="4"/>
        <v/>
      </c>
      <c r="P63" s="18"/>
      <c r="Q63" s="61"/>
      <c r="R63" s="61"/>
      <c r="S63" s="61"/>
      <c r="T63" s="66"/>
      <c r="U63" s="66"/>
      <c r="V63" s="38"/>
      <c r="W63" s="39"/>
      <c r="X63" s="40"/>
      <c r="Y63" s="41"/>
      <c r="Z63" s="42"/>
      <c r="AA63" s="43"/>
      <c r="AB63" s="44"/>
      <c r="AC63" s="45"/>
      <c r="AD63" s="114" t="str">
        <f t="shared" si="1"/>
        <v/>
      </c>
    </row>
    <row r="64" spans="15:30" x14ac:dyDescent="0.35">
      <c r="O64" t="str">
        <f t="shared" si="4"/>
        <v/>
      </c>
      <c r="P64" s="62"/>
      <c r="Q64" s="118"/>
      <c r="R64" s="61"/>
      <c r="S64" s="61"/>
      <c r="T64" s="66"/>
      <c r="U64" s="66"/>
      <c r="V64" s="38"/>
      <c r="W64" s="39"/>
      <c r="X64" s="40"/>
      <c r="Y64" s="41"/>
      <c r="Z64" s="42"/>
      <c r="AA64" s="43"/>
      <c r="AB64" s="44"/>
      <c r="AC64" s="45"/>
      <c r="AD64" s="114" t="str">
        <f t="shared" si="1"/>
        <v/>
      </c>
    </row>
    <row r="65" spans="15:30" x14ac:dyDescent="0.35">
      <c r="O65" t="str">
        <f t="shared" si="4"/>
        <v/>
      </c>
      <c r="P65" s="18"/>
      <c r="Q65" s="61"/>
      <c r="R65" s="118"/>
      <c r="S65" s="61"/>
      <c r="T65" s="66"/>
      <c r="U65" s="66"/>
      <c r="V65" s="38"/>
      <c r="W65" s="39"/>
      <c r="X65" s="40"/>
      <c r="Y65" s="41"/>
      <c r="Z65" s="42"/>
      <c r="AA65" s="43"/>
      <c r="AB65" s="44"/>
      <c r="AC65" s="45"/>
      <c r="AD65" s="114" t="str">
        <f t="shared" si="1"/>
        <v/>
      </c>
    </row>
    <row r="66" spans="15:30" x14ac:dyDescent="0.35">
      <c r="O66" t="str">
        <f t="shared" si="4"/>
        <v/>
      </c>
      <c r="P66" s="18"/>
      <c r="Q66" s="61"/>
      <c r="R66" s="118"/>
      <c r="S66" s="61"/>
      <c r="T66" s="66"/>
      <c r="U66" s="66"/>
      <c r="V66" s="38"/>
      <c r="W66" s="39"/>
      <c r="X66" s="40"/>
      <c r="Y66" s="41"/>
      <c r="Z66" s="42"/>
      <c r="AA66" s="43"/>
      <c r="AB66" s="44"/>
      <c r="AC66" s="45"/>
      <c r="AD66" s="114" t="str">
        <f t="shared" ref="AD66:AD129" si="8">IF(P66="","",AC66/6)</f>
        <v/>
      </c>
    </row>
    <row r="67" spans="15:30" x14ac:dyDescent="0.35">
      <c r="O67" t="str">
        <f t="shared" si="4"/>
        <v/>
      </c>
      <c r="P67" s="18"/>
      <c r="Q67" s="61"/>
      <c r="R67" s="118"/>
      <c r="S67" s="61"/>
      <c r="T67" s="66"/>
      <c r="U67" s="66"/>
      <c r="V67" s="38"/>
      <c r="W67" s="39"/>
      <c r="X67" s="40"/>
      <c r="Y67" s="41"/>
      <c r="Z67" s="42"/>
      <c r="AA67" s="43"/>
      <c r="AB67" s="44"/>
      <c r="AC67" s="45"/>
      <c r="AD67" s="114" t="str">
        <f t="shared" si="8"/>
        <v/>
      </c>
    </row>
    <row r="68" spans="15:30" x14ac:dyDescent="0.35">
      <c r="O68" t="str">
        <f t="shared" ref="O68:O131" si="9">IF(P68="","",O67+1)</f>
        <v/>
      </c>
      <c r="P68" s="18"/>
      <c r="Q68" s="61"/>
      <c r="R68" s="61"/>
      <c r="S68" s="61"/>
      <c r="T68" s="66"/>
      <c r="U68" s="66"/>
      <c r="V68" s="38"/>
      <c r="W68" s="39"/>
      <c r="X68" s="40"/>
      <c r="Y68" s="41"/>
      <c r="Z68" s="42"/>
      <c r="AA68" s="43"/>
      <c r="AB68" s="44"/>
      <c r="AC68" s="45"/>
      <c r="AD68" s="114" t="str">
        <f t="shared" si="8"/>
        <v/>
      </c>
    </row>
    <row r="69" spans="15:30" x14ac:dyDescent="0.35">
      <c r="O69" t="str">
        <f t="shared" si="9"/>
        <v/>
      </c>
      <c r="P69" s="18"/>
      <c r="Q69" s="61"/>
      <c r="R69" s="118"/>
      <c r="S69" s="61"/>
      <c r="T69" s="66"/>
      <c r="U69" s="66"/>
      <c r="V69" s="38"/>
      <c r="W69" s="39"/>
      <c r="X69" s="40"/>
      <c r="Y69" s="41"/>
      <c r="Z69" s="42"/>
      <c r="AA69" s="43"/>
      <c r="AB69" s="44"/>
      <c r="AC69" s="45"/>
      <c r="AD69" s="114" t="str">
        <f t="shared" si="8"/>
        <v/>
      </c>
    </row>
    <row r="70" spans="15:30" x14ac:dyDescent="0.35">
      <c r="O70" t="str">
        <f t="shared" si="9"/>
        <v/>
      </c>
      <c r="P70" s="18"/>
      <c r="Q70" s="61"/>
      <c r="R70" s="61"/>
      <c r="S70" s="61"/>
      <c r="T70" s="66"/>
      <c r="U70" s="66"/>
      <c r="V70" s="38"/>
      <c r="W70" s="39"/>
      <c r="X70" s="40"/>
      <c r="Y70" s="41"/>
      <c r="Z70" s="42"/>
      <c r="AA70" s="43"/>
      <c r="AB70" s="44"/>
      <c r="AC70" s="45"/>
      <c r="AD70" s="114" t="str">
        <f t="shared" si="8"/>
        <v/>
      </c>
    </row>
    <row r="71" spans="15:30" x14ac:dyDescent="0.35">
      <c r="O71" t="str">
        <f t="shared" si="9"/>
        <v/>
      </c>
      <c r="P71" s="18"/>
      <c r="Q71" s="61"/>
      <c r="R71" s="118"/>
      <c r="S71" s="61"/>
      <c r="T71" s="66"/>
      <c r="U71" s="66"/>
      <c r="V71" s="38"/>
      <c r="W71" s="39"/>
      <c r="X71" s="40"/>
      <c r="Y71" s="41"/>
      <c r="Z71" s="42"/>
      <c r="AA71" s="43"/>
      <c r="AB71" s="44"/>
      <c r="AC71" s="45"/>
      <c r="AD71" s="114" t="str">
        <f t="shared" si="8"/>
        <v/>
      </c>
    </row>
    <row r="72" spans="15:30" x14ac:dyDescent="0.35">
      <c r="O72" t="str">
        <f t="shared" si="9"/>
        <v/>
      </c>
      <c r="P72" s="18"/>
      <c r="Q72" s="61"/>
      <c r="R72" s="61"/>
      <c r="S72" s="61"/>
      <c r="T72" s="66"/>
      <c r="U72" s="66"/>
      <c r="V72" s="38"/>
      <c r="W72" s="39"/>
      <c r="X72" s="40"/>
      <c r="Y72" s="41"/>
      <c r="Z72" s="42"/>
      <c r="AA72" s="43"/>
      <c r="AB72" s="44"/>
      <c r="AC72" s="45"/>
      <c r="AD72" s="114" t="str">
        <f t="shared" si="8"/>
        <v/>
      </c>
    </row>
    <row r="73" spans="15:30" x14ac:dyDescent="0.35">
      <c r="O73" t="str">
        <f t="shared" si="9"/>
        <v/>
      </c>
      <c r="P73" s="18"/>
      <c r="Q73" s="61"/>
      <c r="R73" s="61"/>
      <c r="S73" s="61"/>
      <c r="T73" s="66"/>
      <c r="U73" s="66"/>
      <c r="V73" s="38"/>
      <c r="W73" s="39"/>
      <c r="X73" s="40"/>
      <c r="Y73" s="41"/>
      <c r="Z73" s="42"/>
      <c r="AA73" s="43"/>
      <c r="AB73" s="44"/>
      <c r="AC73" s="45"/>
      <c r="AD73" s="114" t="str">
        <f t="shared" si="8"/>
        <v/>
      </c>
    </row>
    <row r="74" spans="15:30" x14ac:dyDescent="0.35">
      <c r="O74" t="str">
        <f t="shared" si="9"/>
        <v/>
      </c>
      <c r="P74" s="18"/>
      <c r="Q74" s="61"/>
      <c r="R74" s="118"/>
      <c r="S74" s="61"/>
      <c r="T74" s="66"/>
      <c r="U74" s="66"/>
      <c r="V74" s="38"/>
      <c r="W74" s="39"/>
      <c r="X74" s="40"/>
      <c r="Y74" s="41"/>
      <c r="Z74" s="42"/>
      <c r="AA74" s="43"/>
      <c r="AB74" s="44"/>
      <c r="AC74" s="45"/>
      <c r="AD74" s="114" t="str">
        <f t="shared" si="8"/>
        <v/>
      </c>
    </row>
    <row r="75" spans="15:30" x14ac:dyDescent="0.35">
      <c r="O75" t="str">
        <f t="shared" si="9"/>
        <v/>
      </c>
      <c r="P75" s="18"/>
      <c r="Q75" s="61"/>
      <c r="R75" s="61"/>
      <c r="S75" s="61"/>
      <c r="T75" s="66"/>
      <c r="U75" s="66"/>
      <c r="V75" s="38"/>
      <c r="W75" s="39"/>
      <c r="X75" s="40"/>
      <c r="Y75" s="41"/>
      <c r="Z75" s="42"/>
      <c r="AA75" s="43"/>
      <c r="AB75" s="44"/>
      <c r="AC75" s="45"/>
      <c r="AD75" s="114" t="str">
        <f t="shared" si="8"/>
        <v/>
      </c>
    </row>
    <row r="76" spans="15:30" x14ac:dyDescent="0.35">
      <c r="O76" t="str">
        <f t="shared" si="9"/>
        <v/>
      </c>
      <c r="P76" s="18"/>
      <c r="Q76" s="61"/>
      <c r="R76" s="118"/>
      <c r="S76" s="61"/>
      <c r="T76" s="66"/>
      <c r="U76" s="66"/>
      <c r="V76" s="38"/>
      <c r="W76" s="39"/>
      <c r="X76" s="40"/>
      <c r="Y76" s="41"/>
      <c r="Z76" s="42"/>
      <c r="AA76" s="43"/>
      <c r="AB76" s="44"/>
      <c r="AC76" s="45"/>
      <c r="AD76" s="114" t="str">
        <f t="shared" si="8"/>
        <v/>
      </c>
    </row>
    <row r="77" spans="15:30" x14ac:dyDescent="0.35">
      <c r="O77" t="str">
        <f t="shared" si="9"/>
        <v/>
      </c>
      <c r="P77" s="18"/>
      <c r="Q77" s="61"/>
      <c r="R77" s="61"/>
      <c r="S77" s="61"/>
      <c r="T77" s="66"/>
      <c r="U77" s="66"/>
      <c r="V77" s="38"/>
      <c r="W77" s="39"/>
      <c r="X77" s="40"/>
      <c r="Y77" s="41"/>
      <c r="Z77" s="42"/>
      <c r="AA77" s="43"/>
      <c r="AB77" s="44"/>
      <c r="AC77" s="45"/>
      <c r="AD77" s="114" t="str">
        <f t="shared" si="8"/>
        <v/>
      </c>
    </row>
    <row r="78" spans="15:30" x14ac:dyDescent="0.35">
      <c r="O78" t="str">
        <f t="shared" si="9"/>
        <v/>
      </c>
      <c r="P78" s="18"/>
      <c r="Q78" s="61"/>
      <c r="R78" s="118"/>
      <c r="S78" s="61"/>
      <c r="T78" s="66"/>
      <c r="U78" s="66"/>
      <c r="V78" s="38"/>
      <c r="W78" s="39"/>
      <c r="X78" s="40"/>
      <c r="Y78" s="41"/>
      <c r="Z78" s="42"/>
      <c r="AA78" s="43"/>
      <c r="AB78" s="44"/>
      <c r="AC78" s="45"/>
      <c r="AD78" s="114" t="str">
        <f t="shared" si="8"/>
        <v/>
      </c>
    </row>
    <row r="79" spans="15:30" x14ac:dyDescent="0.35">
      <c r="O79" t="str">
        <f t="shared" si="9"/>
        <v/>
      </c>
      <c r="P79" s="18"/>
      <c r="Q79" s="61"/>
      <c r="R79" s="61"/>
      <c r="S79" s="61"/>
      <c r="T79" s="66"/>
      <c r="U79" s="66"/>
      <c r="V79" s="38"/>
      <c r="W79" s="39"/>
      <c r="X79" s="40"/>
      <c r="Y79" s="41"/>
      <c r="Z79" s="42"/>
      <c r="AA79" s="43"/>
      <c r="AB79" s="44"/>
      <c r="AC79" s="45"/>
      <c r="AD79" s="114" t="str">
        <f t="shared" si="8"/>
        <v/>
      </c>
    </row>
    <row r="80" spans="15:30" x14ac:dyDescent="0.35">
      <c r="O80" t="str">
        <f t="shared" si="9"/>
        <v/>
      </c>
      <c r="P80" s="18"/>
      <c r="Q80" s="61"/>
      <c r="R80" s="61"/>
      <c r="S80" s="61"/>
      <c r="T80" s="66"/>
      <c r="U80" s="66"/>
      <c r="V80" s="38"/>
      <c r="W80" s="39"/>
      <c r="X80" s="40"/>
      <c r="Y80" s="41"/>
      <c r="Z80" s="42"/>
      <c r="AA80" s="43"/>
      <c r="AB80" s="44"/>
      <c r="AC80" s="45"/>
      <c r="AD80" s="114" t="str">
        <f t="shared" si="8"/>
        <v/>
      </c>
    </row>
    <row r="81" spans="15:30" x14ac:dyDescent="0.35">
      <c r="O81" t="str">
        <f t="shared" si="9"/>
        <v/>
      </c>
      <c r="P81" s="18"/>
      <c r="Q81" s="61"/>
      <c r="R81" s="61"/>
      <c r="S81" s="61"/>
      <c r="T81" s="66"/>
      <c r="U81" s="66"/>
      <c r="V81" s="38"/>
      <c r="W81" s="39"/>
      <c r="X81" s="40"/>
      <c r="Y81" s="41"/>
      <c r="Z81" s="42"/>
      <c r="AA81" s="43"/>
      <c r="AB81" s="44"/>
      <c r="AC81" s="45"/>
      <c r="AD81" s="114" t="str">
        <f t="shared" si="8"/>
        <v/>
      </c>
    </row>
    <row r="82" spans="15:30" x14ac:dyDescent="0.35">
      <c r="O82" t="str">
        <f t="shared" si="9"/>
        <v/>
      </c>
      <c r="P82" s="18"/>
      <c r="Q82" s="61"/>
      <c r="R82" s="61"/>
      <c r="S82" s="61"/>
      <c r="T82" s="66"/>
      <c r="U82" s="66"/>
      <c r="V82" s="38"/>
      <c r="W82" s="39"/>
      <c r="X82" s="40"/>
      <c r="Y82" s="41"/>
      <c r="Z82" s="42"/>
      <c r="AA82" s="43"/>
      <c r="AB82" s="44"/>
      <c r="AC82" s="45"/>
      <c r="AD82" s="114" t="str">
        <f t="shared" si="8"/>
        <v/>
      </c>
    </row>
    <row r="83" spans="15:30" x14ac:dyDescent="0.35">
      <c r="O83" t="str">
        <f t="shared" si="9"/>
        <v/>
      </c>
      <c r="P83" s="18"/>
      <c r="Q83" s="61"/>
      <c r="R83" s="61"/>
      <c r="S83" s="61"/>
      <c r="T83" s="66"/>
      <c r="U83" s="66"/>
      <c r="V83" s="38"/>
      <c r="W83" s="39"/>
      <c r="X83" s="40"/>
      <c r="Y83" s="41"/>
      <c r="Z83" s="42"/>
      <c r="AA83" s="43"/>
      <c r="AB83" s="44"/>
      <c r="AC83" s="45"/>
      <c r="AD83" s="114" t="str">
        <f t="shared" si="8"/>
        <v/>
      </c>
    </row>
    <row r="84" spans="15:30" x14ac:dyDescent="0.35">
      <c r="O84" t="str">
        <f t="shared" si="9"/>
        <v/>
      </c>
      <c r="P84" s="18"/>
      <c r="Q84" s="61"/>
      <c r="R84" s="61"/>
      <c r="S84" s="61"/>
      <c r="T84" s="66"/>
      <c r="U84" s="66"/>
      <c r="V84" s="38"/>
      <c r="W84" s="39"/>
      <c r="X84" s="40"/>
      <c r="Y84" s="41"/>
      <c r="Z84" s="42"/>
      <c r="AA84" s="43"/>
      <c r="AB84" s="44"/>
      <c r="AC84" s="45"/>
      <c r="AD84" s="114" t="str">
        <f t="shared" si="8"/>
        <v/>
      </c>
    </row>
    <row r="85" spans="15:30" x14ac:dyDescent="0.35">
      <c r="O85" t="str">
        <f t="shared" si="9"/>
        <v/>
      </c>
      <c r="P85" s="18"/>
      <c r="Q85" s="61"/>
      <c r="R85" s="61"/>
      <c r="S85" s="61"/>
      <c r="T85" s="66"/>
      <c r="U85" s="66"/>
      <c r="V85" s="38"/>
      <c r="W85" s="39"/>
      <c r="X85" s="40"/>
      <c r="Y85" s="41"/>
      <c r="Z85" s="42"/>
      <c r="AA85" s="43"/>
      <c r="AB85" s="44"/>
      <c r="AC85" s="45"/>
      <c r="AD85" s="114" t="str">
        <f t="shared" si="8"/>
        <v/>
      </c>
    </row>
    <row r="86" spans="15:30" x14ac:dyDescent="0.35">
      <c r="O86" t="str">
        <f t="shared" si="9"/>
        <v/>
      </c>
      <c r="P86" s="18"/>
      <c r="Q86" s="61"/>
      <c r="R86" s="118"/>
      <c r="S86" s="61"/>
      <c r="T86" s="66"/>
      <c r="U86" s="66"/>
      <c r="V86" s="38"/>
      <c r="W86" s="39"/>
      <c r="X86" s="40"/>
      <c r="Y86" s="41"/>
      <c r="Z86" s="42"/>
      <c r="AA86" s="43"/>
      <c r="AB86" s="44"/>
      <c r="AC86" s="45"/>
      <c r="AD86" s="114" t="str">
        <f t="shared" si="8"/>
        <v/>
      </c>
    </row>
    <row r="87" spans="15:30" x14ac:dyDescent="0.35">
      <c r="O87" t="str">
        <f t="shared" si="9"/>
        <v/>
      </c>
      <c r="P87" s="18"/>
      <c r="Q87" s="61"/>
      <c r="R87" s="61"/>
      <c r="S87" s="61"/>
      <c r="T87" s="66"/>
      <c r="U87" s="66"/>
      <c r="V87" s="38"/>
      <c r="W87" s="39"/>
      <c r="X87" s="40"/>
      <c r="Y87" s="41"/>
      <c r="Z87" s="42"/>
      <c r="AA87" s="43"/>
      <c r="AB87" s="44"/>
      <c r="AC87" s="45"/>
      <c r="AD87" s="114" t="str">
        <f t="shared" si="8"/>
        <v/>
      </c>
    </row>
    <row r="88" spans="15:30" x14ac:dyDescent="0.35">
      <c r="O88" t="str">
        <f t="shared" si="9"/>
        <v/>
      </c>
      <c r="P88" s="18"/>
      <c r="Q88" s="61"/>
      <c r="R88" s="118"/>
      <c r="S88" s="61"/>
      <c r="T88" s="66"/>
      <c r="U88" s="66"/>
      <c r="V88" s="38"/>
      <c r="W88" s="39"/>
      <c r="X88" s="40"/>
      <c r="Y88" s="41"/>
      <c r="Z88" s="42"/>
      <c r="AA88" s="43"/>
      <c r="AB88" s="44"/>
      <c r="AC88" s="45"/>
      <c r="AD88" s="114" t="str">
        <f t="shared" si="8"/>
        <v/>
      </c>
    </row>
    <row r="89" spans="15:30" x14ac:dyDescent="0.35">
      <c r="O89" t="str">
        <f t="shared" si="9"/>
        <v/>
      </c>
      <c r="P89" s="18"/>
      <c r="Q89" s="61"/>
      <c r="R89" s="61"/>
      <c r="S89" s="61"/>
      <c r="T89" s="66"/>
      <c r="U89" s="66"/>
      <c r="V89" s="38"/>
      <c r="W89" s="39"/>
      <c r="X89" s="40"/>
      <c r="Y89" s="41"/>
      <c r="Z89" s="42"/>
      <c r="AA89" s="43"/>
      <c r="AB89" s="44"/>
      <c r="AC89" s="45"/>
      <c r="AD89" s="114" t="str">
        <f t="shared" si="8"/>
        <v/>
      </c>
    </row>
    <row r="90" spans="15:30" x14ac:dyDescent="0.35">
      <c r="O90" t="str">
        <f t="shared" si="9"/>
        <v/>
      </c>
      <c r="P90" s="18"/>
      <c r="Q90" s="61"/>
      <c r="R90" s="61"/>
      <c r="S90" s="61"/>
      <c r="T90" s="66"/>
      <c r="U90" s="66"/>
      <c r="V90" s="38"/>
      <c r="W90" s="39"/>
      <c r="X90" s="40"/>
      <c r="Y90" s="41"/>
      <c r="Z90" s="42"/>
      <c r="AA90" s="43"/>
      <c r="AB90" s="44"/>
      <c r="AC90" s="45"/>
      <c r="AD90" s="114" t="str">
        <f t="shared" si="8"/>
        <v/>
      </c>
    </row>
    <row r="91" spans="15:30" x14ac:dyDescent="0.35">
      <c r="O91" t="str">
        <f t="shared" si="9"/>
        <v/>
      </c>
      <c r="P91" s="18"/>
      <c r="Q91" s="61"/>
      <c r="R91" s="118"/>
      <c r="S91" s="61"/>
      <c r="T91" s="66"/>
      <c r="U91" s="66"/>
      <c r="V91" s="38"/>
      <c r="W91" s="39"/>
      <c r="X91" s="40"/>
      <c r="Y91" s="41"/>
      <c r="Z91" s="42"/>
      <c r="AA91" s="43"/>
      <c r="AB91" s="44"/>
      <c r="AC91" s="45"/>
      <c r="AD91" s="114" t="str">
        <f t="shared" si="8"/>
        <v/>
      </c>
    </row>
    <row r="92" spans="15:30" x14ac:dyDescent="0.35">
      <c r="O92" t="str">
        <f t="shared" si="9"/>
        <v/>
      </c>
      <c r="P92" s="18"/>
      <c r="Q92" s="61"/>
      <c r="R92" s="118"/>
      <c r="S92" s="61"/>
      <c r="T92" s="66"/>
      <c r="U92" s="66"/>
      <c r="V92" s="38"/>
      <c r="W92" s="39"/>
      <c r="X92" s="40"/>
      <c r="Y92" s="41"/>
      <c r="Z92" s="42"/>
      <c r="AA92" s="43"/>
      <c r="AB92" s="44"/>
      <c r="AC92" s="45"/>
      <c r="AD92" s="114" t="str">
        <f t="shared" si="8"/>
        <v/>
      </c>
    </row>
    <row r="93" spans="15:30" x14ac:dyDescent="0.35">
      <c r="O93" t="str">
        <f t="shared" si="9"/>
        <v/>
      </c>
      <c r="P93" s="18"/>
      <c r="Q93" s="61"/>
      <c r="R93" s="118"/>
      <c r="S93" s="61"/>
      <c r="T93" s="66"/>
      <c r="U93" s="66"/>
      <c r="V93" s="38"/>
      <c r="W93" s="39"/>
      <c r="X93" s="40"/>
      <c r="Y93" s="41"/>
      <c r="Z93" s="42"/>
      <c r="AA93" s="43"/>
      <c r="AB93" s="44"/>
      <c r="AC93" s="45"/>
      <c r="AD93" s="114" t="str">
        <f t="shared" si="8"/>
        <v/>
      </c>
    </row>
    <row r="94" spans="15:30" x14ac:dyDescent="0.35">
      <c r="O94" t="str">
        <f t="shared" si="9"/>
        <v/>
      </c>
      <c r="P94" s="18"/>
      <c r="Q94" s="61"/>
      <c r="R94" s="118"/>
      <c r="S94" s="61"/>
      <c r="T94" s="66"/>
      <c r="U94" s="66"/>
      <c r="V94" s="38"/>
      <c r="W94" s="39"/>
      <c r="X94" s="40"/>
      <c r="Y94" s="41"/>
      <c r="Z94" s="42"/>
      <c r="AA94" s="43"/>
      <c r="AB94" s="44"/>
      <c r="AC94" s="45"/>
      <c r="AD94" s="114" t="str">
        <f t="shared" si="8"/>
        <v/>
      </c>
    </row>
    <row r="95" spans="15:30" x14ac:dyDescent="0.35">
      <c r="O95" t="str">
        <f t="shared" si="9"/>
        <v/>
      </c>
      <c r="P95" s="18"/>
      <c r="Q95" s="61"/>
      <c r="R95" s="118"/>
      <c r="S95" s="61"/>
      <c r="T95" s="66"/>
      <c r="U95" s="66"/>
      <c r="V95" s="38"/>
      <c r="W95" s="39"/>
      <c r="X95" s="40"/>
      <c r="Y95" s="41"/>
      <c r="Z95" s="42"/>
      <c r="AA95" s="43"/>
      <c r="AB95" s="44"/>
      <c r="AC95" s="45"/>
      <c r="AD95" s="114" t="str">
        <f t="shared" si="8"/>
        <v/>
      </c>
    </row>
    <row r="96" spans="15:30" x14ac:dyDescent="0.35">
      <c r="O96" t="str">
        <f t="shared" si="9"/>
        <v/>
      </c>
      <c r="P96" s="18"/>
      <c r="Q96" s="61"/>
      <c r="R96" s="118"/>
      <c r="S96" s="61"/>
      <c r="T96" s="66"/>
      <c r="U96" s="66"/>
      <c r="V96" s="38"/>
      <c r="W96" s="39"/>
      <c r="X96" s="40"/>
      <c r="Y96" s="41"/>
      <c r="Z96" s="42"/>
      <c r="AA96" s="43"/>
      <c r="AB96" s="44"/>
      <c r="AC96" s="45"/>
      <c r="AD96" s="114" t="str">
        <f t="shared" si="8"/>
        <v/>
      </c>
    </row>
    <row r="97" spans="15:30" x14ac:dyDescent="0.35">
      <c r="O97" t="str">
        <f t="shared" si="9"/>
        <v/>
      </c>
      <c r="P97" s="18"/>
      <c r="Q97" s="61"/>
      <c r="R97" s="61"/>
      <c r="S97" s="61"/>
      <c r="T97" s="66"/>
      <c r="U97" s="66"/>
      <c r="V97" s="38"/>
      <c r="W97" s="39"/>
      <c r="X97" s="40"/>
      <c r="Y97" s="41"/>
      <c r="Z97" s="42"/>
      <c r="AA97" s="43"/>
      <c r="AB97" s="44"/>
      <c r="AC97" s="45"/>
      <c r="AD97" s="114" t="str">
        <f t="shared" si="8"/>
        <v/>
      </c>
    </row>
    <row r="98" spans="15:30" x14ac:dyDescent="0.35">
      <c r="O98" t="str">
        <f t="shared" si="9"/>
        <v/>
      </c>
      <c r="P98" s="18"/>
      <c r="Q98" s="61"/>
      <c r="R98" s="61"/>
      <c r="S98" s="61"/>
      <c r="T98" s="66"/>
      <c r="U98" s="66"/>
      <c r="V98" s="38"/>
      <c r="W98" s="39"/>
      <c r="X98" s="40"/>
      <c r="Y98" s="41"/>
      <c r="Z98" s="42"/>
      <c r="AA98" s="43"/>
      <c r="AB98" s="44"/>
      <c r="AC98" s="45"/>
      <c r="AD98" s="114" t="str">
        <f t="shared" si="8"/>
        <v/>
      </c>
    </row>
    <row r="99" spans="15:30" x14ac:dyDescent="0.35">
      <c r="O99" t="str">
        <f t="shared" si="9"/>
        <v/>
      </c>
      <c r="P99" s="18"/>
      <c r="Q99" s="61"/>
      <c r="R99" s="118"/>
      <c r="S99" s="61"/>
      <c r="T99" s="66"/>
      <c r="U99" s="66"/>
      <c r="V99" s="38"/>
      <c r="W99" s="39"/>
      <c r="X99" s="40"/>
      <c r="Y99" s="41"/>
      <c r="Z99" s="42"/>
      <c r="AA99" s="43"/>
      <c r="AB99" s="44"/>
      <c r="AC99" s="45"/>
      <c r="AD99" s="114" t="str">
        <f t="shared" si="8"/>
        <v/>
      </c>
    </row>
    <row r="100" spans="15:30" x14ac:dyDescent="0.35">
      <c r="O100" t="str">
        <f t="shared" si="9"/>
        <v/>
      </c>
      <c r="P100" s="18"/>
      <c r="Q100" s="61"/>
      <c r="R100" s="118"/>
      <c r="S100" s="61"/>
      <c r="T100" s="66"/>
      <c r="U100" s="66"/>
      <c r="V100" s="38"/>
      <c r="W100" s="39"/>
      <c r="X100" s="40"/>
      <c r="Y100" s="41"/>
      <c r="Z100" s="42"/>
      <c r="AA100" s="43"/>
      <c r="AB100" s="44"/>
      <c r="AC100" s="45"/>
      <c r="AD100" s="114" t="str">
        <f t="shared" si="8"/>
        <v/>
      </c>
    </row>
    <row r="101" spans="15:30" x14ac:dyDescent="0.35">
      <c r="O101" t="str">
        <f t="shared" si="9"/>
        <v/>
      </c>
      <c r="P101" s="62"/>
      <c r="Q101" s="118"/>
      <c r="R101" s="61"/>
      <c r="S101" s="61"/>
      <c r="T101" s="66"/>
      <c r="U101" s="66"/>
      <c r="V101" s="38"/>
      <c r="W101" s="39"/>
      <c r="X101" s="40"/>
      <c r="Y101" s="41"/>
      <c r="Z101" s="42"/>
      <c r="AA101" s="43"/>
      <c r="AB101" s="44"/>
      <c r="AC101" s="45"/>
      <c r="AD101" s="114" t="str">
        <f t="shared" si="8"/>
        <v/>
      </c>
    </row>
    <row r="102" spans="15:30" x14ac:dyDescent="0.35">
      <c r="O102" t="str">
        <f t="shared" si="9"/>
        <v/>
      </c>
      <c r="P102" s="18"/>
      <c r="Q102" s="61"/>
      <c r="R102" s="118"/>
      <c r="S102" s="61"/>
      <c r="T102" s="66"/>
      <c r="U102" s="66"/>
      <c r="V102" s="38"/>
      <c r="W102" s="39"/>
      <c r="X102" s="40"/>
      <c r="Y102" s="41"/>
      <c r="Z102" s="42"/>
      <c r="AA102" s="43"/>
      <c r="AB102" s="44"/>
      <c r="AC102" s="45"/>
      <c r="AD102" s="114" t="str">
        <f t="shared" si="8"/>
        <v/>
      </c>
    </row>
    <row r="103" spans="15:30" x14ac:dyDescent="0.35">
      <c r="O103" t="str">
        <f t="shared" si="9"/>
        <v/>
      </c>
      <c r="P103" s="18"/>
      <c r="Q103" s="61"/>
      <c r="R103" s="61"/>
      <c r="S103" s="61"/>
      <c r="T103" s="66"/>
      <c r="U103" s="66"/>
      <c r="V103" s="38"/>
      <c r="W103" s="39"/>
      <c r="X103" s="40"/>
      <c r="Y103" s="41"/>
      <c r="Z103" s="42"/>
      <c r="AA103" s="43"/>
      <c r="AB103" s="44"/>
      <c r="AC103" s="45"/>
      <c r="AD103" s="114" t="str">
        <f t="shared" si="8"/>
        <v/>
      </c>
    </row>
    <row r="104" spans="15:30" x14ac:dyDescent="0.35">
      <c r="O104" t="str">
        <f t="shared" si="9"/>
        <v/>
      </c>
      <c r="P104" s="18"/>
      <c r="Q104" s="61"/>
      <c r="R104" s="61"/>
      <c r="S104" s="61"/>
      <c r="T104" s="66"/>
      <c r="U104" s="66"/>
      <c r="V104" s="38"/>
      <c r="W104" s="39"/>
      <c r="X104" s="40"/>
      <c r="Y104" s="41"/>
      <c r="Z104" s="42"/>
      <c r="AA104" s="43"/>
      <c r="AB104" s="44"/>
      <c r="AC104" s="45"/>
      <c r="AD104" s="114" t="str">
        <f t="shared" si="8"/>
        <v/>
      </c>
    </row>
    <row r="105" spans="15:30" x14ac:dyDescent="0.35">
      <c r="O105" t="str">
        <f t="shared" si="9"/>
        <v/>
      </c>
      <c r="P105" s="62"/>
      <c r="Q105" s="118"/>
      <c r="R105" s="61"/>
      <c r="S105" s="61"/>
      <c r="T105" s="66"/>
      <c r="U105" s="66"/>
      <c r="V105" s="38"/>
      <c r="W105" s="39"/>
      <c r="X105" s="40"/>
      <c r="Y105" s="41"/>
      <c r="Z105" s="42"/>
      <c r="AA105" s="43"/>
      <c r="AB105" s="44"/>
      <c r="AC105" s="45"/>
      <c r="AD105" s="114" t="str">
        <f t="shared" si="8"/>
        <v/>
      </c>
    </row>
    <row r="106" spans="15:30" x14ac:dyDescent="0.35">
      <c r="O106" t="str">
        <f t="shared" si="9"/>
        <v/>
      </c>
      <c r="P106" s="18"/>
      <c r="Q106" s="61"/>
      <c r="R106" s="118"/>
      <c r="S106" s="61"/>
      <c r="T106" s="66"/>
      <c r="U106" s="66"/>
      <c r="V106" s="38"/>
      <c r="W106" s="39"/>
      <c r="X106" s="40"/>
      <c r="Y106" s="41"/>
      <c r="Z106" s="42"/>
      <c r="AA106" s="43"/>
      <c r="AB106" s="44"/>
      <c r="AC106" s="45"/>
      <c r="AD106" s="114" t="str">
        <f t="shared" si="8"/>
        <v/>
      </c>
    </row>
    <row r="107" spans="15:30" x14ac:dyDescent="0.35">
      <c r="O107" t="str">
        <f t="shared" si="9"/>
        <v/>
      </c>
      <c r="P107" s="18"/>
      <c r="Q107" s="61"/>
      <c r="R107" s="118"/>
      <c r="S107" s="61"/>
      <c r="T107" s="66"/>
      <c r="U107" s="66"/>
      <c r="V107" s="38"/>
      <c r="W107" s="39"/>
      <c r="X107" s="40"/>
      <c r="Y107" s="41"/>
      <c r="Z107" s="42"/>
      <c r="AA107" s="43"/>
      <c r="AB107" s="44"/>
      <c r="AC107" s="45"/>
      <c r="AD107" s="114" t="str">
        <f t="shared" si="8"/>
        <v/>
      </c>
    </row>
    <row r="108" spans="15:30" x14ac:dyDescent="0.35">
      <c r="O108" t="str">
        <f t="shared" si="9"/>
        <v/>
      </c>
      <c r="P108" s="18"/>
      <c r="Q108" s="61"/>
      <c r="R108" s="61"/>
      <c r="S108" s="61"/>
      <c r="T108" s="66"/>
      <c r="U108" s="66"/>
      <c r="V108" s="38"/>
      <c r="W108" s="39"/>
      <c r="X108" s="40"/>
      <c r="Y108" s="41"/>
      <c r="Z108" s="42"/>
      <c r="AA108" s="43"/>
      <c r="AB108" s="44"/>
      <c r="AC108" s="45"/>
      <c r="AD108" s="114" t="str">
        <f t="shared" si="8"/>
        <v/>
      </c>
    </row>
    <row r="109" spans="15:30" x14ac:dyDescent="0.35">
      <c r="O109" t="str">
        <f t="shared" si="9"/>
        <v/>
      </c>
      <c r="P109" s="62"/>
      <c r="Q109" s="118"/>
      <c r="R109" s="118"/>
      <c r="S109" s="61"/>
      <c r="T109" s="66"/>
      <c r="U109" s="66"/>
      <c r="V109" s="38"/>
      <c r="W109" s="39"/>
      <c r="X109" s="40"/>
      <c r="Y109" s="41"/>
      <c r="Z109" s="42"/>
      <c r="AA109" s="43"/>
      <c r="AB109" s="44"/>
      <c r="AC109" s="45"/>
      <c r="AD109" s="114" t="str">
        <f t="shared" si="8"/>
        <v/>
      </c>
    </row>
    <row r="110" spans="15:30" x14ac:dyDescent="0.35">
      <c r="O110" t="str">
        <f t="shared" si="9"/>
        <v/>
      </c>
      <c r="P110" s="18"/>
      <c r="Q110" s="61"/>
      <c r="R110" s="61"/>
      <c r="S110" s="61"/>
      <c r="T110" s="66"/>
      <c r="U110" s="66"/>
      <c r="V110" s="38"/>
      <c r="W110" s="39"/>
      <c r="X110" s="40"/>
      <c r="Y110" s="41"/>
      <c r="Z110" s="42"/>
      <c r="AA110" s="43"/>
      <c r="AB110" s="44"/>
      <c r="AC110" s="45"/>
      <c r="AD110" s="114" t="str">
        <f t="shared" si="8"/>
        <v/>
      </c>
    </row>
    <row r="111" spans="15:30" x14ac:dyDescent="0.35">
      <c r="O111" t="str">
        <f t="shared" si="9"/>
        <v/>
      </c>
      <c r="P111" s="18"/>
      <c r="Q111" s="61"/>
      <c r="R111" s="61"/>
      <c r="S111" s="61"/>
      <c r="T111" s="66"/>
      <c r="U111" s="66"/>
      <c r="V111" s="38"/>
      <c r="W111" s="39"/>
      <c r="X111" s="40"/>
      <c r="Y111" s="41"/>
      <c r="Z111" s="42"/>
      <c r="AA111" s="43"/>
      <c r="AB111" s="44"/>
      <c r="AC111" s="45"/>
      <c r="AD111" s="114" t="str">
        <f t="shared" si="8"/>
        <v/>
      </c>
    </row>
    <row r="112" spans="15:30" x14ac:dyDescent="0.35">
      <c r="O112" t="str">
        <f t="shared" si="9"/>
        <v/>
      </c>
      <c r="P112" s="18"/>
      <c r="Q112" s="61"/>
      <c r="R112" s="61"/>
      <c r="S112" s="61"/>
      <c r="T112" s="66"/>
      <c r="U112" s="66"/>
      <c r="V112" s="38"/>
      <c r="W112" s="39"/>
      <c r="X112" s="40"/>
      <c r="Y112" s="41"/>
      <c r="Z112" s="42"/>
      <c r="AA112" s="43"/>
      <c r="AB112" s="44"/>
      <c r="AC112" s="45"/>
      <c r="AD112" s="114" t="str">
        <f t="shared" si="8"/>
        <v/>
      </c>
    </row>
    <row r="113" spans="15:30" x14ac:dyDescent="0.35">
      <c r="O113" t="str">
        <f t="shared" si="9"/>
        <v/>
      </c>
      <c r="P113" s="18"/>
      <c r="Q113" s="61"/>
      <c r="R113" s="118"/>
      <c r="S113" s="61"/>
      <c r="T113" s="66"/>
      <c r="U113" s="66"/>
      <c r="V113" s="38"/>
      <c r="W113" s="39"/>
      <c r="X113" s="40"/>
      <c r="Y113" s="41"/>
      <c r="Z113" s="42"/>
      <c r="AA113" s="43"/>
      <c r="AB113" s="44"/>
      <c r="AC113" s="45"/>
      <c r="AD113" s="114" t="str">
        <f t="shared" si="8"/>
        <v/>
      </c>
    </row>
    <row r="114" spans="15:30" x14ac:dyDescent="0.35">
      <c r="O114" t="str">
        <f t="shared" si="9"/>
        <v/>
      </c>
      <c r="P114" s="18"/>
      <c r="Q114" s="61"/>
      <c r="R114" s="118"/>
      <c r="S114" s="61"/>
      <c r="T114" s="66"/>
      <c r="U114" s="66"/>
      <c r="V114" s="38"/>
      <c r="W114" s="39"/>
      <c r="X114" s="40"/>
      <c r="Y114" s="41"/>
      <c r="Z114" s="42"/>
      <c r="AA114" s="43"/>
      <c r="AB114" s="44"/>
      <c r="AC114" s="45"/>
      <c r="AD114" s="114" t="str">
        <f t="shared" si="8"/>
        <v/>
      </c>
    </row>
    <row r="115" spans="15:30" x14ac:dyDescent="0.35">
      <c r="O115" t="str">
        <f t="shared" si="9"/>
        <v/>
      </c>
      <c r="P115" s="18"/>
      <c r="Q115" s="61"/>
      <c r="R115" s="61"/>
      <c r="S115" s="61"/>
      <c r="T115" s="66"/>
      <c r="U115" s="66"/>
      <c r="V115" s="38"/>
      <c r="W115" s="39"/>
      <c r="X115" s="40"/>
      <c r="Y115" s="41"/>
      <c r="Z115" s="42"/>
      <c r="AA115" s="43"/>
      <c r="AB115" s="44"/>
      <c r="AC115" s="45"/>
      <c r="AD115" s="114" t="str">
        <f t="shared" si="8"/>
        <v/>
      </c>
    </row>
    <row r="116" spans="15:30" x14ac:dyDescent="0.35">
      <c r="O116" t="str">
        <f t="shared" si="9"/>
        <v/>
      </c>
      <c r="P116" s="18"/>
      <c r="Q116" s="61"/>
      <c r="R116" s="118"/>
      <c r="S116" s="61"/>
      <c r="T116" s="66"/>
      <c r="U116" s="66"/>
      <c r="V116" s="38"/>
      <c r="W116" s="39"/>
      <c r="X116" s="40"/>
      <c r="Y116" s="41"/>
      <c r="Z116" s="42"/>
      <c r="AA116" s="43"/>
      <c r="AB116" s="44"/>
      <c r="AC116" s="45"/>
      <c r="AD116" s="114" t="str">
        <f t="shared" si="8"/>
        <v/>
      </c>
    </row>
    <row r="117" spans="15:30" x14ac:dyDescent="0.35">
      <c r="O117" t="str">
        <f t="shared" si="9"/>
        <v/>
      </c>
      <c r="P117" s="18"/>
      <c r="Q117" s="61"/>
      <c r="R117" s="118"/>
      <c r="S117" s="61"/>
      <c r="T117" s="66"/>
      <c r="U117" s="66"/>
      <c r="V117" s="38"/>
      <c r="W117" s="39"/>
      <c r="X117" s="40"/>
      <c r="Y117" s="41"/>
      <c r="Z117" s="42"/>
      <c r="AA117" s="43"/>
      <c r="AB117" s="44"/>
      <c r="AC117" s="45"/>
      <c r="AD117" s="114" t="str">
        <f t="shared" si="8"/>
        <v/>
      </c>
    </row>
    <row r="118" spans="15:30" x14ac:dyDescent="0.35">
      <c r="O118" t="str">
        <f t="shared" si="9"/>
        <v/>
      </c>
      <c r="P118" s="18"/>
      <c r="Q118" s="61"/>
      <c r="R118" s="61"/>
      <c r="S118" s="61"/>
      <c r="T118" s="66"/>
      <c r="U118" s="66"/>
      <c r="V118" s="38"/>
      <c r="W118" s="39"/>
      <c r="X118" s="40"/>
      <c r="Y118" s="41"/>
      <c r="Z118" s="42"/>
      <c r="AA118" s="43"/>
      <c r="AB118" s="44"/>
      <c r="AC118" s="45"/>
      <c r="AD118" s="114" t="str">
        <f t="shared" si="8"/>
        <v/>
      </c>
    </row>
    <row r="119" spans="15:30" x14ac:dyDescent="0.35">
      <c r="O119" t="str">
        <f t="shared" si="9"/>
        <v/>
      </c>
      <c r="P119" s="18"/>
      <c r="Q119" s="61"/>
      <c r="R119" s="118"/>
      <c r="S119" s="61"/>
      <c r="T119" s="66"/>
      <c r="U119" s="66"/>
      <c r="V119" s="38"/>
      <c r="W119" s="39"/>
      <c r="X119" s="40"/>
      <c r="Y119" s="41"/>
      <c r="Z119" s="42"/>
      <c r="AA119" s="43"/>
      <c r="AB119" s="44"/>
      <c r="AC119" s="45"/>
      <c r="AD119" s="114" t="str">
        <f t="shared" si="8"/>
        <v/>
      </c>
    </row>
    <row r="120" spans="15:30" x14ac:dyDescent="0.35">
      <c r="O120" t="str">
        <f t="shared" si="9"/>
        <v/>
      </c>
      <c r="P120" s="18"/>
      <c r="Q120" s="61"/>
      <c r="R120" s="118"/>
      <c r="S120" s="61"/>
      <c r="T120" s="66"/>
      <c r="U120" s="66"/>
      <c r="V120" s="38"/>
      <c r="W120" s="39"/>
      <c r="X120" s="40"/>
      <c r="Y120" s="41"/>
      <c r="Z120" s="42"/>
      <c r="AA120" s="43"/>
      <c r="AB120" s="44"/>
      <c r="AC120" s="45"/>
      <c r="AD120" s="114" t="str">
        <f t="shared" si="8"/>
        <v/>
      </c>
    </row>
    <row r="121" spans="15:30" x14ac:dyDescent="0.35">
      <c r="O121" t="str">
        <f t="shared" si="9"/>
        <v/>
      </c>
      <c r="P121" s="18"/>
      <c r="Q121" s="61"/>
      <c r="R121" s="61"/>
      <c r="S121" s="61"/>
      <c r="T121" s="66"/>
      <c r="U121" s="66"/>
      <c r="V121" s="38"/>
      <c r="W121" s="39"/>
      <c r="X121" s="40"/>
      <c r="Y121" s="41"/>
      <c r="Z121" s="42"/>
      <c r="AA121" s="43"/>
      <c r="AB121" s="44"/>
      <c r="AC121" s="45"/>
      <c r="AD121" s="114" t="str">
        <f t="shared" si="8"/>
        <v/>
      </c>
    </row>
    <row r="122" spans="15:30" x14ac:dyDescent="0.35">
      <c r="O122" t="str">
        <f t="shared" si="9"/>
        <v/>
      </c>
      <c r="P122" s="18"/>
      <c r="Q122" s="61"/>
      <c r="R122" s="61"/>
      <c r="S122" s="61"/>
      <c r="T122" s="66"/>
      <c r="U122" s="66"/>
      <c r="V122" s="38"/>
      <c r="W122" s="39"/>
      <c r="X122" s="40"/>
      <c r="Y122" s="41"/>
      <c r="Z122" s="42"/>
      <c r="AA122" s="43"/>
      <c r="AB122" s="44"/>
      <c r="AC122" s="45"/>
      <c r="AD122" s="114" t="str">
        <f t="shared" si="8"/>
        <v/>
      </c>
    </row>
    <row r="123" spans="15:30" x14ac:dyDescent="0.35">
      <c r="O123" t="str">
        <f t="shared" si="9"/>
        <v/>
      </c>
      <c r="P123" s="18"/>
      <c r="Q123" s="61"/>
      <c r="R123" s="118"/>
      <c r="S123" s="61"/>
      <c r="T123" s="66"/>
      <c r="U123" s="66"/>
      <c r="V123" s="38"/>
      <c r="W123" s="39"/>
      <c r="X123" s="40"/>
      <c r="Y123" s="41"/>
      <c r="Z123" s="42"/>
      <c r="AA123" s="43"/>
      <c r="AB123" s="44"/>
      <c r="AC123" s="45"/>
      <c r="AD123" s="114" t="str">
        <f t="shared" si="8"/>
        <v/>
      </c>
    </row>
    <row r="124" spans="15:30" x14ac:dyDescent="0.35">
      <c r="O124" t="str">
        <f t="shared" si="9"/>
        <v/>
      </c>
      <c r="P124" s="18"/>
      <c r="Q124" s="61"/>
      <c r="R124" s="118"/>
      <c r="S124" s="61"/>
      <c r="T124" s="66"/>
      <c r="U124" s="66"/>
      <c r="V124" s="38"/>
      <c r="W124" s="39"/>
      <c r="X124" s="40"/>
      <c r="Y124" s="41"/>
      <c r="Z124" s="42"/>
      <c r="AA124" s="43"/>
      <c r="AB124" s="44"/>
      <c r="AC124" s="45"/>
      <c r="AD124" s="114" t="str">
        <f t="shared" si="8"/>
        <v/>
      </c>
    </row>
    <row r="125" spans="15:30" x14ac:dyDescent="0.35">
      <c r="O125" t="str">
        <f t="shared" si="9"/>
        <v/>
      </c>
      <c r="P125" s="18"/>
      <c r="Q125" s="61"/>
      <c r="R125" s="118"/>
      <c r="S125" s="61"/>
      <c r="T125" s="66"/>
      <c r="U125" s="66"/>
      <c r="V125" s="38"/>
      <c r="W125" s="39"/>
      <c r="X125" s="40"/>
      <c r="Y125" s="41"/>
      <c r="Z125" s="42"/>
      <c r="AA125" s="43"/>
      <c r="AB125" s="44"/>
      <c r="AC125" s="45"/>
      <c r="AD125" s="114" t="str">
        <f t="shared" si="8"/>
        <v/>
      </c>
    </row>
    <row r="126" spans="15:30" x14ac:dyDescent="0.35">
      <c r="O126" t="str">
        <f t="shared" si="9"/>
        <v/>
      </c>
      <c r="P126" s="62"/>
      <c r="Q126" s="118"/>
      <c r="R126" s="118"/>
      <c r="S126" s="61"/>
      <c r="T126" s="66"/>
      <c r="U126" s="66"/>
      <c r="V126" s="38"/>
      <c r="W126" s="39"/>
      <c r="X126" s="40"/>
      <c r="Y126" s="41"/>
      <c r="Z126" s="42"/>
      <c r="AA126" s="43"/>
      <c r="AB126" s="44"/>
      <c r="AC126" s="45"/>
      <c r="AD126" s="114" t="str">
        <f t="shared" si="8"/>
        <v/>
      </c>
    </row>
    <row r="127" spans="15:30" x14ac:dyDescent="0.35">
      <c r="O127" t="str">
        <f t="shared" si="9"/>
        <v/>
      </c>
      <c r="P127" s="18"/>
      <c r="Q127" s="61"/>
      <c r="R127" s="61"/>
      <c r="S127" s="61"/>
      <c r="T127" s="66"/>
      <c r="U127" s="66"/>
      <c r="V127" s="38"/>
      <c r="W127" s="39"/>
      <c r="X127" s="40"/>
      <c r="Y127" s="41"/>
      <c r="Z127" s="42"/>
      <c r="AA127" s="43"/>
      <c r="AB127" s="44"/>
      <c r="AC127" s="45"/>
      <c r="AD127" s="114" t="str">
        <f t="shared" si="8"/>
        <v/>
      </c>
    </row>
    <row r="128" spans="15:30" x14ac:dyDescent="0.35">
      <c r="O128" t="str">
        <f t="shared" si="9"/>
        <v/>
      </c>
      <c r="P128" s="18"/>
      <c r="Q128" s="61"/>
      <c r="R128" s="118"/>
      <c r="S128" s="61"/>
      <c r="T128" s="66"/>
      <c r="U128" s="66"/>
      <c r="V128" s="38"/>
      <c r="W128" s="39"/>
      <c r="X128" s="40"/>
      <c r="Y128" s="41"/>
      <c r="Z128" s="42"/>
      <c r="AA128" s="43"/>
      <c r="AB128" s="44"/>
      <c r="AC128" s="45"/>
      <c r="AD128" s="114" t="str">
        <f t="shared" si="8"/>
        <v/>
      </c>
    </row>
    <row r="129" spans="15:30" x14ac:dyDescent="0.35">
      <c r="O129" t="str">
        <f t="shared" si="9"/>
        <v/>
      </c>
      <c r="P129" s="18"/>
      <c r="Q129" s="61"/>
      <c r="R129" s="118"/>
      <c r="S129" s="61"/>
      <c r="T129" s="66"/>
      <c r="U129" s="66"/>
      <c r="V129" s="38"/>
      <c r="W129" s="39"/>
      <c r="X129" s="40"/>
      <c r="Y129" s="41"/>
      <c r="Z129" s="42"/>
      <c r="AA129" s="43"/>
      <c r="AB129" s="44"/>
      <c r="AC129" s="45"/>
      <c r="AD129" s="114" t="str">
        <f t="shared" si="8"/>
        <v/>
      </c>
    </row>
    <row r="130" spans="15:30" x14ac:dyDescent="0.35">
      <c r="O130" t="str">
        <f t="shared" si="9"/>
        <v/>
      </c>
      <c r="P130" s="18"/>
      <c r="Q130" s="61"/>
      <c r="R130" s="61"/>
      <c r="S130" s="61"/>
      <c r="T130" s="66"/>
      <c r="U130" s="66"/>
      <c r="V130" s="38"/>
      <c r="W130" s="39"/>
      <c r="X130" s="40"/>
      <c r="Y130" s="41"/>
      <c r="Z130" s="42"/>
      <c r="AA130" s="43"/>
      <c r="AB130" s="44"/>
      <c r="AC130" s="45"/>
      <c r="AD130" s="114" t="str">
        <f t="shared" ref="AD130:AD193" si="10">IF(P130="","",AC130/6)</f>
        <v/>
      </c>
    </row>
    <row r="131" spans="15:30" x14ac:dyDescent="0.35">
      <c r="O131" t="str">
        <f t="shared" si="9"/>
        <v/>
      </c>
      <c r="P131" s="18"/>
      <c r="Q131" s="61"/>
      <c r="R131" s="61"/>
      <c r="S131" s="61"/>
      <c r="T131" s="66"/>
      <c r="U131" s="66"/>
      <c r="V131" s="38"/>
      <c r="W131" s="39"/>
      <c r="X131" s="40"/>
      <c r="Y131" s="41"/>
      <c r="Z131" s="42"/>
      <c r="AA131" s="43"/>
      <c r="AB131" s="44"/>
      <c r="AC131" s="45"/>
      <c r="AD131" s="114" t="str">
        <f t="shared" si="10"/>
        <v/>
      </c>
    </row>
    <row r="132" spans="15:30" x14ac:dyDescent="0.35">
      <c r="O132" t="str">
        <f t="shared" ref="O132:O195" si="11">IF(P132="","",O131+1)</f>
        <v/>
      </c>
      <c r="P132" s="18"/>
      <c r="Q132" s="61"/>
      <c r="R132" s="61"/>
      <c r="S132" s="61"/>
      <c r="T132" s="66"/>
      <c r="U132" s="66"/>
      <c r="V132" s="38"/>
      <c r="W132" s="39"/>
      <c r="X132" s="40"/>
      <c r="Y132" s="41"/>
      <c r="Z132" s="42"/>
      <c r="AA132" s="43"/>
      <c r="AB132" s="44"/>
      <c r="AC132" s="45"/>
      <c r="AD132" s="114" t="str">
        <f t="shared" si="10"/>
        <v/>
      </c>
    </row>
    <row r="133" spans="15:30" x14ac:dyDescent="0.35">
      <c r="O133" t="str">
        <f t="shared" si="11"/>
        <v/>
      </c>
      <c r="P133" s="18"/>
      <c r="Q133" s="61"/>
      <c r="R133" s="118"/>
      <c r="S133" s="61"/>
      <c r="T133" s="66"/>
      <c r="U133" s="66"/>
      <c r="V133" s="38"/>
      <c r="W133" s="39"/>
      <c r="X133" s="40"/>
      <c r="Y133" s="41"/>
      <c r="Z133" s="42"/>
      <c r="AA133" s="43"/>
      <c r="AB133" s="44"/>
      <c r="AC133" s="45"/>
      <c r="AD133" s="114" t="str">
        <f t="shared" si="10"/>
        <v/>
      </c>
    </row>
    <row r="134" spans="15:30" x14ac:dyDescent="0.35">
      <c r="O134" t="str">
        <f t="shared" si="11"/>
        <v/>
      </c>
      <c r="P134" s="18"/>
      <c r="Q134" s="61"/>
      <c r="R134" s="61"/>
      <c r="S134" s="61"/>
      <c r="T134" s="66"/>
      <c r="U134" s="66"/>
      <c r="V134" s="38"/>
      <c r="W134" s="39"/>
      <c r="X134" s="40"/>
      <c r="Y134" s="41"/>
      <c r="Z134" s="42"/>
      <c r="AA134" s="43"/>
      <c r="AB134" s="44"/>
      <c r="AC134" s="45"/>
      <c r="AD134" s="114" t="str">
        <f t="shared" si="10"/>
        <v/>
      </c>
    </row>
    <row r="135" spans="15:30" x14ac:dyDescent="0.35">
      <c r="O135" t="str">
        <f t="shared" si="11"/>
        <v/>
      </c>
      <c r="P135" s="18"/>
      <c r="Q135" s="61"/>
      <c r="R135" s="61"/>
      <c r="S135" s="61"/>
      <c r="T135" s="66"/>
      <c r="U135" s="66"/>
      <c r="V135" s="38"/>
      <c r="W135" s="39"/>
      <c r="X135" s="40"/>
      <c r="Y135" s="41"/>
      <c r="Z135" s="42"/>
      <c r="AA135" s="43"/>
      <c r="AB135" s="44"/>
      <c r="AC135" s="45"/>
      <c r="AD135" s="114" t="str">
        <f t="shared" si="10"/>
        <v/>
      </c>
    </row>
    <row r="136" spans="15:30" x14ac:dyDescent="0.35">
      <c r="O136" t="str">
        <f t="shared" si="11"/>
        <v/>
      </c>
      <c r="P136" s="18"/>
      <c r="Q136" s="61"/>
      <c r="R136" s="118"/>
      <c r="S136" s="61"/>
      <c r="T136" s="66"/>
      <c r="U136" s="66"/>
      <c r="V136" s="38"/>
      <c r="W136" s="39"/>
      <c r="X136" s="40"/>
      <c r="Y136" s="41"/>
      <c r="Z136" s="42"/>
      <c r="AA136" s="43"/>
      <c r="AB136" s="44"/>
      <c r="AC136" s="45"/>
      <c r="AD136" s="114" t="str">
        <f t="shared" si="10"/>
        <v/>
      </c>
    </row>
    <row r="137" spans="15:30" x14ac:dyDescent="0.35">
      <c r="O137" t="str">
        <f t="shared" si="11"/>
        <v/>
      </c>
      <c r="P137" s="18"/>
      <c r="Q137" s="61"/>
      <c r="R137" s="61"/>
      <c r="S137" s="61"/>
      <c r="T137" s="66"/>
      <c r="U137" s="66"/>
      <c r="V137" s="38"/>
      <c r="W137" s="39"/>
      <c r="X137" s="40"/>
      <c r="Y137" s="41"/>
      <c r="Z137" s="42"/>
      <c r="AA137" s="43"/>
      <c r="AB137" s="44"/>
      <c r="AC137" s="45"/>
      <c r="AD137" s="114" t="str">
        <f t="shared" si="10"/>
        <v/>
      </c>
    </row>
    <row r="138" spans="15:30" x14ac:dyDescent="0.35">
      <c r="O138" t="str">
        <f t="shared" si="11"/>
        <v/>
      </c>
      <c r="P138" s="18"/>
      <c r="Q138" s="61"/>
      <c r="R138" s="61"/>
      <c r="S138" s="61"/>
      <c r="T138" s="66"/>
      <c r="U138" s="66"/>
      <c r="V138" s="38"/>
      <c r="W138" s="39"/>
      <c r="X138" s="40"/>
      <c r="Y138" s="41"/>
      <c r="Z138" s="42"/>
      <c r="AA138" s="43"/>
      <c r="AB138" s="44"/>
      <c r="AC138" s="45"/>
      <c r="AD138" s="114" t="str">
        <f t="shared" si="10"/>
        <v/>
      </c>
    </row>
    <row r="139" spans="15:30" x14ac:dyDescent="0.35">
      <c r="O139" t="str">
        <f t="shared" si="11"/>
        <v/>
      </c>
      <c r="P139" s="18"/>
      <c r="Q139" s="61"/>
      <c r="R139" s="118"/>
      <c r="S139" s="61"/>
      <c r="T139" s="66"/>
      <c r="U139" s="66"/>
      <c r="V139" s="38"/>
      <c r="W139" s="39"/>
      <c r="X139" s="40"/>
      <c r="Y139" s="41"/>
      <c r="Z139" s="42"/>
      <c r="AA139" s="43"/>
      <c r="AB139" s="44"/>
      <c r="AC139" s="45"/>
      <c r="AD139" s="114" t="str">
        <f t="shared" si="10"/>
        <v/>
      </c>
    </row>
    <row r="140" spans="15:30" x14ac:dyDescent="0.35">
      <c r="O140" t="str">
        <f t="shared" si="11"/>
        <v/>
      </c>
      <c r="P140" s="18"/>
      <c r="Q140" s="61"/>
      <c r="R140" s="118"/>
      <c r="S140" s="61"/>
      <c r="T140" s="66"/>
      <c r="U140" s="66"/>
      <c r="V140" s="38"/>
      <c r="W140" s="39"/>
      <c r="X140" s="40"/>
      <c r="Y140" s="41"/>
      <c r="Z140" s="42"/>
      <c r="AA140" s="43"/>
      <c r="AB140" s="44"/>
      <c r="AC140" s="45"/>
      <c r="AD140" s="114" t="str">
        <f t="shared" si="10"/>
        <v/>
      </c>
    </row>
    <row r="141" spans="15:30" x14ac:dyDescent="0.35">
      <c r="O141" t="str">
        <f t="shared" si="11"/>
        <v/>
      </c>
      <c r="P141" s="18"/>
      <c r="Q141" s="61"/>
      <c r="R141" s="118"/>
      <c r="S141" s="61"/>
      <c r="T141" s="66"/>
      <c r="U141" s="66"/>
      <c r="V141" s="38"/>
      <c r="W141" s="39"/>
      <c r="X141" s="40"/>
      <c r="Y141" s="41"/>
      <c r="Z141" s="42"/>
      <c r="AA141" s="43"/>
      <c r="AB141" s="44"/>
      <c r="AC141" s="45"/>
      <c r="AD141" s="114" t="str">
        <f t="shared" si="10"/>
        <v/>
      </c>
    </row>
    <row r="142" spans="15:30" x14ac:dyDescent="0.35">
      <c r="O142" t="str">
        <f t="shared" si="11"/>
        <v/>
      </c>
      <c r="P142" s="18"/>
      <c r="Q142" s="61"/>
      <c r="R142" s="61"/>
      <c r="S142" s="61"/>
      <c r="T142" s="66"/>
      <c r="U142" s="66"/>
      <c r="V142" s="38"/>
      <c r="W142" s="39"/>
      <c r="X142" s="40"/>
      <c r="Y142" s="41"/>
      <c r="Z142" s="42"/>
      <c r="AA142" s="43"/>
      <c r="AB142" s="44"/>
      <c r="AC142" s="45"/>
      <c r="AD142" s="114" t="str">
        <f t="shared" si="10"/>
        <v/>
      </c>
    </row>
    <row r="143" spans="15:30" x14ac:dyDescent="0.35">
      <c r="O143" t="str">
        <f t="shared" si="11"/>
        <v/>
      </c>
      <c r="P143" s="18"/>
      <c r="Q143" s="61"/>
      <c r="R143" s="118"/>
      <c r="S143" s="61"/>
      <c r="T143" s="66"/>
      <c r="U143" s="66"/>
      <c r="V143" s="38"/>
      <c r="W143" s="39"/>
      <c r="X143" s="40"/>
      <c r="Y143" s="41"/>
      <c r="Z143" s="42"/>
      <c r="AA143" s="43"/>
      <c r="AB143" s="44"/>
      <c r="AC143" s="45"/>
      <c r="AD143" s="114" t="str">
        <f t="shared" si="10"/>
        <v/>
      </c>
    </row>
    <row r="144" spans="15:30" x14ac:dyDescent="0.35">
      <c r="O144" t="str">
        <f t="shared" si="11"/>
        <v/>
      </c>
      <c r="P144" s="18"/>
      <c r="Q144" s="61"/>
      <c r="R144" s="118"/>
      <c r="S144" s="61"/>
      <c r="T144" s="66"/>
      <c r="U144" s="66"/>
      <c r="V144" s="38"/>
      <c r="W144" s="39"/>
      <c r="X144" s="40"/>
      <c r="Y144" s="41"/>
      <c r="Z144" s="42"/>
      <c r="AA144" s="43"/>
      <c r="AB144" s="44"/>
      <c r="AC144" s="45"/>
      <c r="AD144" s="114" t="str">
        <f t="shared" si="10"/>
        <v/>
      </c>
    </row>
    <row r="145" spans="15:30" x14ac:dyDescent="0.35">
      <c r="O145" t="str">
        <f t="shared" si="11"/>
        <v/>
      </c>
      <c r="P145" s="62"/>
      <c r="Q145" s="118"/>
      <c r="R145" s="118"/>
      <c r="S145" s="61"/>
      <c r="T145" s="66"/>
      <c r="U145" s="66"/>
      <c r="V145" s="38"/>
      <c r="W145" s="39"/>
      <c r="X145" s="40"/>
      <c r="Y145" s="41"/>
      <c r="Z145" s="42"/>
      <c r="AA145" s="43"/>
      <c r="AB145" s="44"/>
      <c r="AC145" s="45"/>
      <c r="AD145" s="114" t="str">
        <f t="shared" si="10"/>
        <v/>
      </c>
    </row>
    <row r="146" spans="15:30" x14ac:dyDescent="0.35">
      <c r="O146" t="str">
        <f t="shared" si="11"/>
        <v/>
      </c>
      <c r="P146" s="18"/>
      <c r="Q146" s="61"/>
      <c r="R146" s="118"/>
      <c r="S146" s="61"/>
      <c r="T146" s="66"/>
      <c r="U146" s="66"/>
      <c r="V146" s="38"/>
      <c r="W146" s="39"/>
      <c r="X146" s="40"/>
      <c r="Y146" s="41"/>
      <c r="Z146" s="42"/>
      <c r="AA146" s="43"/>
      <c r="AB146" s="44"/>
      <c r="AC146" s="45"/>
      <c r="AD146" s="114" t="str">
        <f t="shared" si="10"/>
        <v/>
      </c>
    </row>
    <row r="147" spans="15:30" x14ac:dyDescent="0.35">
      <c r="O147" t="str">
        <f t="shared" si="11"/>
        <v/>
      </c>
      <c r="P147" s="18"/>
      <c r="Q147" s="61"/>
      <c r="R147" s="118"/>
      <c r="S147" s="61"/>
      <c r="T147" s="66"/>
      <c r="U147" s="66"/>
      <c r="V147" s="38"/>
      <c r="W147" s="39"/>
      <c r="X147" s="40"/>
      <c r="Y147" s="41"/>
      <c r="Z147" s="42"/>
      <c r="AA147" s="43"/>
      <c r="AB147" s="44"/>
      <c r="AC147" s="45"/>
      <c r="AD147" s="114" t="str">
        <f t="shared" si="10"/>
        <v/>
      </c>
    </row>
    <row r="148" spans="15:30" x14ac:dyDescent="0.35">
      <c r="O148" t="str">
        <f t="shared" si="11"/>
        <v/>
      </c>
      <c r="P148" s="62"/>
      <c r="Q148" s="118"/>
      <c r="R148" s="61"/>
      <c r="S148" s="61"/>
      <c r="T148" s="66"/>
      <c r="U148" s="66"/>
      <c r="V148" s="38"/>
      <c r="W148" s="39"/>
      <c r="X148" s="40"/>
      <c r="Y148" s="41"/>
      <c r="Z148" s="42"/>
      <c r="AA148" s="43"/>
      <c r="AB148" s="44"/>
      <c r="AC148" s="45"/>
      <c r="AD148" s="114" t="str">
        <f t="shared" si="10"/>
        <v/>
      </c>
    </row>
    <row r="149" spans="15:30" x14ac:dyDescent="0.35">
      <c r="O149" t="str">
        <f t="shared" si="11"/>
        <v/>
      </c>
      <c r="P149" s="18"/>
      <c r="Q149" s="61"/>
      <c r="R149" s="118"/>
      <c r="S149" s="61"/>
      <c r="T149" s="66"/>
      <c r="U149" s="66"/>
      <c r="V149" s="38"/>
      <c r="W149" s="39"/>
      <c r="X149" s="40"/>
      <c r="Y149" s="41"/>
      <c r="Z149" s="42"/>
      <c r="AA149" s="43"/>
      <c r="AB149" s="44"/>
      <c r="AC149" s="45"/>
      <c r="AD149" s="114" t="str">
        <f t="shared" si="10"/>
        <v/>
      </c>
    </row>
    <row r="150" spans="15:30" x14ac:dyDescent="0.35">
      <c r="O150" t="str">
        <f t="shared" si="11"/>
        <v/>
      </c>
      <c r="P150" s="18"/>
      <c r="Q150" s="61"/>
      <c r="R150" s="61"/>
      <c r="S150" s="61"/>
      <c r="T150" s="66"/>
      <c r="U150" s="66"/>
      <c r="V150" s="38"/>
      <c r="W150" s="39"/>
      <c r="X150" s="40"/>
      <c r="Y150" s="41"/>
      <c r="Z150" s="42"/>
      <c r="AA150" s="43"/>
      <c r="AB150" s="44"/>
      <c r="AC150" s="45"/>
      <c r="AD150" s="114" t="str">
        <f t="shared" si="10"/>
        <v/>
      </c>
    </row>
    <row r="151" spans="15:30" x14ac:dyDescent="0.35">
      <c r="O151" t="str">
        <f t="shared" si="11"/>
        <v/>
      </c>
      <c r="P151" s="18"/>
      <c r="Q151" s="61"/>
      <c r="R151" s="61"/>
      <c r="S151" s="61"/>
      <c r="T151" s="66"/>
      <c r="U151" s="66"/>
      <c r="V151" s="38"/>
      <c r="W151" s="39"/>
      <c r="X151" s="40"/>
      <c r="Y151" s="41"/>
      <c r="Z151" s="42"/>
      <c r="AA151" s="43"/>
      <c r="AB151" s="44"/>
      <c r="AC151" s="45"/>
      <c r="AD151" s="114" t="str">
        <f t="shared" si="10"/>
        <v/>
      </c>
    </row>
    <row r="152" spans="15:30" x14ac:dyDescent="0.35">
      <c r="O152" t="str">
        <f t="shared" si="11"/>
        <v/>
      </c>
      <c r="P152" s="18"/>
      <c r="Q152" s="61"/>
      <c r="R152" s="118"/>
      <c r="S152" s="61"/>
      <c r="T152" s="66"/>
      <c r="U152" s="66"/>
      <c r="V152" s="38"/>
      <c r="W152" s="39"/>
      <c r="X152" s="40"/>
      <c r="Y152" s="41"/>
      <c r="Z152" s="42"/>
      <c r="AA152" s="43"/>
      <c r="AB152" s="44"/>
      <c r="AC152" s="45"/>
      <c r="AD152" s="114" t="str">
        <f t="shared" si="10"/>
        <v/>
      </c>
    </row>
    <row r="153" spans="15:30" x14ac:dyDescent="0.35">
      <c r="O153" t="str">
        <f t="shared" si="11"/>
        <v/>
      </c>
      <c r="P153" s="18"/>
      <c r="Q153" s="61"/>
      <c r="R153" s="61"/>
      <c r="S153" s="61"/>
      <c r="T153" s="66"/>
      <c r="U153" s="66"/>
      <c r="V153" s="38"/>
      <c r="W153" s="39"/>
      <c r="X153" s="40"/>
      <c r="Y153" s="41"/>
      <c r="Z153" s="42"/>
      <c r="AA153" s="43"/>
      <c r="AB153" s="44"/>
      <c r="AC153" s="45"/>
      <c r="AD153" s="114" t="str">
        <f t="shared" si="10"/>
        <v/>
      </c>
    </row>
    <row r="154" spans="15:30" x14ac:dyDescent="0.35">
      <c r="O154" t="str">
        <f t="shared" si="11"/>
        <v/>
      </c>
      <c r="P154" s="18"/>
      <c r="Q154" s="61"/>
      <c r="R154" s="118"/>
      <c r="S154" s="61"/>
      <c r="T154" s="66"/>
      <c r="U154" s="66"/>
      <c r="V154" s="38"/>
      <c r="W154" s="39"/>
      <c r="X154" s="40"/>
      <c r="Y154" s="41"/>
      <c r="Z154" s="42"/>
      <c r="AA154" s="43"/>
      <c r="AB154" s="44"/>
      <c r="AC154" s="45"/>
      <c r="AD154" s="114" t="str">
        <f t="shared" si="10"/>
        <v/>
      </c>
    </row>
    <row r="155" spans="15:30" x14ac:dyDescent="0.35">
      <c r="O155" t="str">
        <f t="shared" si="11"/>
        <v/>
      </c>
      <c r="P155" s="18"/>
      <c r="Q155" s="61"/>
      <c r="R155" s="118"/>
      <c r="S155" s="61"/>
      <c r="T155" s="66"/>
      <c r="U155" s="66"/>
      <c r="V155" s="38"/>
      <c r="W155" s="39"/>
      <c r="X155" s="40"/>
      <c r="Y155" s="41"/>
      <c r="Z155" s="42"/>
      <c r="AA155" s="43"/>
      <c r="AB155" s="44"/>
      <c r="AC155" s="45"/>
      <c r="AD155" s="114" t="str">
        <f t="shared" si="10"/>
        <v/>
      </c>
    </row>
    <row r="156" spans="15:30" x14ac:dyDescent="0.35">
      <c r="O156" t="str">
        <f t="shared" si="11"/>
        <v/>
      </c>
      <c r="P156" s="18"/>
      <c r="Q156" s="61"/>
      <c r="R156" s="118"/>
      <c r="S156" s="61"/>
      <c r="T156" s="66"/>
      <c r="U156" s="66"/>
      <c r="V156" s="38"/>
      <c r="W156" s="39"/>
      <c r="X156" s="40"/>
      <c r="Y156" s="41"/>
      <c r="Z156" s="42"/>
      <c r="AA156" s="43"/>
      <c r="AB156" s="44"/>
      <c r="AC156" s="45"/>
      <c r="AD156" s="114" t="str">
        <f t="shared" si="10"/>
        <v/>
      </c>
    </row>
    <row r="157" spans="15:30" x14ac:dyDescent="0.35">
      <c r="O157" t="str">
        <f t="shared" si="11"/>
        <v/>
      </c>
      <c r="P157" s="18"/>
      <c r="Q157" s="61"/>
      <c r="R157" s="118"/>
      <c r="S157" s="61"/>
      <c r="T157" s="66"/>
      <c r="U157" s="66"/>
      <c r="V157" s="38"/>
      <c r="W157" s="39"/>
      <c r="X157" s="40"/>
      <c r="Y157" s="41"/>
      <c r="Z157" s="42"/>
      <c r="AA157" s="43"/>
      <c r="AB157" s="44"/>
      <c r="AC157" s="45"/>
      <c r="AD157" s="114" t="str">
        <f t="shared" si="10"/>
        <v/>
      </c>
    </row>
    <row r="158" spans="15:30" x14ac:dyDescent="0.35">
      <c r="O158" t="str">
        <f t="shared" si="11"/>
        <v/>
      </c>
      <c r="P158" s="18"/>
      <c r="Q158" s="61"/>
      <c r="R158" s="61"/>
      <c r="S158" s="61"/>
      <c r="T158" s="66"/>
      <c r="U158" s="66"/>
      <c r="V158" s="38"/>
      <c r="W158" s="39"/>
      <c r="X158" s="40"/>
      <c r="Y158" s="41"/>
      <c r="Z158" s="42"/>
      <c r="AA158" s="43"/>
      <c r="AB158" s="44"/>
      <c r="AC158" s="45"/>
      <c r="AD158" s="114" t="str">
        <f t="shared" si="10"/>
        <v/>
      </c>
    </row>
    <row r="159" spans="15:30" x14ac:dyDescent="0.35">
      <c r="O159" t="str">
        <f t="shared" si="11"/>
        <v/>
      </c>
      <c r="P159" s="18"/>
      <c r="Q159" s="61"/>
      <c r="R159" s="61"/>
      <c r="S159" s="61"/>
      <c r="T159" s="66"/>
      <c r="U159" s="66"/>
      <c r="V159" s="38"/>
      <c r="W159" s="39"/>
      <c r="X159" s="40"/>
      <c r="Y159" s="41"/>
      <c r="Z159" s="42"/>
      <c r="AA159" s="43"/>
      <c r="AB159" s="44"/>
      <c r="AC159" s="45"/>
      <c r="AD159" s="114" t="str">
        <f t="shared" si="10"/>
        <v/>
      </c>
    </row>
    <row r="160" spans="15:30" x14ac:dyDescent="0.35">
      <c r="O160" t="str">
        <f t="shared" si="11"/>
        <v/>
      </c>
      <c r="P160" s="18"/>
      <c r="Q160" s="61"/>
      <c r="R160" s="61"/>
      <c r="S160" s="61"/>
      <c r="T160" s="66"/>
      <c r="U160" s="66"/>
      <c r="V160" s="38"/>
      <c r="W160" s="39"/>
      <c r="X160" s="40"/>
      <c r="Y160" s="41"/>
      <c r="Z160" s="42"/>
      <c r="AA160" s="43"/>
      <c r="AB160" s="44"/>
      <c r="AC160" s="45"/>
      <c r="AD160" s="114" t="str">
        <f t="shared" si="10"/>
        <v/>
      </c>
    </row>
    <row r="161" spans="15:30" x14ac:dyDescent="0.35">
      <c r="O161" t="str">
        <f t="shared" si="11"/>
        <v/>
      </c>
      <c r="P161" s="18"/>
      <c r="Q161" s="61"/>
      <c r="R161" s="118"/>
      <c r="S161" s="61"/>
      <c r="T161" s="66"/>
      <c r="U161" s="66"/>
      <c r="V161" s="38"/>
      <c r="W161" s="39"/>
      <c r="X161" s="40"/>
      <c r="Y161" s="41"/>
      <c r="Z161" s="42"/>
      <c r="AA161" s="43"/>
      <c r="AB161" s="44"/>
      <c r="AC161" s="45"/>
      <c r="AD161" s="114" t="str">
        <f t="shared" si="10"/>
        <v/>
      </c>
    </row>
    <row r="162" spans="15:30" x14ac:dyDescent="0.35">
      <c r="O162" t="str">
        <f t="shared" si="11"/>
        <v/>
      </c>
      <c r="P162" s="18"/>
      <c r="Q162" s="61"/>
      <c r="R162" s="118"/>
      <c r="S162" s="61"/>
      <c r="T162" s="66"/>
      <c r="U162" s="66"/>
      <c r="V162" s="38"/>
      <c r="W162" s="39"/>
      <c r="X162" s="40"/>
      <c r="Y162" s="41"/>
      <c r="Z162" s="42"/>
      <c r="AA162" s="43"/>
      <c r="AB162" s="44"/>
      <c r="AC162" s="45"/>
      <c r="AD162" s="114" t="str">
        <f t="shared" si="10"/>
        <v/>
      </c>
    </row>
    <row r="163" spans="15:30" x14ac:dyDescent="0.35">
      <c r="O163" t="str">
        <f t="shared" si="11"/>
        <v/>
      </c>
      <c r="P163" s="18"/>
      <c r="Q163" s="61"/>
      <c r="R163" s="118"/>
      <c r="S163" s="61"/>
      <c r="T163" s="66"/>
      <c r="U163" s="66"/>
      <c r="V163" s="38"/>
      <c r="W163" s="39"/>
      <c r="X163" s="40"/>
      <c r="Y163" s="41"/>
      <c r="Z163" s="42"/>
      <c r="AA163" s="43"/>
      <c r="AB163" s="44"/>
      <c r="AC163" s="45"/>
      <c r="AD163" s="114" t="str">
        <f t="shared" si="10"/>
        <v/>
      </c>
    </row>
    <row r="164" spans="15:30" x14ac:dyDescent="0.35">
      <c r="O164" t="str">
        <f t="shared" si="11"/>
        <v/>
      </c>
      <c r="P164" s="18"/>
      <c r="Q164" s="61"/>
      <c r="R164" s="118"/>
      <c r="S164" s="61"/>
      <c r="T164" s="66"/>
      <c r="U164" s="66"/>
      <c r="V164" s="38"/>
      <c r="W164" s="39"/>
      <c r="X164" s="40"/>
      <c r="Y164" s="41"/>
      <c r="Z164" s="42"/>
      <c r="AA164" s="43"/>
      <c r="AB164" s="44"/>
      <c r="AC164" s="45"/>
      <c r="AD164" s="114" t="str">
        <f t="shared" si="10"/>
        <v/>
      </c>
    </row>
    <row r="165" spans="15:30" x14ac:dyDescent="0.35">
      <c r="O165" t="str">
        <f t="shared" si="11"/>
        <v/>
      </c>
      <c r="P165" s="18"/>
      <c r="Q165" s="61"/>
      <c r="R165" s="61"/>
      <c r="S165" s="61"/>
      <c r="T165" s="66"/>
      <c r="U165" s="66"/>
      <c r="V165" s="38"/>
      <c r="W165" s="39"/>
      <c r="X165" s="40"/>
      <c r="Y165" s="41"/>
      <c r="Z165" s="42"/>
      <c r="AA165" s="43"/>
      <c r="AB165" s="44"/>
      <c r="AC165" s="45"/>
      <c r="AD165" s="114" t="str">
        <f t="shared" si="10"/>
        <v/>
      </c>
    </row>
    <row r="166" spans="15:30" x14ac:dyDescent="0.35">
      <c r="O166" t="str">
        <f t="shared" si="11"/>
        <v/>
      </c>
      <c r="P166" s="62"/>
      <c r="Q166" s="118"/>
      <c r="R166" s="118"/>
      <c r="S166" s="61"/>
      <c r="T166" s="66"/>
      <c r="U166" s="66"/>
      <c r="V166" s="38"/>
      <c r="W166" s="39"/>
      <c r="X166" s="40"/>
      <c r="Y166" s="41"/>
      <c r="Z166" s="42"/>
      <c r="AA166" s="43"/>
      <c r="AB166" s="44"/>
      <c r="AC166" s="45"/>
      <c r="AD166" s="114" t="str">
        <f t="shared" si="10"/>
        <v/>
      </c>
    </row>
    <row r="167" spans="15:30" x14ac:dyDescent="0.35">
      <c r="O167" t="str">
        <f t="shared" si="11"/>
        <v/>
      </c>
      <c r="P167" s="18"/>
      <c r="Q167" s="61"/>
      <c r="R167" s="61"/>
      <c r="S167" s="61"/>
      <c r="T167" s="66"/>
      <c r="U167" s="66"/>
      <c r="V167" s="38"/>
      <c r="W167" s="39"/>
      <c r="X167" s="40"/>
      <c r="Y167" s="41"/>
      <c r="Z167" s="42"/>
      <c r="AA167" s="43"/>
      <c r="AB167" s="44"/>
      <c r="AC167" s="45"/>
      <c r="AD167" s="114" t="str">
        <f t="shared" si="10"/>
        <v/>
      </c>
    </row>
    <row r="168" spans="15:30" x14ac:dyDescent="0.35">
      <c r="O168" t="str">
        <f t="shared" si="11"/>
        <v/>
      </c>
      <c r="P168" s="18"/>
      <c r="Q168" s="61"/>
      <c r="R168" s="61"/>
      <c r="S168" s="61"/>
      <c r="T168" s="66"/>
      <c r="U168" s="66"/>
      <c r="V168" s="38"/>
      <c r="W168" s="39"/>
      <c r="X168" s="40"/>
      <c r="Y168" s="41"/>
      <c r="Z168" s="42"/>
      <c r="AA168" s="43"/>
      <c r="AB168" s="44"/>
      <c r="AC168" s="45"/>
      <c r="AD168" s="114" t="str">
        <f t="shared" si="10"/>
        <v/>
      </c>
    </row>
    <row r="169" spans="15:30" x14ac:dyDescent="0.35">
      <c r="O169" t="str">
        <f t="shared" si="11"/>
        <v/>
      </c>
      <c r="P169" s="18"/>
      <c r="Q169" s="61"/>
      <c r="R169" s="61"/>
      <c r="S169" s="61"/>
      <c r="T169" s="66"/>
      <c r="U169" s="66"/>
      <c r="V169" s="38"/>
      <c r="W169" s="39"/>
      <c r="X169" s="40"/>
      <c r="Y169" s="41"/>
      <c r="Z169" s="42"/>
      <c r="AA169" s="43"/>
      <c r="AB169" s="44"/>
      <c r="AC169" s="45"/>
      <c r="AD169" s="114" t="str">
        <f t="shared" si="10"/>
        <v/>
      </c>
    </row>
    <row r="170" spans="15:30" x14ac:dyDescent="0.35">
      <c r="O170" t="str">
        <f t="shared" si="11"/>
        <v/>
      </c>
      <c r="P170" s="18"/>
      <c r="Q170" s="61"/>
      <c r="R170" s="61"/>
      <c r="S170" s="61"/>
      <c r="T170" s="66"/>
      <c r="U170" s="66"/>
      <c r="V170" s="38"/>
      <c r="W170" s="39"/>
      <c r="X170" s="40"/>
      <c r="Y170" s="41"/>
      <c r="Z170" s="42"/>
      <c r="AA170" s="43"/>
      <c r="AB170" s="44"/>
      <c r="AC170" s="45"/>
      <c r="AD170" s="114" t="str">
        <f t="shared" si="10"/>
        <v/>
      </c>
    </row>
    <row r="171" spans="15:30" x14ac:dyDescent="0.35">
      <c r="O171" t="str">
        <f t="shared" si="11"/>
        <v/>
      </c>
      <c r="P171" s="18"/>
      <c r="Q171" s="61"/>
      <c r="R171" s="118"/>
      <c r="S171" s="61"/>
      <c r="T171" s="66"/>
      <c r="U171" s="66"/>
      <c r="V171" s="38"/>
      <c r="W171" s="39"/>
      <c r="X171" s="40"/>
      <c r="Y171" s="41"/>
      <c r="Z171" s="42"/>
      <c r="AA171" s="43"/>
      <c r="AB171" s="44"/>
      <c r="AC171" s="45"/>
      <c r="AD171" s="114" t="str">
        <f t="shared" si="10"/>
        <v/>
      </c>
    </row>
    <row r="172" spans="15:30" x14ac:dyDescent="0.35">
      <c r="O172" t="str">
        <f t="shared" si="11"/>
        <v/>
      </c>
      <c r="P172" s="18"/>
      <c r="Q172" s="61"/>
      <c r="R172" s="118"/>
      <c r="S172" s="61"/>
      <c r="T172" s="66"/>
      <c r="U172" s="66"/>
      <c r="V172" s="38"/>
      <c r="W172" s="39"/>
      <c r="X172" s="40"/>
      <c r="Y172" s="41"/>
      <c r="Z172" s="42"/>
      <c r="AA172" s="43"/>
      <c r="AB172" s="44"/>
      <c r="AC172" s="45"/>
      <c r="AD172" s="114" t="str">
        <f t="shared" si="10"/>
        <v/>
      </c>
    </row>
    <row r="173" spans="15:30" x14ac:dyDescent="0.35">
      <c r="O173" t="str">
        <f t="shared" si="11"/>
        <v/>
      </c>
      <c r="P173" s="18"/>
      <c r="Q173" s="61"/>
      <c r="R173" s="118"/>
      <c r="S173" s="61"/>
      <c r="T173" s="66"/>
      <c r="U173" s="66"/>
      <c r="V173" s="38"/>
      <c r="W173" s="39"/>
      <c r="X173" s="40"/>
      <c r="Y173" s="41"/>
      <c r="Z173" s="42"/>
      <c r="AA173" s="43"/>
      <c r="AB173" s="44"/>
      <c r="AC173" s="45"/>
      <c r="AD173" s="114" t="str">
        <f t="shared" si="10"/>
        <v/>
      </c>
    </row>
    <row r="174" spans="15:30" x14ac:dyDescent="0.35">
      <c r="O174" t="str">
        <f t="shared" si="11"/>
        <v/>
      </c>
      <c r="P174" s="18"/>
      <c r="Q174" s="61"/>
      <c r="R174" s="118"/>
      <c r="S174" s="61"/>
      <c r="T174" s="66"/>
      <c r="U174" s="66"/>
      <c r="V174" s="38"/>
      <c r="W174" s="39"/>
      <c r="X174" s="40"/>
      <c r="Y174" s="41"/>
      <c r="Z174" s="42"/>
      <c r="AA174" s="43"/>
      <c r="AB174" s="44"/>
      <c r="AC174" s="45"/>
      <c r="AD174" s="114" t="str">
        <f t="shared" si="10"/>
        <v/>
      </c>
    </row>
    <row r="175" spans="15:30" x14ac:dyDescent="0.35">
      <c r="O175" t="str">
        <f t="shared" si="11"/>
        <v/>
      </c>
      <c r="P175" s="18"/>
      <c r="Q175" s="61"/>
      <c r="R175" s="61"/>
      <c r="S175" s="61"/>
      <c r="T175" s="66"/>
      <c r="U175" s="66"/>
      <c r="V175" s="38"/>
      <c r="W175" s="39"/>
      <c r="X175" s="40"/>
      <c r="Y175" s="41"/>
      <c r="Z175" s="42"/>
      <c r="AA175" s="43"/>
      <c r="AB175" s="44"/>
      <c r="AC175" s="45"/>
      <c r="AD175" s="114" t="str">
        <f t="shared" si="10"/>
        <v/>
      </c>
    </row>
    <row r="176" spans="15:30" x14ac:dyDescent="0.35">
      <c r="O176" t="str">
        <f t="shared" si="11"/>
        <v/>
      </c>
      <c r="P176" s="18"/>
      <c r="Q176" s="61"/>
      <c r="R176" s="118"/>
      <c r="S176" s="61"/>
      <c r="T176" s="66"/>
      <c r="U176" s="66"/>
      <c r="V176" s="38"/>
      <c r="W176" s="39"/>
      <c r="X176" s="40"/>
      <c r="Y176" s="41"/>
      <c r="Z176" s="42"/>
      <c r="AA176" s="43"/>
      <c r="AB176" s="44"/>
      <c r="AC176" s="45"/>
      <c r="AD176" s="114" t="str">
        <f t="shared" si="10"/>
        <v/>
      </c>
    </row>
    <row r="177" spans="15:30" x14ac:dyDescent="0.35">
      <c r="O177" t="str">
        <f t="shared" si="11"/>
        <v/>
      </c>
      <c r="P177" s="18"/>
      <c r="Q177" s="61"/>
      <c r="R177" s="61"/>
      <c r="S177" s="61"/>
      <c r="T177" s="66"/>
      <c r="U177" s="66"/>
      <c r="V177" s="38"/>
      <c r="W177" s="39"/>
      <c r="X177" s="40"/>
      <c r="Y177" s="41"/>
      <c r="Z177" s="42"/>
      <c r="AA177" s="43"/>
      <c r="AB177" s="44"/>
      <c r="AC177" s="45"/>
      <c r="AD177" s="114" t="str">
        <f t="shared" si="10"/>
        <v/>
      </c>
    </row>
    <row r="178" spans="15:30" x14ac:dyDescent="0.35">
      <c r="O178" t="str">
        <f t="shared" si="11"/>
        <v/>
      </c>
      <c r="P178" s="18"/>
      <c r="Q178" s="61"/>
      <c r="R178" s="61"/>
      <c r="S178" s="61"/>
      <c r="T178" s="66"/>
      <c r="U178" s="66"/>
      <c r="V178" s="38"/>
      <c r="W178" s="39"/>
      <c r="X178" s="40"/>
      <c r="Y178" s="41"/>
      <c r="Z178" s="42"/>
      <c r="AA178" s="43"/>
      <c r="AB178" s="44"/>
      <c r="AC178" s="45"/>
      <c r="AD178" s="114" t="str">
        <f t="shared" si="10"/>
        <v/>
      </c>
    </row>
    <row r="179" spans="15:30" x14ac:dyDescent="0.35">
      <c r="O179" t="str">
        <f t="shared" si="11"/>
        <v/>
      </c>
      <c r="P179" s="18"/>
      <c r="Q179" s="61"/>
      <c r="R179" s="61"/>
      <c r="S179" s="61"/>
      <c r="T179" s="66"/>
      <c r="U179" s="66"/>
      <c r="V179" s="38"/>
      <c r="W179" s="39"/>
      <c r="X179" s="40"/>
      <c r="Y179" s="41"/>
      <c r="Z179" s="42"/>
      <c r="AA179" s="43"/>
      <c r="AB179" s="44"/>
      <c r="AC179" s="45"/>
      <c r="AD179" s="114" t="str">
        <f t="shared" si="10"/>
        <v/>
      </c>
    </row>
    <row r="180" spans="15:30" x14ac:dyDescent="0.35">
      <c r="O180" t="str">
        <f t="shared" si="11"/>
        <v/>
      </c>
      <c r="P180" s="18"/>
      <c r="Q180" s="61"/>
      <c r="R180" s="118"/>
      <c r="S180" s="61"/>
      <c r="T180" s="66"/>
      <c r="U180" s="66"/>
      <c r="V180" s="38"/>
      <c r="W180" s="39"/>
      <c r="X180" s="40"/>
      <c r="Y180" s="41"/>
      <c r="Z180" s="42"/>
      <c r="AA180" s="43"/>
      <c r="AB180" s="44"/>
      <c r="AC180" s="45"/>
      <c r="AD180" s="114" t="str">
        <f t="shared" si="10"/>
        <v/>
      </c>
    </row>
    <row r="181" spans="15:30" x14ac:dyDescent="0.35">
      <c r="O181" t="str">
        <f t="shared" si="11"/>
        <v/>
      </c>
      <c r="P181" s="18"/>
      <c r="Q181" s="61"/>
      <c r="R181" s="61"/>
      <c r="S181" s="61"/>
      <c r="T181" s="66"/>
      <c r="U181" s="66"/>
      <c r="V181" s="38"/>
      <c r="W181" s="39"/>
      <c r="X181" s="40"/>
      <c r="Y181" s="41"/>
      <c r="Z181" s="42"/>
      <c r="AA181" s="43"/>
      <c r="AB181" s="44"/>
      <c r="AC181" s="45"/>
      <c r="AD181" s="114" t="str">
        <f t="shared" si="10"/>
        <v/>
      </c>
    </row>
    <row r="182" spans="15:30" x14ac:dyDescent="0.35">
      <c r="O182" t="str">
        <f t="shared" si="11"/>
        <v/>
      </c>
      <c r="P182" s="18"/>
      <c r="Q182" s="61"/>
      <c r="R182" s="61"/>
      <c r="S182" s="61"/>
      <c r="T182" s="66"/>
      <c r="U182" s="66"/>
      <c r="V182" s="38"/>
      <c r="W182" s="39"/>
      <c r="X182" s="40"/>
      <c r="Y182" s="41"/>
      <c r="Z182" s="42"/>
      <c r="AA182" s="43"/>
      <c r="AB182" s="44"/>
      <c r="AC182" s="45"/>
      <c r="AD182" s="114" t="str">
        <f t="shared" si="10"/>
        <v/>
      </c>
    </row>
    <row r="183" spans="15:30" x14ac:dyDescent="0.35">
      <c r="O183" t="str">
        <f t="shared" si="11"/>
        <v/>
      </c>
      <c r="P183" s="18"/>
      <c r="Q183" s="61"/>
      <c r="R183" s="61"/>
      <c r="S183" s="61"/>
      <c r="T183" s="66"/>
      <c r="U183" s="66"/>
      <c r="V183" s="38"/>
      <c r="W183" s="39"/>
      <c r="X183" s="40"/>
      <c r="Y183" s="41"/>
      <c r="Z183" s="42"/>
      <c r="AA183" s="43"/>
      <c r="AB183" s="44"/>
      <c r="AC183" s="45"/>
      <c r="AD183" s="114" t="str">
        <f t="shared" si="10"/>
        <v/>
      </c>
    </row>
    <row r="184" spans="15:30" x14ac:dyDescent="0.35">
      <c r="O184" t="str">
        <f t="shared" si="11"/>
        <v/>
      </c>
      <c r="P184" s="18"/>
      <c r="Q184" s="61"/>
      <c r="R184" s="61"/>
      <c r="S184" s="61"/>
      <c r="T184" s="66"/>
      <c r="U184" s="66"/>
      <c r="V184" s="38"/>
      <c r="W184" s="39"/>
      <c r="X184" s="40"/>
      <c r="Y184" s="41"/>
      <c r="Z184" s="42"/>
      <c r="AA184" s="43"/>
      <c r="AB184" s="44"/>
      <c r="AC184" s="45"/>
      <c r="AD184" s="114" t="str">
        <f t="shared" si="10"/>
        <v/>
      </c>
    </row>
    <row r="185" spans="15:30" x14ac:dyDescent="0.35">
      <c r="O185" t="str">
        <f t="shared" si="11"/>
        <v/>
      </c>
      <c r="P185" s="18"/>
      <c r="Q185" s="61"/>
      <c r="R185" s="118"/>
      <c r="S185" s="61"/>
      <c r="T185" s="66"/>
      <c r="U185" s="66"/>
      <c r="V185" s="38"/>
      <c r="W185" s="39"/>
      <c r="X185" s="40"/>
      <c r="Y185" s="41"/>
      <c r="Z185" s="42"/>
      <c r="AA185" s="43"/>
      <c r="AB185" s="44"/>
      <c r="AC185" s="45"/>
      <c r="AD185" s="114" t="str">
        <f t="shared" si="10"/>
        <v/>
      </c>
    </row>
    <row r="186" spans="15:30" x14ac:dyDescent="0.35">
      <c r="O186" t="str">
        <f t="shared" si="11"/>
        <v/>
      </c>
      <c r="P186" s="18"/>
      <c r="Q186" s="61"/>
      <c r="R186" s="61"/>
      <c r="S186" s="61"/>
      <c r="T186" s="66"/>
      <c r="U186" s="66"/>
      <c r="V186" s="38"/>
      <c r="W186" s="39"/>
      <c r="X186" s="40"/>
      <c r="Y186" s="41"/>
      <c r="Z186" s="42"/>
      <c r="AA186" s="43"/>
      <c r="AB186" s="44"/>
      <c r="AC186" s="45"/>
      <c r="AD186" s="114" t="str">
        <f t="shared" si="10"/>
        <v/>
      </c>
    </row>
    <row r="187" spans="15:30" x14ac:dyDescent="0.35">
      <c r="O187" t="str">
        <f t="shared" si="11"/>
        <v/>
      </c>
      <c r="P187" s="18"/>
      <c r="Q187" s="61"/>
      <c r="R187" s="118"/>
      <c r="S187" s="61"/>
      <c r="T187" s="66"/>
      <c r="U187" s="66"/>
      <c r="V187" s="38"/>
      <c r="W187" s="39"/>
      <c r="X187" s="40"/>
      <c r="Y187" s="41"/>
      <c r="Z187" s="42"/>
      <c r="AA187" s="43"/>
      <c r="AB187" s="44"/>
      <c r="AC187" s="45"/>
      <c r="AD187" s="114" t="str">
        <f t="shared" si="10"/>
        <v/>
      </c>
    </row>
    <row r="188" spans="15:30" x14ac:dyDescent="0.35">
      <c r="O188" t="str">
        <f t="shared" si="11"/>
        <v/>
      </c>
      <c r="P188" s="18"/>
      <c r="Q188" s="61"/>
      <c r="R188" s="61"/>
      <c r="S188" s="61"/>
      <c r="T188" s="66"/>
      <c r="U188" s="66"/>
      <c r="V188" s="38"/>
      <c r="W188" s="39"/>
      <c r="X188" s="40"/>
      <c r="Y188" s="41"/>
      <c r="Z188" s="42"/>
      <c r="AA188" s="43"/>
      <c r="AB188" s="44"/>
      <c r="AC188" s="45"/>
      <c r="AD188" s="114" t="str">
        <f t="shared" si="10"/>
        <v/>
      </c>
    </row>
    <row r="189" spans="15:30" x14ac:dyDescent="0.35">
      <c r="O189" t="str">
        <f t="shared" si="11"/>
        <v/>
      </c>
      <c r="P189" s="18"/>
      <c r="Q189" s="61"/>
      <c r="R189" s="118"/>
      <c r="S189" s="61"/>
      <c r="T189" s="66"/>
      <c r="U189" s="66"/>
      <c r="V189" s="38"/>
      <c r="W189" s="39"/>
      <c r="X189" s="40"/>
      <c r="Y189" s="41"/>
      <c r="Z189" s="42"/>
      <c r="AA189" s="43"/>
      <c r="AB189" s="44"/>
      <c r="AC189" s="45"/>
      <c r="AD189" s="114" t="str">
        <f t="shared" si="10"/>
        <v/>
      </c>
    </row>
    <row r="190" spans="15:30" x14ac:dyDescent="0.35">
      <c r="O190" t="str">
        <f t="shared" si="11"/>
        <v/>
      </c>
      <c r="P190" s="18"/>
      <c r="Q190" s="61"/>
      <c r="R190" s="61"/>
      <c r="S190" s="61"/>
      <c r="T190" s="66"/>
      <c r="U190" s="66"/>
      <c r="V190" s="38"/>
      <c r="W190" s="39"/>
      <c r="X190" s="40"/>
      <c r="Y190" s="41"/>
      <c r="Z190" s="42"/>
      <c r="AA190" s="43"/>
      <c r="AB190" s="44"/>
      <c r="AC190" s="45"/>
      <c r="AD190" s="114" t="str">
        <f t="shared" si="10"/>
        <v/>
      </c>
    </row>
    <row r="191" spans="15:30" x14ac:dyDescent="0.35">
      <c r="O191" t="str">
        <f t="shared" si="11"/>
        <v/>
      </c>
      <c r="P191" s="18"/>
      <c r="Q191" s="61"/>
      <c r="R191" s="61"/>
      <c r="S191" s="61"/>
      <c r="T191" s="66"/>
      <c r="U191" s="66"/>
      <c r="V191" s="38"/>
      <c r="W191" s="39"/>
      <c r="X191" s="40"/>
      <c r="Y191" s="41"/>
      <c r="Z191" s="42"/>
      <c r="AA191" s="43"/>
      <c r="AB191" s="44"/>
      <c r="AC191" s="45"/>
      <c r="AD191" s="114" t="str">
        <f t="shared" si="10"/>
        <v/>
      </c>
    </row>
    <row r="192" spans="15:30" x14ac:dyDescent="0.35">
      <c r="O192" t="str">
        <f t="shared" si="11"/>
        <v/>
      </c>
      <c r="P192" s="18"/>
      <c r="Q192" s="61"/>
      <c r="R192" s="118"/>
      <c r="S192" s="61"/>
      <c r="T192" s="66"/>
      <c r="U192" s="66"/>
      <c r="V192" s="38"/>
      <c r="W192" s="39"/>
      <c r="X192" s="40"/>
      <c r="Y192" s="41"/>
      <c r="Z192" s="42"/>
      <c r="AA192" s="43"/>
      <c r="AB192" s="44"/>
      <c r="AC192" s="45"/>
      <c r="AD192" s="114" t="str">
        <f t="shared" si="10"/>
        <v/>
      </c>
    </row>
    <row r="193" spans="15:30" x14ac:dyDescent="0.35">
      <c r="O193" t="str">
        <f t="shared" si="11"/>
        <v/>
      </c>
      <c r="P193" s="18"/>
      <c r="Q193" s="61"/>
      <c r="R193" s="61"/>
      <c r="S193" s="61"/>
      <c r="T193" s="66"/>
      <c r="U193" s="66"/>
      <c r="V193" s="38"/>
      <c r="W193" s="39"/>
      <c r="X193" s="40"/>
      <c r="Y193" s="41"/>
      <c r="Z193" s="42"/>
      <c r="AA193" s="43"/>
      <c r="AB193" s="44"/>
      <c r="AC193" s="45"/>
      <c r="AD193" s="114" t="str">
        <f t="shared" si="10"/>
        <v/>
      </c>
    </row>
    <row r="194" spans="15:30" x14ac:dyDescent="0.35">
      <c r="O194" t="str">
        <f t="shared" si="11"/>
        <v/>
      </c>
      <c r="P194" s="18"/>
      <c r="Q194" s="61"/>
      <c r="R194" s="118"/>
      <c r="S194" s="61"/>
      <c r="T194" s="66"/>
      <c r="U194" s="66"/>
      <c r="V194" s="38"/>
      <c r="W194" s="39"/>
      <c r="X194" s="40"/>
      <c r="Y194" s="41"/>
      <c r="Z194" s="42"/>
      <c r="AA194" s="43"/>
      <c r="AB194" s="44"/>
      <c r="AC194" s="45"/>
      <c r="AD194" s="114" t="str">
        <f t="shared" ref="AD194:AD257" si="12">IF(P194="","",AC194/6)</f>
        <v/>
      </c>
    </row>
    <row r="195" spans="15:30" x14ac:dyDescent="0.35">
      <c r="O195" t="str">
        <f t="shared" si="11"/>
        <v/>
      </c>
      <c r="P195" s="18"/>
      <c r="Q195" s="61"/>
      <c r="R195" s="61"/>
      <c r="S195" s="61"/>
      <c r="T195" s="66"/>
      <c r="U195" s="66"/>
      <c r="V195" s="38"/>
      <c r="W195" s="39"/>
      <c r="X195" s="40"/>
      <c r="Y195" s="41"/>
      <c r="Z195" s="42"/>
      <c r="AA195" s="43"/>
      <c r="AB195" s="44"/>
      <c r="AC195" s="45"/>
      <c r="AD195" s="114" t="str">
        <f t="shared" si="12"/>
        <v/>
      </c>
    </row>
    <row r="196" spans="15:30" x14ac:dyDescent="0.35">
      <c r="O196" t="str">
        <f t="shared" ref="O196:O259" si="13">IF(P196="","",O195+1)</f>
        <v/>
      </c>
      <c r="P196" s="18"/>
      <c r="Q196" s="61"/>
      <c r="R196" s="118"/>
      <c r="S196" s="61"/>
      <c r="T196" s="66"/>
      <c r="U196" s="66"/>
      <c r="V196" s="38"/>
      <c r="W196" s="39"/>
      <c r="X196" s="40"/>
      <c r="Y196" s="41"/>
      <c r="Z196" s="42"/>
      <c r="AA196" s="43"/>
      <c r="AB196" s="44"/>
      <c r="AC196" s="45"/>
      <c r="AD196" s="114" t="str">
        <f t="shared" si="12"/>
        <v/>
      </c>
    </row>
    <row r="197" spans="15:30" x14ac:dyDescent="0.35">
      <c r="O197" t="str">
        <f t="shared" si="13"/>
        <v/>
      </c>
      <c r="P197" s="18"/>
      <c r="Q197" s="61"/>
      <c r="R197" s="61"/>
      <c r="S197" s="61"/>
      <c r="T197" s="66"/>
      <c r="U197" s="66"/>
      <c r="V197" s="38"/>
      <c r="W197" s="39"/>
      <c r="X197" s="40"/>
      <c r="Y197" s="41"/>
      <c r="Z197" s="42"/>
      <c r="AA197" s="43"/>
      <c r="AB197" s="44"/>
      <c r="AC197" s="45"/>
      <c r="AD197" s="114" t="str">
        <f t="shared" si="12"/>
        <v/>
      </c>
    </row>
    <row r="198" spans="15:30" x14ac:dyDescent="0.35">
      <c r="O198" t="str">
        <f t="shared" si="13"/>
        <v/>
      </c>
      <c r="P198" s="18"/>
      <c r="Q198" s="61"/>
      <c r="R198" s="61"/>
      <c r="S198" s="61"/>
      <c r="T198" s="66"/>
      <c r="U198" s="66"/>
      <c r="V198" s="38"/>
      <c r="W198" s="39"/>
      <c r="X198" s="40"/>
      <c r="Y198" s="41"/>
      <c r="Z198" s="42"/>
      <c r="AA198" s="43"/>
      <c r="AB198" s="44"/>
      <c r="AC198" s="45"/>
      <c r="AD198" s="114" t="str">
        <f t="shared" si="12"/>
        <v/>
      </c>
    </row>
    <row r="199" spans="15:30" x14ac:dyDescent="0.35">
      <c r="O199" t="str">
        <f t="shared" si="13"/>
        <v/>
      </c>
      <c r="P199" s="18"/>
      <c r="Q199" s="61"/>
      <c r="R199" s="118"/>
      <c r="S199" s="61"/>
      <c r="T199" s="66"/>
      <c r="U199" s="66"/>
      <c r="V199" s="38"/>
      <c r="W199" s="39"/>
      <c r="X199" s="40"/>
      <c r="Y199" s="41"/>
      <c r="Z199" s="42"/>
      <c r="AA199" s="43"/>
      <c r="AB199" s="44"/>
      <c r="AC199" s="45"/>
      <c r="AD199" s="114" t="str">
        <f t="shared" si="12"/>
        <v/>
      </c>
    </row>
    <row r="200" spans="15:30" x14ac:dyDescent="0.35">
      <c r="O200" t="str">
        <f t="shared" si="13"/>
        <v/>
      </c>
      <c r="P200" s="18"/>
      <c r="Q200" s="61"/>
      <c r="R200" s="61"/>
      <c r="S200" s="61"/>
      <c r="T200" s="66"/>
      <c r="U200" s="66"/>
      <c r="V200" s="38"/>
      <c r="W200" s="39"/>
      <c r="X200" s="40"/>
      <c r="Y200" s="41"/>
      <c r="Z200" s="42"/>
      <c r="AA200" s="43"/>
      <c r="AB200" s="44"/>
      <c r="AC200" s="45"/>
      <c r="AD200" s="114" t="str">
        <f t="shared" si="12"/>
        <v/>
      </c>
    </row>
    <row r="201" spans="15:30" x14ac:dyDescent="0.35">
      <c r="O201" t="str">
        <f t="shared" si="13"/>
        <v/>
      </c>
      <c r="P201" s="18"/>
      <c r="Q201" s="61"/>
      <c r="R201" s="118"/>
      <c r="S201" s="61"/>
      <c r="T201" s="66"/>
      <c r="U201" s="66"/>
      <c r="V201" s="38"/>
      <c r="W201" s="39"/>
      <c r="X201" s="40"/>
      <c r="Y201" s="41"/>
      <c r="Z201" s="42"/>
      <c r="AA201" s="43"/>
      <c r="AB201" s="44"/>
      <c r="AC201" s="45"/>
      <c r="AD201" s="114" t="str">
        <f t="shared" si="12"/>
        <v/>
      </c>
    </row>
    <row r="202" spans="15:30" x14ac:dyDescent="0.35">
      <c r="O202" t="str">
        <f t="shared" si="13"/>
        <v/>
      </c>
      <c r="P202" s="18"/>
      <c r="Q202" s="61"/>
      <c r="R202" s="118"/>
      <c r="S202" s="61"/>
      <c r="T202" s="66"/>
      <c r="U202" s="66"/>
      <c r="V202" s="38"/>
      <c r="W202" s="39"/>
      <c r="X202" s="40"/>
      <c r="Y202" s="41"/>
      <c r="Z202" s="42"/>
      <c r="AA202" s="43"/>
      <c r="AB202" s="44"/>
      <c r="AC202" s="45"/>
      <c r="AD202" s="114" t="str">
        <f t="shared" si="12"/>
        <v/>
      </c>
    </row>
    <row r="203" spans="15:30" x14ac:dyDescent="0.35">
      <c r="O203" t="str">
        <f t="shared" si="13"/>
        <v/>
      </c>
      <c r="P203" s="18"/>
      <c r="Q203" s="61"/>
      <c r="R203" s="118"/>
      <c r="S203" s="61"/>
      <c r="T203" s="66"/>
      <c r="U203" s="66"/>
      <c r="V203" s="38"/>
      <c r="W203" s="39"/>
      <c r="X203" s="40"/>
      <c r="Y203" s="41"/>
      <c r="Z203" s="42"/>
      <c r="AA203" s="43"/>
      <c r="AB203" s="44"/>
      <c r="AC203" s="45"/>
      <c r="AD203" s="114" t="str">
        <f t="shared" si="12"/>
        <v/>
      </c>
    </row>
    <row r="204" spans="15:30" x14ac:dyDescent="0.35">
      <c r="O204" t="str">
        <f t="shared" si="13"/>
        <v/>
      </c>
      <c r="P204" s="62"/>
      <c r="Q204" s="118"/>
      <c r="R204" s="118"/>
      <c r="S204" s="61"/>
      <c r="T204" s="66"/>
      <c r="U204" s="66"/>
      <c r="V204" s="38"/>
      <c r="W204" s="39"/>
      <c r="X204" s="40"/>
      <c r="Y204" s="41"/>
      <c r="Z204" s="42"/>
      <c r="AA204" s="43"/>
      <c r="AB204" s="44"/>
      <c r="AC204" s="45"/>
      <c r="AD204" s="114" t="str">
        <f t="shared" si="12"/>
        <v/>
      </c>
    </row>
    <row r="205" spans="15:30" x14ac:dyDescent="0.35">
      <c r="O205" t="str">
        <f t="shared" si="13"/>
        <v/>
      </c>
      <c r="P205" s="18"/>
      <c r="Q205" s="61"/>
      <c r="R205" s="118"/>
      <c r="S205" s="61"/>
      <c r="T205" s="66"/>
      <c r="U205" s="66"/>
      <c r="V205" s="38"/>
      <c r="W205" s="39"/>
      <c r="X205" s="40"/>
      <c r="Y205" s="41"/>
      <c r="Z205" s="42"/>
      <c r="AA205" s="43"/>
      <c r="AB205" s="44"/>
      <c r="AC205" s="45"/>
      <c r="AD205" s="114" t="str">
        <f t="shared" si="12"/>
        <v/>
      </c>
    </row>
    <row r="206" spans="15:30" x14ac:dyDescent="0.35">
      <c r="O206" t="str">
        <f t="shared" si="13"/>
        <v/>
      </c>
      <c r="P206" s="18"/>
      <c r="Q206" s="61"/>
      <c r="R206" s="118"/>
      <c r="S206" s="61"/>
      <c r="T206" s="66"/>
      <c r="U206" s="66"/>
      <c r="V206" s="38"/>
      <c r="W206" s="39"/>
      <c r="X206" s="40"/>
      <c r="Y206" s="41"/>
      <c r="Z206" s="42"/>
      <c r="AA206" s="43"/>
      <c r="AB206" s="44"/>
      <c r="AC206" s="45"/>
      <c r="AD206" s="114" t="str">
        <f t="shared" si="12"/>
        <v/>
      </c>
    </row>
    <row r="207" spans="15:30" x14ac:dyDescent="0.35">
      <c r="O207" t="str">
        <f t="shared" si="13"/>
        <v/>
      </c>
      <c r="P207" s="62"/>
      <c r="Q207" s="118"/>
      <c r="R207" s="61"/>
      <c r="S207" s="45"/>
      <c r="T207" s="66"/>
      <c r="U207" s="66"/>
      <c r="V207" s="38"/>
      <c r="W207" s="39"/>
      <c r="X207" s="40"/>
      <c r="Y207" s="41"/>
      <c r="Z207" s="42"/>
      <c r="AA207" s="43"/>
      <c r="AB207" s="44"/>
      <c r="AC207" s="45"/>
      <c r="AD207" s="114" t="str">
        <f t="shared" si="12"/>
        <v/>
      </c>
    </row>
    <row r="208" spans="15:30" x14ac:dyDescent="0.35">
      <c r="O208" t="str">
        <f t="shared" si="13"/>
        <v/>
      </c>
      <c r="P208" s="18"/>
      <c r="Q208" s="61"/>
      <c r="R208" s="118"/>
      <c r="S208" s="61"/>
      <c r="T208" s="66"/>
      <c r="U208" s="66"/>
      <c r="V208" s="38"/>
      <c r="W208" s="39"/>
      <c r="X208" s="40"/>
      <c r="Y208" s="41"/>
      <c r="Z208" s="42"/>
      <c r="AA208" s="43"/>
      <c r="AB208" s="44"/>
      <c r="AC208" s="45"/>
      <c r="AD208" s="114" t="str">
        <f t="shared" si="12"/>
        <v/>
      </c>
    </row>
    <row r="209" spans="15:30" x14ac:dyDescent="0.35">
      <c r="O209" t="str">
        <f t="shared" si="13"/>
        <v/>
      </c>
      <c r="P209" s="18"/>
      <c r="Q209" s="61"/>
      <c r="R209" s="61"/>
      <c r="S209" s="61"/>
      <c r="T209" s="66"/>
      <c r="U209" s="66"/>
      <c r="V209" s="38"/>
      <c r="W209" s="39"/>
      <c r="X209" s="40"/>
      <c r="Y209" s="41"/>
      <c r="Z209" s="42"/>
      <c r="AA209" s="43"/>
      <c r="AB209" s="44"/>
      <c r="AC209" s="45"/>
      <c r="AD209" s="114" t="str">
        <f t="shared" si="12"/>
        <v/>
      </c>
    </row>
    <row r="210" spans="15:30" x14ac:dyDescent="0.35">
      <c r="O210" t="str">
        <f t="shared" si="13"/>
        <v/>
      </c>
      <c r="P210" s="18"/>
      <c r="Q210" s="61"/>
      <c r="R210" s="61"/>
      <c r="S210" s="61"/>
      <c r="T210" s="66"/>
      <c r="U210" s="66"/>
      <c r="V210" s="38"/>
      <c r="W210" s="39"/>
      <c r="X210" s="40"/>
      <c r="Y210" s="41"/>
      <c r="Z210" s="42"/>
      <c r="AA210" s="43"/>
      <c r="AB210" s="44"/>
      <c r="AC210" s="45"/>
      <c r="AD210" s="114" t="str">
        <f t="shared" si="12"/>
        <v/>
      </c>
    </row>
    <row r="211" spans="15:30" x14ac:dyDescent="0.35">
      <c r="O211" t="str">
        <f t="shared" si="13"/>
        <v/>
      </c>
      <c r="P211" s="18"/>
      <c r="Q211" s="61"/>
      <c r="R211" s="118"/>
      <c r="S211" s="61"/>
      <c r="T211" s="66"/>
      <c r="U211" s="66"/>
      <c r="V211" s="38"/>
      <c r="W211" s="39"/>
      <c r="X211" s="40"/>
      <c r="Y211" s="41"/>
      <c r="Z211" s="42"/>
      <c r="AA211" s="43"/>
      <c r="AB211" s="44"/>
      <c r="AC211" s="45"/>
      <c r="AD211" s="114" t="str">
        <f t="shared" si="12"/>
        <v/>
      </c>
    </row>
    <row r="212" spans="15:30" x14ac:dyDescent="0.35">
      <c r="O212" t="str">
        <f t="shared" si="13"/>
        <v/>
      </c>
      <c r="P212" s="18"/>
      <c r="Q212" s="61"/>
      <c r="R212" s="118"/>
      <c r="S212" s="61"/>
      <c r="T212" s="66"/>
      <c r="U212" s="66"/>
      <c r="V212" s="38"/>
      <c r="W212" s="39"/>
      <c r="X212" s="40"/>
      <c r="Y212" s="41"/>
      <c r="Z212" s="42"/>
      <c r="AA212" s="43"/>
      <c r="AB212" s="44"/>
      <c r="AC212" s="45"/>
      <c r="AD212" s="114" t="str">
        <f t="shared" si="12"/>
        <v/>
      </c>
    </row>
    <row r="213" spans="15:30" x14ac:dyDescent="0.35">
      <c r="O213" t="str">
        <f t="shared" si="13"/>
        <v/>
      </c>
      <c r="P213" s="18"/>
      <c r="Q213" s="61"/>
      <c r="R213" s="118"/>
      <c r="S213" s="61"/>
      <c r="T213" s="66"/>
      <c r="U213" s="66"/>
      <c r="V213" s="38"/>
      <c r="W213" s="39"/>
      <c r="X213" s="40"/>
      <c r="Y213" s="41"/>
      <c r="Z213" s="42"/>
      <c r="AA213" s="43"/>
      <c r="AB213" s="44"/>
      <c r="AC213" s="45"/>
      <c r="AD213" s="114" t="str">
        <f t="shared" si="12"/>
        <v/>
      </c>
    </row>
    <row r="214" spans="15:30" x14ac:dyDescent="0.35">
      <c r="O214" t="str">
        <f t="shared" si="13"/>
        <v/>
      </c>
      <c r="P214" s="18"/>
      <c r="Q214" s="61"/>
      <c r="R214" s="61"/>
      <c r="S214" s="61"/>
      <c r="T214" s="66"/>
      <c r="U214" s="66"/>
      <c r="V214" s="38"/>
      <c r="W214" s="39"/>
      <c r="X214" s="40"/>
      <c r="Y214" s="41"/>
      <c r="Z214" s="42"/>
      <c r="AA214" s="43"/>
      <c r="AB214" s="44"/>
      <c r="AC214" s="45"/>
      <c r="AD214" s="114" t="str">
        <f t="shared" si="12"/>
        <v/>
      </c>
    </row>
    <row r="215" spans="15:30" x14ac:dyDescent="0.35">
      <c r="O215" t="str">
        <f t="shared" si="13"/>
        <v/>
      </c>
      <c r="P215" s="18"/>
      <c r="Q215" s="61"/>
      <c r="R215" s="61"/>
      <c r="S215" s="61"/>
      <c r="T215" s="66"/>
      <c r="U215" s="66"/>
      <c r="V215" s="38"/>
      <c r="W215" s="39"/>
      <c r="X215" s="40"/>
      <c r="Y215" s="41"/>
      <c r="Z215" s="42"/>
      <c r="AA215" s="43"/>
      <c r="AB215" s="44"/>
      <c r="AC215" s="45"/>
      <c r="AD215" s="114" t="str">
        <f t="shared" si="12"/>
        <v/>
      </c>
    </row>
    <row r="216" spans="15:30" x14ac:dyDescent="0.35">
      <c r="O216" t="str">
        <f t="shared" si="13"/>
        <v/>
      </c>
      <c r="P216" s="18"/>
      <c r="Q216" s="61"/>
      <c r="R216" s="61"/>
      <c r="S216" s="61"/>
      <c r="T216" s="66"/>
      <c r="U216" s="66"/>
      <c r="V216" s="38"/>
      <c r="W216" s="39"/>
      <c r="X216" s="40"/>
      <c r="Y216" s="41"/>
      <c r="Z216" s="42"/>
      <c r="AA216" s="43"/>
      <c r="AB216" s="44"/>
      <c r="AC216" s="45"/>
      <c r="AD216" s="114" t="str">
        <f t="shared" si="12"/>
        <v/>
      </c>
    </row>
    <row r="217" spans="15:30" x14ac:dyDescent="0.35">
      <c r="O217" t="str">
        <f t="shared" si="13"/>
        <v/>
      </c>
      <c r="P217" s="18"/>
      <c r="Q217" s="61"/>
      <c r="R217" s="61"/>
      <c r="S217" s="61"/>
      <c r="T217" s="66"/>
      <c r="U217" s="66"/>
      <c r="V217" s="38"/>
      <c r="W217" s="39"/>
      <c r="X217" s="40"/>
      <c r="Y217" s="41"/>
      <c r="Z217" s="42"/>
      <c r="AA217" s="43"/>
      <c r="AB217" s="44"/>
      <c r="AC217" s="45"/>
      <c r="AD217" s="114" t="str">
        <f t="shared" si="12"/>
        <v/>
      </c>
    </row>
    <row r="218" spans="15:30" x14ac:dyDescent="0.35">
      <c r="O218" t="str">
        <f t="shared" si="13"/>
        <v/>
      </c>
      <c r="P218" s="18"/>
      <c r="Q218" s="61"/>
      <c r="R218" s="118"/>
      <c r="S218" s="61"/>
      <c r="T218" s="66"/>
      <c r="U218" s="66"/>
      <c r="V218" s="38"/>
      <c r="W218" s="39"/>
      <c r="X218" s="40"/>
      <c r="Y218" s="41"/>
      <c r="Z218" s="42"/>
      <c r="AA218" s="43"/>
      <c r="AB218" s="44"/>
      <c r="AC218" s="45"/>
      <c r="AD218" s="114" t="str">
        <f t="shared" si="12"/>
        <v/>
      </c>
    </row>
    <row r="219" spans="15:30" x14ac:dyDescent="0.35">
      <c r="O219" t="str">
        <f t="shared" si="13"/>
        <v/>
      </c>
      <c r="P219" s="18"/>
      <c r="Q219" s="61"/>
      <c r="R219" s="118"/>
      <c r="S219" s="61"/>
      <c r="T219" s="66"/>
      <c r="U219" s="66"/>
      <c r="V219" s="38"/>
      <c r="W219" s="39"/>
      <c r="X219" s="40"/>
      <c r="Y219" s="41"/>
      <c r="Z219" s="42"/>
      <c r="AA219" s="43"/>
      <c r="AB219" s="44"/>
      <c r="AC219" s="45"/>
      <c r="AD219" s="114" t="str">
        <f t="shared" si="12"/>
        <v/>
      </c>
    </row>
    <row r="220" spans="15:30" x14ac:dyDescent="0.35">
      <c r="O220" t="str">
        <f t="shared" si="13"/>
        <v/>
      </c>
      <c r="P220" s="18"/>
      <c r="Q220" s="61"/>
      <c r="R220" s="118"/>
      <c r="S220" s="61"/>
      <c r="T220" s="66"/>
      <c r="U220" s="66"/>
      <c r="V220" s="38"/>
      <c r="W220" s="39"/>
      <c r="X220" s="40"/>
      <c r="Y220" s="41"/>
      <c r="Z220" s="42"/>
      <c r="AA220" s="43"/>
      <c r="AB220" s="44"/>
      <c r="AC220" s="45"/>
      <c r="AD220" s="114" t="str">
        <f t="shared" si="12"/>
        <v/>
      </c>
    </row>
    <row r="221" spans="15:30" x14ac:dyDescent="0.35">
      <c r="O221" t="str">
        <f t="shared" si="13"/>
        <v/>
      </c>
      <c r="P221" s="18"/>
      <c r="Q221" s="61"/>
      <c r="R221" s="61"/>
      <c r="S221" s="61"/>
      <c r="T221" s="66"/>
      <c r="U221" s="66"/>
      <c r="V221" s="38"/>
      <c r="W221" s="39"/>
      <c r="X221" s="40"/>
      <c r="Y221" s="41"/>
      <c r="Z221" s="42"/>
      <c r="AA221" s="43"/>
      <c r="AB221" s="44"/>
      <c r="AC221" s="45"/>
      <c r="AD221" s="114" t="str">
        <f t="shared" si="12"/>
        <v/>
      </c>
    </row>
    <row r="222" spans="15:30" x14ac:dyDescent="0.35">
      <c r="O222" t="str">
        <f t="shared" si="13"/>
        <v/>
      </c>
      <c r="P222" s="18"/>
      <c r="Q222" s="61"/>
      <c r="R222" s="61"/>
      <c r="S222" s="61"/>
      <c r="T222" s="66"/>
      <c r="U222" s="66"/>
      <c r="V222" s="38"/>
      <c r="W222" s="39"/>
      <c r="X222" s="40"/>
      <c r="Y222" s="41"/>
      <c r="Z222" s="42"/>
      <c r="AA222" s="43"/>
      <c r="AB222" s="44"/>
      <c r="AC222" s="45"/>
      <c r="AD222" s="114" t="str">
        <f t="shared" si="12"/>
        <v/>
      </c>
    </row>
    <row r="223" spans="15:30" x14ac:dyDescent="0.35">
      <c r="O223" t="str">
        <f t="shared" si="13"/>
        <v/>
      </c>
      <c r="P223" s="18"/>
      <c r="Q223" s="61"/>
      <c r="R223" s="61"/>
      <c r="S223" s="61"/>
      <c r="T223" s="66"/>
      <c r="U223" s="66"/>
      <c r="V223" s="38"/>
      <c r="W223" s="39"/>
      <c r="X223" s="40"/>
      <c r="Y223" s="41"/>
      <c r="Z223" s="42"/>
      <c r="AA223" s="43"/>
      <c r="AB223" s="44"/>
      <c r="AC223" s="45"/>
      <c r="AD223" s="114" t="str">
        <f t="shared" si="12"/>
        <v/>
      </c>
    </row>
    <row r="224" spans="15:30" x14ac:dyDescent="0.35">
      <c r="O224" t="str">
        <f t="shared" si="13"/>
        <v/>
      </c>
      <c r="P224" s="18"/>
      <c r="Q224" s="61"/>
      <c r="R224" s="61"/>
      <c r="S224" s="61"/>
      <c r="T224" s="66"/>
      <c r="U224" s="66"/>
      <c r="V224" s="38"/>
      <c r="W224" s="39"/>
      <c r="X224" s="40"/>
      <c r="Y224" s="41"/>
      <c r="Z224" s="42"/>
      <c r="AA224" s="43"/>
      <c r="AB224" s="44"/>
      <c r="AC224" s="45"/>
      <c r="AD224" s="114" t="str">
        <f t="shared" si="12"/>
        <v/>
      </c>
    </row>
    <row r="225" spans="15:30" x14ac:dyDescent="0.35">
      <c r="O225" t="str">
        <f t="shared" si="13"/>
        <v/>
      </c>
      <c r="P225" s="18"/>
      <c r="Q225" s="61"/>
      <c r="R225" s="118"/>
      <c r="S225" s="61"/>
      <c r="T225" s="66"/>
      <c r="U225" s="66"/>
      <c r="V225" s="38"/>
      <c r="W225" s="39"/>
      <c r="X225" s="40"/>
      <c r="Y225" s="41"/>
      <c r="Z225" s="42"/>
      <c r="AA225" s="43"/>
      <c r="AB225" s="44"/>
      <c r="AC225" s="45"/>
      <c r="AD225" s="114" t="str">
        <f t="shared" si="12"/>
        <v/>
      </c>
    </row>
    <row r="226" spans="15:30" x14ac:dyDescent="0.35">
      <c r="O226" t="str">
        <f t="shared" si="13"/>
        <v/>
      </c>
      <c r="P226" s="18"/>
      <c r="Q226" s="61"/>
      <c r="R226" s="61"/>
      <c r="S226" s="61"/>
      <c r="T226" s="66"/>
      <c r="U226" s="66"/>
      <c r="V226" s="38"/>
      <c r="W226" s="39"/>
      <c r="X226" s="40"/>
      <c r="Y226" s="41"/>
      <c r="Z226" s="42"/>
      <c r="AA226" s="43"/>
      <c r="AB226" s="44"/>
      <c r="AC226" s="45"/>
      <c r="AD226" s="114" t="str">
        <f t="shared" si="12"/>
        <v/>
      </c>
    </row>
    <row r="227" spans="15:30" x14ac:dyDescent="0.35">
      <c r="O227" t="str">
        <f t="shared" si="13"/>
        <v/>
      </c>
      <c r="P227" s="18"/>
      <c r="Q227" s="61"/>
      <c r="R227" s="118"/>
      <c r="S227" s="61"/>
      <c r="T227" s="66"/>
      <c r="U227" s="66"/>
      <c r="V227" s="38"/>
      <c r="W227" s="39"/>
      <c r="X227" s="40"/>
      <c r="Y227" s="41"/>
      <c r="Z227" s="42"/>
      <c r="AA227" s="43"/>
      <c r="AB227" s="44"/>
      <c r="AC227" s="45"/>
      <c r="AD227" s="114" t="str">
        <f t="shared" si="12"/>
        <v/>
      </c>
    </row>
    <row r="228" spans="15:30" x14ac:dyDescent="0.35">
      <c r="O228" t="str">
        <f t="shared" si="13"/>
        <v/>
      </c>
      <c r="P228" s="18"/>
      <c r="Q228" s="61"/>
      <c r="R228" s="118"/>
      <c r="S228" s="61"/>
      <c r="T228" s="66"/>
      <c r="U228" s="66"/>
      <c r="V228" s="38"/>
      <c r="W228" s="39"/>
      <c r="X228" s="40"/>
      <c r="Y228" s="41"/>
      <c r="Z228" s="42"/>
      <c r="AA228" s="43"/>
      <c r="AB228" s="44"/>
      <c r="AC228" s="45"/>
      <c r="AD228" s="114" t="str">
        <f t="shared" si="12"/>
        <v/>
      </c>
    </row>
    <row r="229" spans="15:30" x14ac:dyDescent="0.35">
      <c r="O229" t="str">
        <f t="shared" si="13"/>
        <v/>
      </c>
      <c r="P229" s="62"/>
      <c r="Q229" s="118"/>
      <c r="R229" s="61"/>
      <c r="S229" s="61"/>
      <c r="T229" s="66"/>
      <c r="U229" s="66"/>
      <c r="V229" s="38"/>
      <c r="W229" s="39"/>
      <c r="X229" s="40"/>
      <c r="Y229" s="41"/>
      <c r="Z229" s="42"/>
      <c r="AA229" s="43"/>
      <c r="AB229" s="44"/>
      <c r="AC229" s="45"/>
      <c r="AD229" s="114" t="str">
        <f t="shared" si="12"/>
        <v/>
      </c>
    </row>
    <row r="230" spans="15:30" x14ac:dyDescent="0.35">
      <c r="O230" t="str">
        <f t="shared" si="13"/>
        <v/>
      </c>
      <c r="P230" s="18"/>
      <c r="Q230" s="61"/>
      <c r="R230" s="61"/>
      <c r="S230" s="61"/>
      <c r="T230" s="66"/>
      <c r="U230" s="66"/>
      <c r="V230" s="38"/>
      <c r="W230" s="39"/>
      <c r="X230" s="40"/>
      <c r="Y230" s="41"/>
      <c r="Z230" s="42"/>
      <c r="AA230" s="43"/>
      <c r="AB230" s="44"/>
      <c r="AC230" s="45"/>
      <c r="AD230" s="114" t="str">
        <f t="shared" si="12"/>
        <v/>
      </c>
    </row>
    <row r="231" spans="15:30" x14ac:dyDescent="0.35">
      <c r="O231" t="str">
        <f t="shared" si="13"/>
        <v/>
      </c>
      <c r="P231" s="18"/>
      <c r="Q231" s="61"/>
      <c r="R231" s="61"/>
      <c r="S231" s="61"/>
      <c r="T231" s="66"/>
      <c r="U231" s="66"/>
      <c r="V231" s="38"/>
      <c r="W231" s="39"/>
      <c r="X231" s="40"/>
      <c r="Y231" s="41"/>
      <c r="Z231" s="42"/>
      <c r="AA231" s="43"/>
      <c r="AB231" s="44"/>
      <c r="AC231" s="45"/>
      <c r="AD231" s="114" t="str">
        <f t="shared" si="12"/>
        <v/>
      </c>
    </row>
    <row r="232" spans="15:30" x14ac:dyDescent="0.35">
      <c r="O232" t="str">
        <f t="shared" si="13"/>
        <v/>
      </c>
      <c r="P232" s="18"/>
      <c r="Q232" s="61"/>
      <c r="R232" s="61"/>
      <c r="S232" s="61"/>
      <c r="T232" s="66"/>
      <c r="U232" s="66"/>
      <c r="V232" s="38"/>
      <c r="W232" s="39"/>
      <c r="X232" s="40"/>
      <c r="Y232" s="41"/>
      <c r="Z232" s="42"/>
      <c r="AA232" s="43"/>
      <c r="AB232" s="44"/>
      <c r="AC232" s="45"/>
      <c r="AD232" s="114" t="str">
        <f t="shared" si="12"/>
        <v/>
      </c>
    </row>
    <row r="233" spans="15:30" x14ac:dyDescent="0.35">
      <c r="O233" t="str">
        <f t="shared" si="13"/>
        <v/>
      </c>
      <c r="P233" s="18"/>
      <c r="Q233" s="61"/>
      <c r="R233" s="61"/>
      <c r="S233" s="61"/>
      <c r="T233" s="66"/>
      <c r="U233" s="66"/>
      <c r="V233" s="38"/>
      <c r="W233" s="39"/>
      <c r="X233" s="40"/>
      <c r="Y233" s="41"/>
      <c r="Z233" s="42"/>
      <c r="AA233" s="43"/>
      <c r="AB233" s="44"/>
      <c r="AC233" s="45"/>
      <c r="AD233" s="114" t="str">
        <f t="shared" si="12"/>
        <v/>
      </c>
    </row>
    <row r="234" spans="15:30" x14ac:dyDescent="0.35">
      <c r="O234" t="str">
        <f t="shared" si="13"/>
        <v/>
      </c>
      <c r="P234" s="18"/>
      <c r="Q234" s="61"/>
      <c r="R234" s="61"/>
      <c r="S234" s="61"/>
      <c r="T234" s="66"/>
      <c r="U234" s="66"/>
      <c r="V234" s="38"/>
      <c r="W234" s="39"/>
      <c r="X234" s="40"/>
      <c r="Y234" s="41"/>
      <c r="Z234" s="42"/>
      <c r="AA234" s="43"/>
      <c r="AB234" s="44"/>
      <c r="AC234" s="45"/>
      <c r="AD234" s="114" t="str">
        <f t="shared" si="12"/>
        <v/>
      </c>
    </row>
    <row r="235" spans="15:30" x14ac:dyDescent="0.35">
      <c r="O235" t="str">
        <f t="shared" si="13"/>
        <v/>
      </c>
      <c r="P235" s="18"/>
      <c r="Q235" s="61"/>
      <c r="R235" s="118"/>
      <c r="S235" s="61"/>
      <c r="T235" s="66"/>
      <c r="U235" s="66"/>
      <c r="V235" s="38"/>
      <c r="W235" s="39"/>
      <c r="X235" s="40"/>
      <c r="Y235" s="41"/>
      <c r="Z235" s="42"/>
      <c r="AA235" s="43"/>
      <c r="AB235" s="44"/>
      <c r="AC235" s="45"/>
      <c r="AD235" s="114" t="str">
        <f t="shared" si="12"/>
        <v/>
      </c>
    </row>
    <row r="236" spans="15:30" x14ac:dyDescent="0.35">
      <c r="O236" t="str">
        <f t="shared" si="13"/>
        <v/>
      </c>
      <c r="P236" s="18"/>
      <c r="Q236" s="61"/>
      <c r="R236" s="118"/>
      <c r="S236" s="61"/>
      <c r="T236" s="66"/>
      <c r="U236" s="66"/>
      <c r="V236" s="38"/>
      <c r="W236" s="39"/>
      <c r="X236" s="40"/>
      <c r="Y236" s="41"/>
      <c r="Z236" s="42"/>
      <c r="AA236" s="43"/>
      <c r="AB236" s="44"/>
      <c r="AC236" s="45"/>
      <c r="AD236" s="114" t="str">
        <f t="shared" si="12"/>
        <v/>
      </c>
    </row>
    <row r="237" spans="15:30" x14ac:dyDescent="0.35">
      <c r="O237" t="str">
        <f t="shared" si="13"/>
        <v/>
      </c>
      <c r="P237" s="18"/>
      <c r="Q237" s="61"/>
      <c r="R237" s="61"/>
      <c r="S237" s="61"/>
      <c r="T237" s="66"/>
      <c r="U237" s="66"/>
      <c r="V237" s="38"/>
      <c r="W237" s="39"/>
      <c r="X237" s="40"/>
      <c r="Y237" s="41"/>
      <c r="Z237" s="42"/>
      <c r="AA237" s="43"/>
      <c r="AB237" s="44"/>
      <c r="AC237" s="45"/>
      <c r="AD237" s="114" t="str">
        <f t="shared" si="12"/>
        <v/>
      </c>
    </row>
    <row r="238" spans="15:30" x14ac:dyDescent="0.35">
      <c r="O238" t="str">
        <f t="shared" si="13"/>
        <v/>
      </c>
      <c r="P238" s="18"/>
      <c r="Q238" s="61"/>
      <c r="R238" s="61"/>
      <c r="S238" s="61"/>
      <c r="T238" s="66"/>
      <c r="U238" s="66"/>
      <c r="V238" s="38"/>
      <c r="W238" s="39"/>
      <c r="X238" s="40"/>
      <c r="Y238" s="41"/>
      <c r="Z238" s="42"/>
      <c r="AA238" s="43"/>
      <c r="AB238" s="44"/>
      <c r="AC238" s="45"/>
      <c r="AD238" s="114" t="str">
        <f t="shared" si="12"/>
        <v/>
      </c>
    </row>
    <row r="239" spans="15:30" x14ac:dyDescent="0.35">
      <c r="O239" t="str">
        <f t="shared" si="13"/>
        <v/>
      </c>
      <c r="P239" s="18"/>
      <c r="Q239" s="61"/>
      <c r="R239" s="118"/>
      <c r="S239" s="61"/>
      <c r="T239" s="66"/>
      <c r="U239" s="66"/>
      <c r="V239" s="38"/>
      <c r="W239" s="39"/>
      <c r="X239" s="40"/>
      <c r="Y239" s="41"/>
      <c r="Z239" s="42"/>
      <c r="AA239" s="43"/>
      <c r="AB239" s="44"/>
      <c r="AC239" s="45"/>
      <c r="AD239" s="114" t="str">
        <f t="shared" si="12"/>
        <v/>
      </c>
    </row>
    <row r="240" spans="15:30" x14ac:dyDescent="0.35">
      <c r="O240" t="str">
        <f t="shared" si="13"/>
        <v/>
      </c>
      <c r="P240" s="18"/>
      <c r="Q240" s="61"/>
      <c r="R240" s="61"/>
      <c r="S240" s="61"/>
      <c r="T240" s="66"/>
      <c r="U240" s="66"/>
      <c r="V240" s="38"/>
      <c r="W240" s="39"/>
      <c r="X240" s="40"/>
      <c r="Y240" s="41"/>
      <c r="Z240" s="42"/>
      <c r="AA240" s="43"/>
      <c r="AB240" s="44"/>
      <c r="AC240" s="45"/>
      <c r="AD240" s="114" t="str">
        <f t="shared" si="12"/>
        <v/>
      </c>
    </row>
    <row r="241" spans="15:30" x14ac:dyDescent="0.35">
      <c r="O241" t="str">
        <f t="shared" si="13"/>
        <v/>
      </c>
      <c r="P241" s="18"/>
      <c r="Q241" s="61"/>
      <c r="R241" s="118"/>
      <c r="S241" s="61"/>
      <c r="T241" s="66"/>
      <c r="U241" s="66"/>
      <c r="V241" s="38"/>
      <c r="W241" s="39"/>
      <c r="X241" s="40"/>
      <c r="Y241" s="41"/>
      <c r="Z241" s="42"/>
      <c r="AA241" s="43"/>
      <c r="AB241" s="44"/>
      <c r="AC241" s="45"/>
      <c r="AD241" s="114" t="str">
        <f t="shared" si="12"/>
        <v/>
      </c>
    </row>
    <row r="242" spans="15:30" x14ac:dyDescent="0.35">
      <c r="O242" t="str">
        <f t="shared" si="13"/>
        <v/>
      </c>
      <c r="P242" s="18"/>
      <c r="Q242" s="61"/>
      <c r="R242" s="118"/>
      <c r="S242" s="61"/>
      <c r="T242" s="66"/>
      <c r="U242" s="66"/>
      <c r="V242" s="38"/>
      <c r="W242" s="39"/>
      <c r="X242" s="40"/>
      <c r="Y242" s="41"/>
      <c r="Z242" s="42"/>
      <c r="AA242" s="43"/>
      <c r="AB242" s="44"/>
      <c r="AC242" s="45"/>
      <c r="AD242" s="114" t="str">
        <f t="shared" si="12"/>
        <v/>
      </c>
    </row>
    <row r="243" spans="15:30" x14ac:dyDescent="0.35">
      <c r="O243" t="str">
        <f t="shared" si="13"/>
        <v/>
      </c>
      <c r="P243" s="18"/>
      <c r="Q243" s="61"/>
      <c r="R243" s="118"/>
      <c r="S243" s="61"/>
      <c r="T243" s="66"/>
      <c r="U243" s="66"/>
      <c r="V243" s="38"/>
      <c r="W243" s="39"/>
      <c r="X243" s="40"/>
      <c r="Y243" s="41"/>
      <c r="Z243" s="42"/>
      <c r="AA243" s="43"/>
      <c r="AB243" s="44"/>
      <c r="AC243" s="45"/>
      <c r="AD243" s="114" t="str">
        <f t="shared" si="12"/>
        <v/>
      </c>
    </row>
    <row r="244" spans="15:30" x14ac:dyDescent="0.35">
      <c r="O244" t="str">
        <f t="shared" si="13"/>
        <v/>
      </c>
      <c r="P244" s="18"/>
      <c r="Q244" s="61"/>
      <c r="R244" s="61"/>
      <c r="S244" s="61"/>
      <c r="T244" s="66"/>
      <c r="U244" s="66"/>
      <c r="V244" s="38"/>
      <c r="W244" s="39"/>
      <c r="X244" s="40"/>
      <c r="Y244" s="41"/>
      <c r="Z244" s="42"/>
      <c r="AA244" s="43"/>
      <c r="AB244" s="44"/>
      <c r="AC244" s="45"/>
      <c r="AD244" s="114" t="str">
        <f t="shared" si="12"/>
        <v/>
      </c>
    </row>
    <row r="245" spans="15:30" x14ac:dyDescent="0.35">
      <c r="O245" t="str">
        <f t="shared" si="13"/>
        <v/>
      </c>
      <c r="P245" s="18"/>
      <c r="Q245" s="61"/>
      <c r="R245" s="61"/>
      <c r="S245" s="61"/>
      <c r="T245" s="66"/>
      <c r="U245" s="66"/>
      <c r="V245" s="38"/>
      <c r="W245" s="39"/>
      <c r="X245" s="40"/>
      <c r="Y245" s="41"/>
      <c r="Z245" s="42"/>
      <c r="AA245" s="43"/>
      <c r="AB245" s="44"/>
      <c r="AC245" s="45"/>
      <c r="AD245" s="114" t="str">
        <f t="shared" si="12"/>
        <v/>
      </c>
    </row>
    <row r="246" spans="15:30" x14ac:dyDescent="0.35">
      <c r="O246" t="str">
        <f t="shared" si="13"/>
        <v/>
      </c>
      <c r="P246" s="18"/>
      <c r="Q246" s="61"/>
      <c r="R246" s="61"/>
      <c r="S246" s="61"/>
      <c r="T246" s="66"/>
      <c r="U246" s="66"/>
      <c r="V246" s="38"/>
      <c r="W246" s="39"/>
      <c r="X246" s="40"/>
      <c r="Y246" s="41"/>
      <c r="Z246" s="42"/>
      <c r="AA246" s="43"/>
      <c r="AB246" s="44"/>
      <c r="AC246" s="45"/>
      <c r="AD246" s="114" t="str">
        <f t="shared" si="12"/>
        <v/>
      </c>
    </row>
    <row r="247" spans="15:30" x14ac:dyDescent="0.35">
      <c r="O247" t="str">
        <f t="shared" si="13"/>
        <v/>
      </c>
      <c r="P247" s="18"/>
      <c r="Q247" s="61"/>
      <c r="R247" s="118"/>
      <c r="S247" s="61"/>
      <c r="T247" s="66"/>
      <c r="U247" s="66"/>
      <c r="V247" s="38"/>
      <c r="W247" s="39"/>
      <c r="X247" s="40"/>
      <c r="Y247" s="41"/>
      <c r="Z247" s="42"/>
      <c r="AA247" s="43"/>
      <c r="AB247" s="44"/>
      <c r="AC247" s="45"/>
      <c r="AD247" s="114" t="str">
        <f t="shared" si="12"/>
        <v/>
      </c>
    </row>
    <row r="248" spans="15:30" x14ac:dyDescent="0.35">
      <c r="O248" t="str">
        <f t="shared" si="13"/>
        <v/>
      </c>
      <c r="P248" s="62"/>
      <c r="Q248" s="118"/>
      <c r="R248" s="118"/>
      <c r="S248" s="61"/>
      <c r="T248" s="66"/>
      <c r="U248" s="66"/>
      <c r="V248" s="38"/>
      <c r="W248" s="39"/>
      <c r="X248" s="40"/>
      <c r="Y248" s="41"/>
      <c r="Z248" s="42"/>
      <c r="AA248" s="43"/>
      <c r="AB248" s="44"/>
      <c r="AC248" s="45"/>
      <c r="AD248" s="114" t="str">
        <f t="shared" si="12"/>
        <v/>
      </c>
    </row>
    <row r="249" spans="15:30" x14ac:dyDescent="0.35">
      <c r="O249" t="str">
        <f t="shared" si="13"/>
        <v/>
      </c>
      <c r="P249" s="18"/>
      <c r="Q249" s="61"/>
      <c r="R249" s="118"/>
      <c r="S249" s="61"/>
      <c r="T249" s="66"/>
      <c r="U249" s="66"/>
      <c r="V249" s="38"/>
      <c r="W249" s="39"/>
      <c r="X249" s="40"/>
      <c r="Y249" s="41"/>
      <c r="Z249" s="42"/>
      <c r="AA249" s="43"/>
      <c r="AB249" s="44"/>
      <c r="AC249" s="45"/>
      <c r="AD249" s="114" t="str">
        <f t="shared" si="12"/>
        <v/>
      </c>
    </row>
    <row r="250" spans="15:30" x14ac:dyDescent="0.35">
      <c r="O250" t="str">
        <f t="shared" si="13"/>
        <v/>
      </c>
      <c r="P250" s="18"/>
      <c r="Q250" s="61"/>
      <c r="R250" s="118"/>
      <c r="S250" s="61"/>
      <c r="T250" s="66"/>
      <c r="U250" s="66"/>
      <c r="V250" s="38"/>
      <c r="W250" s="39"/>
      <c r="X250" s="40"/>
      <c r="Y250" s="41"/>
      <c r="Z250" s="42"/>
      <c r="AA250" s="43"/>
      <c r="AB250" s="44"/>
      <c r="AC250" s="45"/>
      <c r="AD250" s="114" t="str">
        <f t="shared" si="12"/>
        <v/>
      </c>
    </row>
    <row r="251" spans="15:30" x14ac:dyDescent="0.35">
      <c r="O251" t="str">
        <f t="shared" si="13"/>
        <v/>
      </c>
      <c r="P251" s="18"/>
      <c r="Q251" s="61"/>
      <c r="R251" s="118"/>
      <c r="S251" s="61"/>
      <c r="T251" s="66"/>
      <c r="U251" s="66"/>
      <c r="V251" s="38"/>
      <c r="W251" s="39"/>
      <c r="X251" s="40"/>
      <c r="Y251" s="41"/>
      <c r="Z251" s="42"/>
      <c r="AA251" s="43"/>
      <c r="AB251" s="44"/>
      <c r="AC251" s="45"/>
      <c r="AD251" s="114" t="str">
        <f t="shared" si="12"/>
        <v/>
      </c>
    </row>
    <row r="252" spans="15:30" x14ac:dyDescent="0.35">
      <c r="O252" t="str">
        <f t="shared" si="13"/>
        <v/>
      </c>
      <c r="P252" s="18"/>
      <c r="Q252" s="61"/>
      <c r="R252" s="118"/>
      <c r="S252" s="61"/>
      <c r="T252" s="66"/>
      <c r="U252" s="66"/>
      <c r="V252" s="38"/>
      <c r="W252" s="39"/>
      <c r="X252" s="40"/>
      <c r="Y252" s="41"/>
      <c r="Z252" s="42"/>
      <c r="AA252" s="43"/>
      <c r="AB252" s="44"/>
      <c r="AC252" s="45"/>
      <c r="AD252" s="114" t="str">
        <f t="shared" si="12"/>
        <v/>
      </c>
    </row>
    <row r="253" spans="15:30" x14ac:dyDescent="0.35">
      <c r="O253" t="str">
        <f t="shared" si="13"/>
        <v/>
      </c>
      <c r="P253" s="18"/>
      <c r="Q253" s="61"/>
      <c r="R253" s="61"/>
      <c r="S253" s="61"/>
      <c r="T253" s="66"/>
      <c r="U253" s="66"/>
      <c r="V253" s="38"/>
      <c r="W253" s="39"/>
      <c r="X253" s="40"/>
      <c r="Y253" s="41"/>
      <c r="Z253" s="42"/>
      <c r="AA253" s="43"/>
      <c r="AB253" s="44"/>
      <c r="AC253" s="45"/>
      <c r="AD253" s="114" t="str">
        <f t="shared" si="12"/>
        <v/>
      </c>
    </row>
    <row r="254" spans="15:30" x14ac:dyDescent="0.35">
      <c r="O254" t="str">
        <f t="shared" si="13"/>
        <v/>
      </c>
      <c r="P254" s="18"/>
      <c r="Q254" s="61"/>
      <c r="R254" s="118"/>
      <c r="S254" s="61"/>
      <c r="T254" s="66"/>
      <c r="U254" s="66"/>
      <c r="V254" s="38"/>
      <c r="W254" s="39"/>
      <c r="X254" s="40"/>
      <c r="Y254" s="41"/>
      <c r="Z254" s="42"/>
      <c r="AA254" s="43"/>
      <c r="AB254" s="44"/>
      <c r="AC254" s="45"/>
      <c r="AD254" s="114" t="str">
        <f t="shared" si="12"/>
        <v/>
      </c>
    </row>
    <row r="255" spans="15:30" x14ac:dyDescent="0.35">
      <c r="O255" t="str">
        <f t="shared" si="13"/>
        <v/>
      </c>
      <c r="P255" s="18"/>
      <c r="Q255" s="61"/>
      <c r="R255" s="118"/>
      <c r="S255" s="61"/>
      <c r="T255" s="66"/>
      <c r="U255" s="66"/>
      <c r="V255" s="38"/>
      <c r="W255" s="39"/>
      <c r="X255" s="40"/>
      <c r="Y255" s="41"/>
      <c r="Z255" s="42"/>
      <c r="AA255" s="43"/>
      <c r="AB255" s="44"/>
      <c r="AC255" s="45"/>
      <c r="AD255" s="114" t="str">
        <f t="shared" si="12"/>
        <v/>
      </c>
    </row>
    <row r="256" spans="15:30" x14ac:dyDescent="0.35">
      <c r="O256" t="str">
        <f t="shared" si="13"/>
        <v/>
      </c>
      <c r="P256" s="18"/>
      <c r="Q256" s="61"/>
      <c r="R256" s="118"/>
      <c r="S256" s="61"/>
      <c r="T256" s="66"/>
      <c r="U256" s="66"/>
      <c r="V256" s="38"/>
      <c r="W256" s="39"/>
      <c r="X256" s="40"/>
      <c r="Y256" s="41"/>
      <c r="Z256" s="42"/>
      <c r="AA256" s="43"/>
      <c r="AB256" s="44"/>
      <c r="AC256" s="45"/>
      <c r="AD256" s="114" t="str">
        <f t="shared" si="12"/>
        <v/>
      </c>
    </row>
    <row r="257" spans="15:30" x14ac:dyDescent="0.35">
      <c r="O257" t="str">
        <f t="shared" si="13"/>
        <v/>
      </c>
      <c r="P257" s="18"/>
      <c r="Q257" s="61"/>
      <c r="R257" s="118"/>
      <c r="S257" s="61"/>
      <c r="T257" s="66"/>
      <c r="U257" s="66"/>
      <c r="V257" s="38"/>
      <c r="W257" s="39"/>
      <c r="X257" s="40"/>
      <c r="Y257" s="41"/>
      <c r="Z257" s="42"/>
      <c r="AA257" s="43"/>
      <c r="AB257" s="44"/>
      <c r="AC257" s="45"/>
      <c r="AD257" s="114" t="str">
        <f t="shared" si="12"/>
        <v/>
      </c>
    </row>
    <row r="258" spans="15:30" x14ac:dyDescent="0.35">
      <c r="O258" t="str">
        <f t="shared" si="13"/>
        <v/>
      </c>
      <c r="P258" s="18"/>
      <c r="Q258" s="61"/>
      <c r="R258" s="118"/>
      <c r="S258" s="61"/>
      <c r="T258" s="66"/>
      <c r="U258" s="66"/>
      <c r="V258" s="38"/>
      <c r="W258" s="39"/>
      <c r="X258" s="40"/>
      <c r="Y258" s="41"/>
      <c r="Z258" s="42"/>
      <c r="AA258" s="43"/>
      <c r="AB258" s="44"/>
      <c r="AC258" s="45"/>
      <c r="AD258" s="114" t="str">
        <f t="shared" ref="AD258:AD321" si="14">IF(P258="","",AC258/6)</f>
        <v/>
      </c>
    </row>
    <row r="259" spans="15:30" x14ac:dyDescent="0.35">
      <c r="O259" t="str">
        <f t="shared" si="13"/>
        <v/>
      </c>
      <c r="P259" s="18"/>
      <c r="Q259" s="61"/>
      <c r="R259" s="118"/>
      <c r="S259" s="61"/>
      <c r="T259" s="66"/>
      <c r="U259" s="66"/>
      <c r="V259" s="38"/>
      <c r="W259" s="39"/>
      <c r="X259" s="40"/>
      <c r="Y259" s="41"/>
      <c r="Z259" s="42"/>
      <c r="AA259" s="43"/>
      <c r="AB259" s="44"/>
      <c r="AC259" s="45"/>
      <c r="AD259" s="114" t="str">
        <f t="shared" si="14"/>
        <v/>
      </c>
    </row>
    <row r="260" spans="15:30" x14ac:dyDescent="0.35">
      <c r="O260" t="str">
        <f t="shared" ref="O260:O323" si="15">IF(P260="","",O259+1)</f>
        <v/>
      </c>
      <c r="P260" s="18"/>
      <c r="Q260" s="61"/>
      <c r="R260" s="61"/>
      <c r="S260" s="61"/>
      <c r="T260" s="66"/>
      <c r="U260" s="66"/>
      <c r="V260" s="38"/>
      <c r="W260" s="39"/>
      <c r="X260" s="40"/>
      <c r="Y260" s="41"/>
      <c r="Z260" s="42"/>
      <c r="AA260" s="43"/>
      <c r="AB260" s="44"/>
      <c r="AC260" s="45"/>
      <c r="AD260" s="114" t="str">
        <f t="shared" si="14"/>
        <v/>
      </c>
    </row>
    <row r="261" spans="15:30" x14ac:dyDescent="0.35">
      <c r="O261" t="str">
        <f t="shared" si="15"/>
        <v/>
      </c>
      <c r="P261" s="18"/>
      <c r="Q261" s="61"/>
      <c r="R261" s="118"/>
      <c r="S261" s="61"/>
      <c r="T261" s="66"/>
      <c r="U261" s="66"/>
      <c r="V261" s="38"/>
      <c r="W261" s="39"/>
      <c r="X261" s="40"/>
      <c r="Y261" s="41"/>
      <c r="Z261" s="42"/>
      <c r="AA261" s="43"/>
      <c r="AB261" s="44"/>
      <c r="AC261" s="45"/>
      <c r="AD261" s="114" t="str">
        <f t="shared" si="14"/>
        <v/>
      </c>
    </row>
    <row r="262" spans="15:30" x14ac:dyDescent="0.35">
      <c r="O262" t="str">
        <f t="shared" si="15"/>
        <v/>
      </c>
      <c r="P262" s="18"/>
      <c r="Q262" s="61"/>
      <c r="R262" s="61"/>
      <c r="S262" s="61"/>
      <c r="T262" s="66"/>
      <c r="U262" s="66"/>
      <c r="V262" s="38"/>
      <c r="W262" s="39"/>
      <c r="X262" s="40"/>
      <c r="Y262" s="41"/>
      <c r="Z262" s="42"/>
      <c r="AA262" s="43"/>
      <c r="AB262" s="44"/>
      <c r="AC262" s="45"/>
      <c r="AD262" s="114" t="str">
        <f t="shared" si="14"/>
        <v/>
      </c>
    </row>
    <row r="263" spans="15:30" x14ac:dyDescent="0.35">
      <c r="O263" t="str">
        <f t="shared" si="15"/>
        <v/>
      </c>
      <c r="P263" s="18"/>
      <c r="Q263" s="61"/>
      <c r="R263" s="118"/>
      <c r="S263" s="61"/>
      <c r="T263" s="66"/>
      <c r="U263" s="66"/>
      <c r="V263" s="38"/>
      <c r="W263" s="39"/>
      <c r="X263" s="40"/>
      <c r="Y263" s="41"/>
      <c r="Z263" s="42"/>
      <c r="AA263" s="43"/>
      <c r="AB263" s="44"/>
      <c r="AC263" s="45"/>
      <c r="AD263" s="114" t="str">
        <f t="shared" si="14"/>
        <v/>
      </c>
    </row>
    <row r="264" spans="15:30" x14ac:dyDescent="0.35">
      <c r="O264" t="str">
        <f t="shared" si="15"/>
        <v/>
      </c>
      <c r="P264" s="18"/>
      <c r="Q264" s="61"/>
      <c r="R264" s="61"/>
      <c r="S264" s="61"/>
      <c r="T264" s="66"/>
      <c r="U264" s="66"/>
      <c r="V264" s="38"/>
      <c r="W264" s="39"/>
      <c r="X264" s="40"/>
      <c r="Y264" s="41"/>
      <c r="Z264" s="42"/>
      <c r="AA264" s="43"/>
      <c r="AB264" s="44"/>
      <c r="AC264" s="45"/>
      <c r="AD264" s="114" t="str">
        <f t="shared" si="14"/>
        <v/>
      </c>
    </row>
    <row r="265" spans="15:30" x14ac:dyDescent="0.35">
      <c r="O265" t="str">
        <f t="shared" si="15"/>
        <v/>
      </c>
      <c r="P265" s="18"/>
      <c r="Q265" s="61"/>
      <c r="R265" s="118"/>
      <c r="S265" s="61"/>
      <c r="T265" s="66"/>
      <c r="U265" s="66"/>
      <c r="V265" s="38"/>
      <c r="W265" s="39"/>
      <c r="X265" s="40"/>
      <c r="Y265" s="41"/>
      <c r="Z265" s="42"/>
      <c r="AA265" s="43"/>
      <c r="AB265" s="44"/>
      <c r="AC265" s="45"/>
      <c r="AD265" s="114" t="str">
        <f t="shared" si="14"/>
        <v/>
      </c>
    </row>
    <row r="266" spans="15:30" x14ac:dyDescent="0.35">
      <c r="O266" t="str">
        <f t="shared" si="15"/>
        <v/>
      </c>
      <c r="P266" s="18"/>
      <c r="Q266" s="61"/>
      <c r="R266" s="118"/>
      <c r="S266" s="61"/>
      <c r="T266" s="66"/>
      <c r="U266" s="66"/>
      <c r="V266" s="38"/>
      <c r="W266" s="39"/>
      <c r="X266" s="40"/>
      <c r="Y266" s="41"/>
      <c r="Z266" s="42"/>
      <c r="AA266" s="43"/>
      <c r="AB266" s="44"/>
      <c r="AC266" s="45"/>
      <c r="AD266" s="114" t="str">
        <f t="shared" si="14"/>
        <v/>
      </c>
    </row>
    <row r="267" spans="15:30" x14ac:dyDescent="0.35">
      <c r="O267" t="str">
        <f t="shared" si="15"/>
        <v/>
      </c>
      <c r="P267" s="18"/>
      <c r="Q267" s="61"/>
      <c r="R267" s="118"/>
      <c r="S267" s="61"/>
      <c r="T267" s="66"/>
      <c r="U267" s="66"/>
      <c r="V267" s="38"/>
      <c r="W267" s="39"/>
      <c r="X267" s="40"/>
      <c r="Y267" s="41"/>
      <c r="Z267" s="42"/>
      <c r="AA267" s="43"/>
      <c r="AB267" s="44"/>
      <c r="AC267" s="45"/>
      <c r="AD267" s="114" t="str">
        <f t="shared" si="14"/>
        <v/>
      </c>
    </row>
    <row r="268" spans="15:30" x14ac:dyDescent="0.35">
      <c r="O268" t="str">
        <f t="shared" si="15"/>
        <v/>
      </c>
      <c r="P268" s="18"/>
      <c r="Q268" s="61"/>
      <c r="R268" s="118"/>
      <c r="S268" s="61"/>
      <c r="T268" s="66"/>
      <c r="U268" s="66"/>
      <c r="V268" s="38"/>
      <c r="W268" s="39"/>
      <c r="X268" s="40"/>
      <c r="Y268" s="41"/>
      <c r="Z268" s="42"/>
      <c r="AA268" s="43"/>
      <c r="AB268" s="44"/>
      <c r="AC268" s="45"/>
      <c r="AD268" s="114" t="str">
        <f t="shared" si="14"/>
        <v/>
      </c>
    </row>
    <row r="269" spans="15:30" x14ac:dyDescent="0.35">
      <c r="O269" t="str">
        <f t="shared" si="15"/>
        <v/>
      </c>
      <c r="P269" s="18"/>
      <c r="Q269" s="61"/>
      <c r="R269" s="118"/>
      <c r="S269" s="61"/>
      <c r="T269" s="66"/>
      <c r="U269" s="66"/>
      <c r="V269" s="38"/>
      <c r="W269" s="39"/>
      <c r="X269" s="40"/>
      <c r="Y269" s="41"/>
      <c r="Z269" s="42"/>
      <c r="AA269" s="43"/>
      <c r="AB269" s="44"/>
      <c r="AC269" s="45"/>
      <c r="AD269" s="114" t="str">
        <f t="shared" si="14"/>
        <v/>
      </c>
    </row>
    <row r="270" spans="15:30" x14ac:dyDescent="0.35">
      <c r="O270" t="str">
        <f t="shared" si="15"/>
        <v/>
      </c>
      <c r="P270" s="18"/>
      <c r="Q270" s="61"/>
      <c r="R270" s="61"/>
      <c r="S270" s="61"/>
      <c r="T270" s="66"/>
      <c r="U270" s="66"/>
      <c r="V270" s="38"/>
      <c r="W270" s="39"/>
      <c r="X270" s="40"/>
      <c r="Y270" s="41"/>
      <c r="Z270" s="42"/>
      <c r="AA270" s="43"/>
      <c r="AB270" s="44"/>
      <c r="AC270" s="45"/>
      <c r="AD270" s="114" t="str">
        <f t="shared" si="14"/>
        <v/>
      </c>
    </row>
    <row r="271" spans="15:30" x14ac:dyDescent="0.35">
      <c r="O271" t="str">
        <f t="shared" si="15"/>
        <v/>
      </c>
      <c r="P271" s="18"/>
      <c r="Q271" s="61"/>
      <c r="R271" s="118"/>
      <c r="S271" s="61"/>
      <c r="T271" s="66"/>
      <c r="U271" s="66"/>
      <c r="V271" s="38"/>
      <c r="W271" s="39"/>
      <c r="X271" s="40"/>
      <c r="Y271" s="41"/>
      <c r="Z271" s="42"/>
      <c r="AA271" s="43"/>
      <c r="AB271" s="44"/>
      <c r="AC271" s="45"/>
      <c r="AD271" s="114" t="str">
        <f t="shared" si="14"/>
        <v/>
      </c>
    </row>
    <row r="272" spans="15:30" x14ac:dyDescent="0.35">
      <c r="O272" t="str">
        <f t="shared" si="15"/>
        <v/>
      </c>
      <c r="P272" s="18"/>
      <c r="Q272" s="61"/>
      <c r="R272" s="118"/>
      <c r="S272" s="61"/>
      <c r="T272" s="66"/>
      <c r="U272" s="66"/>
      <c r="V272" s="38"/>
      <c r="W272" s="39"/>
      <c r="X272" s="40"/>
      <c r="Y272" s="41"/>
      <c r="Z272" s="42"/>
      <c r="AA272" s="43"/>
      <c r="AB272" s="44"/>
      <c r="AC272" s="45"/>
      <c r="AD272" s="114" t="str">
        <f t="shared" si="14"/>
        <v/>
      </c>
    </row>
    <row r="273" spans="15:30" x14ac:dyDescent="0.35">
      <c r="O273" t="str">
        <f t="shared" si="15"/>
        <v/>
      </c>
      <c r="P273" s="18"/>
      <c r="Q273" s="61"/>
      <c r="R273" s="61"/>
      <c r="S273" s="61"/>
      <c r="T273" s="66"/>
      <c r="U273" s="66"/>
      <c r="V273" s="38"/>
      <c r="W273" s="39"/>
      <c r="X273" s="40"/>
      <c r="Y273" s="41"/>
      <c r="Z273" s="42"/>
      <c r="AA273" s="43"/>
      <c r="AB273" s="44"/>
      <c r="AC273" s="45"/>
      <c r="AD273" s="114" t="str">
        <f t="shared" si="14"/>
        <v/>
      </c>
    </row>
    <row r="274" spans="15:30" x14ac:dyDescent="0.35">
      <c r="O274" t="str">
        <f t="shared" si="15"/>
        <v/>
      </c>
      <c r="P274" s="18"/>
      <c r="Q274" s="61"/>
      <c r="R274" s="61"/>
      <c r="S274" s="61"/>
      <c r="T274" s="66"/>
      <c r="U274" s="66"/>
      <c r="V274" s="38"/>
      <c r="W274" s="39"/>
      <c r="X274" s="40"/>
      <c r="Y274" s="41"/>
      <c r="Z274" s="42"/>
      <c r="AA274" s="43"/>
      <c r="AB274" s="44"/>
      <c r="AC274" s="45"/>
      <c r="AD274" s="114" t="str">
        <f t="shared" si="14"/>
        <v/>
      </c>
    </row>
    <row r="275" spans="15:30" x14ac:dyDescent="0.35">
      <c r="O275" t="str">
        <f t="shared" si="15"/>
        <v/>
      </c>
      <c r="P275" s="18"/>
      <c r="Q275" s="61"/>
      <c r="R275" s="61"/>
      <c r="S275" s="61"/>
      <c r="T275" s="66"/>
      <c r="U275" s="66"/>
      <c r="V275" s="38"/>
      <c r="W275" s="39"/>
      <c r="X275" s="40"/>
      <c r="Y275" s="41"/>
      <c r="Z275" s="42"/>
      <c r="AA275" s="43"/>
      <c r="AB275" s="44"/>
      <c r="AC275" s="45"/>
      <c r="AD275" s="114" t="str">
        <f t="shared" si="14"/>
        <v/>
      </c>
    </row>
    <row r="276" spans="15:30" x14ac:dyDescent="0.35">
      <c r="O276" t="str">
        <f t="shared" si="15"/>
        <v/>
      </c>
      <c r="P276" s="18"/>
      <c r="Q276" s="61"/>
      <c r="R276" s="118"/>
      <c r="S276" s="61"/>
      <c r="T276" s="66"/>
      <c r="U276" s="66"/>
      <c r="V276" s="38"/>
      <c r="W276" s="39"/>
      <c r="X276" s="40"/>
      <c r="Y276" s="41"/>
      <c r="Z276" s="42"/>
      <c r="AA276" s="43"/>
      <c r="AB276" s="44"/>
      <c r="AC276" s="45"/>
      <c r="AD276" s="114" t="str">
        <f t="shared" si="14"/>
        <v/>
      </c>
    </row>
    <row r="277" spans="15:30" x14ac:dyDescent="0.35">
      <c r="O277" t="str">
        <f t="shared" si="15"/>
        <v/>
      </c>
      <c r="P277" s="18"/>
      <c r="Q277" s="61"/>
      <c r="R277" s="61"/>
      <c r="S277" s="61"/>
      <c r="T277" s="66"/>
      <c r="U277" s="66"/>
      <c r="V277" s="38"/>
      <c r="W277" s="39"/>
      <c r="X277" s="40"/>
      <c r="Y277" s="41"/>
      <c r="Z277" s="42"/>
      <c r="AA277" s="43"/>
      <c r="AB277" s="44"/>
      <c r="AC277" s="45"/>
      <c r="AD277" s="114" t="str">
        <f t="shared" si="14"/>
        <v/>
      </c>
    </row>
    <row r="278" spans="15:30" x14ac:dyDescent="0.35">
      <c r="O278" t="str">
        <f t="shared" si="15"/>
        <v/>
      </c>
      <c r="P278" s="18"/>
      <c r="Q278" s="61"/>
      <c r="R278" s="118"/>
      <c r="S278" s="61"/>
      <c r="T278" s="66"/>
      <c r="U278" s="66"/>
      <c r="V278" s="38"/>
      <c r="W278" s="39"/>
      <c r="X278" s="40"/>
      <c r="Y278" s="41"/>
      <c r="Z278" s="42"/>
      <c r="AA278" s="43"/>
      <c r="AB278" s="44"/>
      <c r="AC278" s="45"/>
      <c r="AD278" s="114" t="str">
        <f t="shared" si="14"/>
        <v/>
      </c>
    </row>
    <row r="279" spans="15:30" x14ac:dyDescent="0.35">
      <c r="O279" t="str">
        <f t="shared" si="15"/>
        <v/>
      </c>
      <c r="P279" s="18"/>
      <c r="Q279" s="61"/>
      <c r="R279" s="118"/>
      <c r="S279" s="61"/>
      <c r="T279" s="66"/>
      <c r="U279" s="66"/>
      <c r="V279" s="38"/>
      <c r="W279" s="39"/>
      <c r="X279" s="40"/>
      <c r="Y279" s="41"/>
      <c r="Z279" s="42"/>
      <c r="AA279" s="43"/>
      <c r="AB279" s="44"/>
      <c r="AC279" s="45"/>
      <c r="AD279" s="114" t="str">
        <f t="shared" si="14"/>
        <v/>
      </c>
    </row>
    <row r="280" spans="15:30" x14ac:dyDescent="0.35">
      <c r="O280" t="str">
        <f t="shared" si="15"/>
        <v/>
      </c>
      <c r="P280" s="18"/>
      <c r="Q280" s="61"/>
      <c r="R280" s="118"/>
      <c r="S280" s="61"/>
      <c r="T280" s="66"/>
      <c r="U280" s="66"/>
      <c r="V280" s="38"/>
      <c r="W280" s="39"/>
      <c r="X280" s="40"/>
      <c r="Y280" s="41"/>
      <c r="Z280" s="42"/>
      <c r="AA280" s="43"/>
      <c r="AB280" s="44"/>
      <c r="AC280" s="45"/>
      <c r="AD280" s="114" t="str">
        <f t="shared" si="14"/>
        <v/>
      </c>
    </row>
    <row r="281" spans="15:30" x14ac:dyDescent="0.35">
      <c r="O281" t="str">
        <f t="shared" si="15"/>
        <v/>
      </c>
      <c r="P281" s="18"/>
      <c r="Q281" s="61"/>
      <c r="R281" s="118"/>
      <c r="S281" s="61"/>
      <c r="T281" s="66"/>
      <c r="U281" s="66"/>
      <c r="V281" s="38"/>
      <c r="W281" s="39"/>
      <c r="X281" s="40"/>
      <c r="Y281" s="41"/>
      <c r="Z281" s="42"/>
      <c r="AA281" s="43"/>
      <c r="AB281" s="44"/>
      <c r="AC281" s="45"/>
      <c r="AD281" s="114" t="str">
        <f t="shared" si="14"/>
        <v/>
      </c>
    </row>
    <row r="282" spans="15:30" x14ac:dyDescent="0.35">
      <c r="O282" t="str">
        <f t="shared" si="15"/>
        <v/>
      </c>
      <c r="P282" s="18"/>
      <c r="Q282" s="61"/>
      <c r="R282" s="61"/>
      <c r="S282" s="61"/>
      <c r="T282" s="66"/>
      <c r="U282" s="66"/>
      <c r="V282" s="38"/>
      <c r="W282" s="39"/>
      <c r="X282" s="40"/>
      <c r="Y282" s="41"/>
      <c r="Z282" s="42"/>
      <c r="AA282" s="43"/>
      <c r="AB282" s="44"/>
      <c r="AC282" s="45"/>
      <c r="AD282" s="114" t="str">
        <f t="shared" si="14"/>
        <v/>
      </c>
    </row>
    <row r="283" spans="15:30" x14ac:dyDescent="0.35">
      <c r="O283" t="str">
        <f t="shared" si="15"/>
        <v/>
      </c>
      <c r="P283" s="18"/>
      <c r="Q283" s="61"/>
      <c r="R283" s="61"/>
      <c r="S283" s="61"/>
      <c r="T283" s="66"/>
      <c r="U283" s="66"/>
      <c r="V283" s="38"/>
      <c r="W283" s="39"/>
      <c r="X283" s="40"/>
      <c r="Y283" s="41"/>
      <c r="Z283" s="42"/>
      <c r="AA283" s="43"/>
      <c r="AB283" s="44"/>
      <c r="AC283" s="45"/>
      <c r="AD283" s="114" t="str">
        <f t="shared" si="14"/>
        <v/>
      </c>
    </row>
    <row r="284" spans="15:30" x14ac:dyDescent="0.35">
      <c r="O284" t="str">
        <f t="shared" si="15"/>
        <v/>
      </c>
      <c r="P284" s="18"/>
      <c r="Q284" s="61"/>
      <c r="R284" s="118"/>
      <c r="S284" s="61"/>
      <c r="T284" s="66"/>
      <c r="U284" s="66"/>
      <c r="V284" s="38"/>
      <c r="W284" s="39"/>
      <c r="X284" s="40"/>
      <c r="Y284" s="41"/>
      <c r="Z284" s="42"/>
      <c r="AA284" s="43"/>
      <c r="AB284" s="44"/>
      <c r="AC284" s="45"/>
      <c r="AD284" s="114" t="str">
        <f t="shared" si="14"/>
        <v/>
      </c>
    </row>
    <row r="285" spans="15:30" x14ac:dyDescent="0.35">
      <c r="O285" t="str">
        <f t="shared" si="15"/>
        <v/>
      </c>
      <c r="P285" s="18"/>
      <c r="Q285" s="61"/>
      <c r="R285" s="61"/>
      <c r="S285" s="61"/>
      <c r="T285" s="66"/>
      <c r="U285" s="66"/>
      <c r="V285" s="38"/>
      <c r="W285" s="39"/>
      <c r="X285" s="40"/>
      <c r="Y285" s="41"/>
      <c r="Z285" s="42"/>
      <c r="AA285" s="43"/>
      <c r="AB285" s="44"/>
      <c r="AC285" s="45"/>
      <c r="AD285" s="114" t="str">
        <f t="shared" si="14"/>
        <v/>
      </c>
    </row>
    <row r="286" spans="15:30" x14ac:dyDescent="0.35">
      <c r="O286" t="str">
        <f t="shared" si="15"/>
        <v/>
      </c>
      <c r="P286" s="18"/>
      <c r="Q286" s="61"/>
      <c r="R286" s="61"/>
      <c r="S286" s="61"/>
      <c r="T286" s="66"/>
      <c r="U286" s="66"/>
      <c r="V286" s="38"/>
      <c r="W286" s="39"/>
      <c r="X286" s="40"/>
      <c r="Y286" s="41"/>
      <c r="Z286" s="42"/>
      <c r="AA286" s="43"/>
      <c r="AB286" s="44"/>
      <c r="AC286" s="45"/>
      <c r="AD286" s="114" t="str">
        <f t="shared" si="14"/>
        <v/>
      </c>
    </row>
    <row r="287" spans="15:30" x14ac:dyDescent="0.35">
      <c r="O287" t="str">
        <f t="shared" si="15"/>
        <v/>
      </c>
      <c r="P287" s="62"/>
      <c r="Q287" s="118"/>
      <c r="R287" s="118"/>
      <c r="S287" s="61"/>
      <c r="T287" s="66"/>
      <c r="U287" s="66"/>
      <c r="V287" s="38"/>
      <c r="W287" s="39"/>
      <c r="X287" s="40"/>
      <c r="Y287" s="41"/>
      <c r="Z287" s="42"/>
      <c r="AA287" s="43"/>
      <c r="AB287" s="44"/>
      <c r="AC287" s="45"/>
      <c r="AD287" s="114" t="str">
        <f t="shared" si="14"/>
        <v/>
      </c>
    </row>
    <row r="288" spans="15:30" x14ac:dyDescent="0.35">
      <c r="O288" t="str">
        <f t="shared" si="15"/>
        <v/>
      </c>
      <c r="P288" s="18"/>
      <c r="Q288" s="61"/>
      <c r="R288" s="61"/>
      <c r="S288" s="61"/>
      <c r="T288" s="66"/>
      <c r="U288" s="66"/>
      <c r="V288" s="38"/>
      <c r="W288" s="39"/>
      <c r="X288" s="40"/>
      <c r="Y288" s="41"/>
      <c r="Z288" s="42"/>
      <c r="AA288" s="43"/>
      <c r="AB288" s="44"/>
      <c r="AC288" s="45"/>
      <c r="AD288" s="114" t="str">
        <f t="shared" si="14"/>
        <v/>
      </c>
    </row>
    <row r="289" spans="15:30" x14ac:dyDescent="0.35">
      <c r="O289" t="str">
        <f t="shared" si="15"/>
        <v/>
      </c>
      <c r="P289" s="18"/>
      <c r="Q289" s="61"/>
      <c r="R289" s="61"/>
      <c r="S289" s="61"/>
      <c r="T289" s="66"/>
      <c r="U289" s="66"/>
      <c r="V289" s="38"/>
      <c r="W289" s="39"/>
      <c r="X289" s="40"/>
      <c r="Y289" s="41"/>
      <c r="Z289" s="42"/>
      <c r="AA289" s="43"/>
      <c r="AB289" s="44"/>
      <c r="AC289" s="45"/>
      <c r="AD289" s="114" t="str">
        <f t="shared" si="14"/>
        <v/>
      </c>
    </row>
    <row r="290" spans="15:30" x14ac:dyDescent="0.35">
      <c r="O290" t="str">
        <f t="shared" si="15"/>
        <v/>
      </c>
      <c r="P290" s="18"/>
      <c r="Q290" s="61"/>
      <c r="R290" s="61"/>
      <c r="S290" s="61"/>
      <c r="T290" s="66"/>
      <c r="U290" s="66"/>
      <c r="V290" s="38"/>
      <c r="W290" s="39"/>
      <c r="X290" s="40"/>
      <c r="Y290" s="41"/>
      <c r="Z290" s="42"/>
      <c r="AA290" s="43"/>
      <c r="AB290" s="44"/>
      <c r="AC290" s="45"/>
      <c r="AD290" s="114" t="str">
        <f t="shared" si="14"/>
        <v/>
      </c>
    </row>
    <row r="291" spans="15:30" x14ac:dyDescent="0.35">
      <c r="O291" t="str">
        <f t="shared" si="15"/>
        <v/>
      </c>
      <c r="P291" s="62"/>
      <c r="Q291" s="118"/>
      <c r="R291" s="61"/>
      <c r="S291" s="61"/>
      <c r="T291" s="66"/>
      <c r="U291" s="66"/>
      <c r="V291" s="38"/>
      <c r="W291" s="39"/>
      <c r="X291" s="40"/>
      <c r="Y291" s="41"/>
      <c r="Z291" s="42"/>
      <c r="AA291" s="43"/>
      <c r="AB291" s="44"/>
      <c r="AC291" s="45"/>
      <c r="AD291" s="114" t="str">
        <f t="shared" si="14"/>
        <v/>
      </c>
    </row>
    <row r="292" spans="15:30" x14ac:dyDescent="0.35">
      <c r="O292" t="str">
        <f t="shared" si="15"/>
        <v/>
      </c>
      <c r="P292" s="18"/>
      <c r="Q292" s="61"/>
      <c r="R292" s="118"/>
      <c r="S292" s="61"/>
      <c r="T292" s="66"/>
      <c r="U292" s="66"/>
      <c r="V292" s="38"/>
      <c r="W292" s="39"/>
      <c r="X292" s="40"/>
      <c r="Y292" s="41"/>
      <c r="Z292" s="42"/>
      <c r="AA292" s="43"/>
      <c r="AB292" s="44"/>
      <c r="AC292" s="45"/>
      <c r="AD292" s="114" t="str">
        <f t="shared" si="14"/>
        <v/>
      </c>
    </row>
    <row r="293" spans="15:30" x14ac:dyDescent="0.35">
      <c r="O293" t="str">
        <f t="shared" si="15"/>
        <v/>
      </c>
      <c r="P293" s="18"/>
      <c r="Q293" s="61"/>
      <c r="R293" s="61"/>
      <c r="S293" s="61"/>
      <c r="T293" s="66"/>
      <c r="U293" s="66"/>
      <c r="V293" s="38"/>
      <c r="W293" s="39"/>
      <c r="X293" s="40"/>
      <c r="Y293" s="41"/>
      <c r="Z293" s="42"/>
      <c r="AA293" s="43"/>
      <c r="AB293" s="44"/>
      <c r="AC293" s="45"/>
      <c r="AD293" s="114" t="str">
        <f t="shared" si="14"/>
        <v/>
      </c>
    </row>
    <row r="294" spans="15:30" x14ac:dyDescent="0.35">
      <c r="O294" t="str">
        <f t="shared" si="15"/>
        <v/>
      </c>
      <c r="P294" s="18"/>
      <c r="Q294" s="61"/>
      <c r="R294" s="118"/>
      <c r="S294" s="61"/>
      <c r="T294" s="66"/>
      <c r="U294" s="66"/>
      <c r="V294" s="38"/>
      <c r="W294" s="39"/>
      <c r="X294" s="40"/>
      <c r="Y294" s="41"/>
      <c r="Z294" s="42"/>
      <c r="AA294" s="43"/>
      <c r="AB294" s="44"/>
      <c r="AC294" s="45"/>
      <c r="AD294" s="114" t="str">
        <f t="shared" si="14"/>
        <v/>
      </c>
    </row>
    <row r="295" spans="15:30" x14ac:dyDescent="0.35">
      <c r="O295" t="str">
        <f t="shared" si="15"/>
        <v/>
      </c>
      <c r="P295" s="18"/>
      <c r="Q295" s="61"/>
      <c r="R295" s="61"/>
      <c r="S295" s="61"/>
      <c r="T295" s="66"/>
      <c r="U295" s="66"/>
      <c r="V295" s="38"/>
      <c r="W295" s="39"/>
      <c r="X295" s="40"/>
      <c r="Y295" s="41"/>
      <c r="Z295" s="42"/>
      <c r="AA295" s="43"/>
      <c r="AB295" s="44"/>
      <c r="AC295" s="45"/>
      <c r="AD295" s="114" t="str">
        <f t="shared" si="14"/>
        <v/>
      </c>
    </row>
    <row r="296" spans="15:30" x14ac:dyDescent="0.35">
      <c r="O296" t="str">
        <f t="shared" si="15"/>
        <v/>
      </c>
      <c r="P296" s="18"/>
      <c r="Q296" s="61"/>
      <c r="R296" s="61"/>
      <c r="S296" s="61"/>
      <c r="T296" s="66"/>
      <c r="U296" s="66"/>
      <c r="V296" s="38"/>
      <c r="W296" s="39"/>
      <c r="X296" s="40"/>
      <c r="Y296" s="41"/>
      <c r="Z296" s="42"/>
      <c r="AA296" s="43"/>
      <c r="AB296" s="44"/>
      <c r="AC296" s="45"/>
      <c r="AD296" s="114" t="str">
        <f t="shared" si="14"/>
        <v/>
      </c>
    </row>
    <row r="297" spans="15:30" x14ac:dyDescent="0.35">
      <c r="O297" t="str">
        <f t="shared" si="15"/>
        <v/>
      </c>
      <c r="P297" s="18"/>
      <c r="Q297" s="61"/>
      <c r="R297" s="61"/>
      <c r="S297" s="61"/>
      <c r="T297" s="66"/>
      <c r="U297" s="66"/>
      <c r="V297" s="38"/>
      <c r="W297" s="39"/>
      <c r="X297" s="40"/>
      <c r="Y297" s="41"/>
      <c r="Z297" s="42"/>
      <c r="AA297" s="43"/>
      <c r="AB297" s="44"/>
      <c r="AC297" s="45"/>
      <c r="AD297" s="114" t="str">
        <f t="shared" si="14"/>
        <v/>
      </c>
    </row>
    <row r="298" spans="15:30" x14ac:dyDescent="0.35">
      <c r="O298" t="str">
        <f t="shared" si="15"/>
        <v/>
      </c>
      <c r="P298" s="18"/>
      <c r="Q298" s="61"/>
      <c r="R298" s="118"/>
      <c r="S298" s="61"/>
      <c r="T298" s="66"/>
      <c r="U298" s="66"/>
      <c r="V298" s="38"/>
      <c r="W298" s="39"/>
      <c r="X298" s="40"/>
      <c r="Y298" s="41"/>
      <c r="Z298" s="42"/>
      <c r="AA298" s="43"/>
      <c r="AB298" s="44"/>
      <c r="AC298" s="45"/>
      <c r="AD298" s="114" t="str">
        <f t="shared" si="14"/>
        <v/>
      </c>
    </row>
    <row r="299" spans="15:30" x14ac:dyDescent="0.35">
      <c r="O299" t="str">
        <f t="shared" si="15"/>
        <v/>
      </c>
      <c r="P299" s="18"/>
      <c r="Q299" s="61"/>
      <c r="R299" s="118"/>
      <c r="S299" s="61"/>
      <c r="T299" s="66"/>
      <c r="U299" s="66"/>
      <c r="V299" s="38"/>
      <c r="W299" s="39"/>
      <c r="X299" s="40"/>
      <c r="Y299" s="41"/>
      <c r="Z299" s="42"/>
      <c r="AA299" s="43"/>
      <c r="AB299" s="44"/>
      <c r="AC299" s="45"/>
      <c r="AD299" s="114" t="str">
        <f t="shared" si="14"/>
        <v/>
      </c>
    </row>
    <row r="300" spans="15:30" x14ac:dyDescent="0.35">
      <c r="O300" t="str">
        <f t="shared" si="15"/>
        <v/>
      </c>
      <c r="P300" s="18"/>
      <c r="Q300" s="61"/>
      <c r="R300" s="118"/>
      <c r="S300" s="61"/>
      <c r="T300" s="66"/>
      <c r="U300" s="66"/>
      <c r="V300" s="38"/>
      <c r="W300" s="39"/>
      <c r="X300" s="40"/>
      <c r="Y300" s="41"/>
      <c r="Z300" s="42"/>
      <c r="AA300" s="43"/>
      <c r="AB300" s="44"/>
      <c r="AC300" s="45"/>
      <c r="AD300" s="114" t="str">
        <f t="shared" si="14"/>
        <v/>
      </c>
    </row>
    <row r="301" spans="15:30" x14ac:dyDescent="0.35">
      <c r="O301" t="str">
        <f t="shared" si="15"/>
        <v/>
      </c>
      <c r="P301" s="18"/>
      <c r="Q301" s="61"/>
      <c r="R301" s="118"/>
      <c r="S301" s="61"/>
      <c r="T301" s="66"/>
      <c r="U301" s="66"/>
      <c r="V301" s="38"/>
      <c r="W301" s="39"/>
      <c r="X301" s="40"/>
      <c r="Y301" s="41"/>
      <c r="Z301" s="42"/>
      <c r="AA301" s="43"/>
      <c r="AB301" s="44"/>
      <c r="AC301" s="45"/>
      <c r="AD301" s="114" t="str">
        <f t="shared" si="14"/>
        <v/>
      </c>
    </row>
    <row r="302" spans="15:30" x14ac:dyDescent="0.35">
      <c r="O302" t="str">
        <f t="shared" si="15"/>
        <v/>
      </c>
      <c r="P302" s="62"/>
      <c r="Q302" s="118"/>
      <c r="R302" s="118"/>
      <c r="S302" s="61"/>
      <c r="T302" s="66"/>
      <c r="U302" s="66"/>
      <c r="V302" s="38"/>
      <c r="W302" s="39"/>
      <c r="X302" s="40"/>
      <c r="Y302" s="41"/>
      <c r="Z302" s="42"/>
      <c r="AA302" s="43"/>
      <c r="AB302" s="44"/>
      <c r="AC302" s="45"/>
      <c r="AD302" s="114" t="str">
        <f t="shared" si="14"/>
        <v/>
      </c>
    </row>
    <row r="303" spans="15:30" x14ac:dyDescent="0.35">
      <c r="O303" t="str">
        <f t="shared" si="15"/>
        <v/>
      </c>
      <c r="P303" s="18"/>
      <c r="Q303" s="61"/>
      <c r="R303" s="118"/>
      <c r="S303" s="61"/>
      <c r="T303" s="66"/>
      <c r="U303" s="66"/>
      <c r="V303" s="38"/>
      <c r="W303" s="39"/>
      <c r="X303" s="40"/>
      <c r="Y303" s="41"/>
      <c r="Z303" s="42"/>
      <c r="AA303" s="43"/>
      <c r="AB303" s="44"/>
      <c r="AC303" s="45"/>
      <c r="AD303" s="114" t="str">
        <f t="shared" si="14"/>
        <v/>
      </c>
    </row>
    <row r="304" spans="15:30" x14ac:dyDescent="0.35">
      <c r="O304" t="str">
        <f t="shared" si="15"/>
        <v/>
      </c>
      <c r="P304" s="18"/>
      <c r="Q304" s="61"/>
      <c r="R304" s="61"/>
      <c r="S304" s="61"/>
      <c r="T304" s="66"/>
      <c r="U304" s="66"/>
      <c r="V304" s="38"/>
      <c r="W304" s="39"/>
      <c r="X304" s="40"/>
      <c r="Y304" s="41"/>
      <c r="Z304" s="42"/>
      <c r="AA304" s="43"/>
      <c r="AB304" s="44"/>
      <c r="AC304" s="45"/>
      <c r="AD304" s="114" t="str">
        <f t="shared" si="14"/>
        <v/>
      </c>
    </row>
    <row r="305" spans="15:30" x14ac:dyDescent="0.35">
      <c r="O305" t="str">
        <f t="shared" si="15"/>
        <v/>
      </c>
      <c r="P305" s="18"/>
      <c r="Q305" s="61"/>
      <c r="R305" s="61"/>
      <c r="S305" s="61"/>
      <c r="T305" s="66"/>
      <c r="U305" s="66"/>
      <c r="V305" s="38"/>
      <c r="W305" s="39"/>
      <c r="X305" s="40"/>
      <c r="Y305" s="41"/>
      <c r="Z305" s="42"/>
      <c r="AA305" s="43"/>
      <c r="AB305" s="44"/>
      <c r="AC305" s="45"/>
      <c r="AD305" s="114" t="str">
        <f t="shared" si="14"/>
        <v/>
      </c>
    </row>
    <row r="306" spans="15:30" x14ac:dyDescent="0.35">
      <c r="O306" t="str">
        <f t="shared" si="15"/>
        <v/>
      </c>
      <c r="P306" s="18"/>
      <c r="Q306" s="61"/>
      <c r="R306" s="118"/>
      <c r="S306" s="61"/>
      <c r="T306" s="66"/>
      <c r="U306" s="66"/>
      <c r="V306" s="38"/>
      <c r="W306" s="39"/>
      <c r="X306" s="40"/>
      <c r="Y306" s="41"/>
      <c r="Z306" s="42"/>
      <c r="AA306" s="43"/>
      <c r="AB306" s="44"/>
      <c r="AC306" s="45"/>
      <c r="AD306" s="114" t="str">
        <f t="shared" si="14"/>
        <v/>
      </c>
    </row>
    <row r="307" spans="15:30" x14ac:dyDescent="0.35">
      <c r="O307" t="str">
        <f t="shared" si="15"/>
        <v/>
      </c>
      <c r="P307" s="18"/>
      <c r="Q307" s="61"/>
      <c r="R307" s="118"/>
      <c r="S307" s="61"/>
      <c r="T307" s="66"/>
      <c r="U307" s="66"/>
      <c r="V307" s="38"/>
      <c r="W307" s="39"/>
      <c r="X307" s="40"/>
      <c r="Y307" s="41"/>
      <c r="Z307" s="42"/>
      <c r="AA307" s="43"/>
      <c r="AB307" s="44"/>
      <c r="AC307" s="45"/>
      <c r="AD307" s="114" t="str">
        <f t="shared" si="14"/>
        <v/>
      </c>
    </row>
    <row r="308" spans="15:30" x14ac:dyDescent="0.35">
      <c r="O308" t="str">
        <f t="shared" si="15"/>
        <v/>
      </c>
      <c r="P308" s="18"/>
      <c r="Q308" s="61"/>
      <c r="R308" s="61"/>
      <c r="S308" s="61"/>
      <c r="T308" s="66"/>
      <c r="U308" s="66"/>
      <c r="V308" s="38"/>
      <c r="W308" s="39"/>
      <c r="X308" s="40"/>
      <c r="Y308" s="41"/>
      <c r="Z308" s="42"/>
      <c r="AA308" s="43"/>
      <c r="AB308" s="44"/>
      <c r="AC308" s="45"/>
      <c r="AD308" s="114" t="str">
        <f t="shared" si="14"/>
        <v/>
      </c>
    </row>
    <row r="309" spans="15:30" x14ac:dyDescent="0.35">
      <c r="O309" t="str">
        <f t="shared" si="15"/>
        <v/>
      </c>
      <c r="P309" s="18"/>
      <c r="Q309" s="61"/>
      <c r="R309" s="118"/>
      <c r="S309" s="61"/>
      <c r="T309" s="66"/>
      <c r="U309" s="66"/>
      <c r="V309" s="38"/>
      <c r="W309" s="39"/>
      <c r="X309" s="40"/>
      <c r="Y309" s="41"/>
      <c r="Z309" s="42"/>
      <c r="AA309" s="43"/>
      <c r="AB309" s="44"/>
      <c r="AC309" s="45"/>
      <c r="AD309" s="114" t="str">
        <f t="shared" si="14"/>
        <v/>
      </c>
    </row>
    <row r="310" spans="15:30" x14ac:dyDescent="0.35">
      <c r="O310" t="str">
        <f t="shared" si="15"/>
        <v/>
      </c>
      <c r="P310" s="18"/>
      <c r="Q310" s="61"/>
      <c r="R310" s="61"/>
      <c r="S310" s="61"/>
      <c r="T310" s="66"/>
      <c r="U310" s="66"/>
      <c r="V310" s="38"/>
      <c r="W310" s="39"/>
      <c r="X310" s="40"/>
      <c r="Y310" s="41"/>
      <c r="Z310" s="42"/>
      <c r="AA310" s="43"/>
      <c r="AB310" s="44"/>
      <c r="AC310" s="45"/>
      <c r="AD310" s="114" t="str">
        <f t="shared" si="14"/>
        <v/>
      </c>
    </row>
    <row r="311" spans="15:30" x14ac:dyDescent="0.35">
      <c r="O311" t="str">
        <f t="shared" si="15"/>
        <v/>
      </c>
      <c r="P311" s="18"/>
      <c r="Q311" s="61"/>
      <c r="R311" s="118"/>
      <c r="S311" s="61"/>
      <c r="T311" s="66"/>
      <c r="U311" s="66"/>
      <c r="V311" s="38"/>
      <c r="W311" s="39"/>
      <c r="X311" s="40"/>
      <c r="Y311" s="41"/>
      <c r="Z311" s="42"/>
      <c r="AA311" s="43"/>
      <c r="AB311" s="44"/>
      <c r="AC311" s="45"/>
      <c r="AD311" s="114" t="str">
        <f t="shared" si="14"/>
        <v/>
      </c>
    </row>
    <row r="312" spans="15:30" x14ac:dyDescent="0.35">
      <c r="O312" t="str">
        <f t="shared" si="15"/>
        <v/>
      </c>
      <c r="P312" s="18"/>
      <c r="Q312" s="61"/>
      <c r="R312" s="61"/>
      <c r="S312" s="61"/>
      <c r="T312" s="66"/>
      <c r="U312" s="66"/>
      <c r="V312" s="38"/>
      <c r="W312" s="39"/>
      <c r="X312" s="40"/>
      <c r="Y312" s="41"/>
      <c r="Z312" s="42"/>
      <c r="AA312" s="43"/>
      <c r="AB312" s="44"/>
      <c r="AC312" s="45"/>
      <c r="AD312" s="114" t="str">
        <f t="shared" si="14"/>
        <v/>
      </c>
    </row>
    <row r="313" spans="15:30" x14ac:dyDescent="0.35">
      <c r="O313" t="str">
        <f t="shared" si="15"/>
        <v/>
      </c>
      <c r="P313" s="18"/>
      <c r="Q313" s="61"/>
      <c r="R313" s="118"/>
      <c r="S313" s="61"/>
      <c r="T313" s="66"/>
      <c r="U313" s="66"/>
      <c r="V313" s="38"/>
      <c r="W313" s="39"/>
      <c r="X313" s="40"/>
      <c r="Y313" s="41"/>
      <c r="Z313" s="42"/>
      <c r="AA313" s="43"/>
      <c r="AB313" s="44"/>
      <c r="AC313" s="45"/>
      <c r="AD313" s="114" t="str">
        <f t="shared" si="14"/>
        <v/>
      </c>
    </row>
    <row r="314" spans="15:30" x14ac:dyDescent="0.35">
      <c r="O314" t="str">
        <f t="shared" si="15"/>
        <v/>
      </c>
      <c r="P314" s="18"/>
      <c r="Q314" s="61"/>
      <c r="R314" s="61"/>
      <c r="S314" s="61"/>
      <c r="T314" s="66"/>
      <c r="U314" s="66"/>
      <c r="V314" s="38"/>
      <c r="W314" s="39"/>
      <c r="X314" s="40"/>
      <c r="Y314" s="41"/>
      <c r="Z314" s="42"/>
      <c r="AA314" s="43"/>
      <c r="AB314" s="44"/>
      <c r="AC314" s="45"/>
      <c r="AD314" s="114" t="str">
        <f t="shared" si="14"/>
        <v/>
      </c>
    </row>
    <row r="315" spans="15:30" x14ac:dyDescent="0.35">
      <c r="O315" t="str">
        <f t="shared" si="15"/>
        <v/>
      </c>
      <c r="P315" s="62"/>
      <c r="Q315" s="118"/>
      <c r="R315" s="61"/>
      <c r="S315" s="61"/>
      <c r="T315" s="66"/>
      <c r="U315" s="66"/>
      <c r="V315" s="38"/>
      <c r="W315" s="39"/>
      <c r="X315" s="40"/>
      <c r="Y315" s="41"/>
      <c r="Z315" s="42"/>
      <c r="AA315" s="43"/>
      <c r="AB315" s="44"/>
      <c r="AC315" s="45"/>
      <c r="AD315" s="114" t="str">
        <f t="shared" si="14"/>
        <v/>
      </c>
    </row>
    <row r="316" spans="15:30" x14ac:dyDescent="0.35">
      <c r="O316" t="str">
        <f t="shared" si="15"/>
        <v/>
      </c>
      <c r="P316" s="18"/>
      <c r="Q316" s="61"/>
      <c r="R316" s="61"/>
      <c r="S316" s="61"/>
      <c r="T316" s="66"/>
      <c r="U316" s="66"/>
      <c r="V316" s="38"/>
      <c r="W316" s="39"/>
      <c r="X316" s="40"/>
      <c r="Y316" s="41"/>
      <c r="Z316" s="42"/>
      <c r="AA316" s="43"/>
      <c r="AB316" s="44"/>
      <c r="AC316" s="45"/>
      <c r="AD316" s="114" t="str">
        <f t="shared" si="14"/>
        <v/>
      </c>
    </row>
    <row r="317" spans="15:30" x14ac:dyDescent="0.35">
      <c r="O317" t="str">
        <f t="shared" si="15"/>
        <v/>
      </c>
      <c r="P317" s="18"/>
      <c r="Q317" s="61"/>
      <c r="R317" s="61"/>
      <c r="S317" s="61"/>
      <c r="T317" s="66"/>
      <c r="U317" s="66"/>
      <c r="V317" s="38"/>
      <c r="W317" s="39"/>
      <c r="X317" s="40"/>
      <c r="Y317" s="41"/>
      <c r="Z317" s="42"/>
      <c r="AA317" s="43"/>
      <c r="AB317" s="44"/>
      <c r="AC317" s="45"/>
      <c r="AD317" s="114" t="str">
        <f t="shared" si="14"/>
        <v/>
      </c>
    </row>
    <row r="318" spans="15:30" x14ac:dyDescent="0.35">
      <c r="O318" t="str">
        <f t="shared" si="15"/>
        <v/>
      </c>
      <c r="P318" s="18"/>
      <c r="Q318" s="61"/>
      <c r="R318" s="61"/>
      <c r="S318" s="61"/>
      <c r="T318" s="66"/>
      <c r="U318" s="66"/>
      <c r="V318" s="38"/>
      <c r="W318" s="39"/>
      <c r="X318" s="40"/>
      <c r="Y318" s="41"/>
      <c r="Z318" s="42"/>
      <c r="AA318" s="43"/>
      <c r="AB318" s="44"/>
      <c r="AC318" s="45"/>
      <c r="AD318" s="114" t="str">
        <f t="shared" si="14"/>
        <v/>
      </c>
    </row>
    <row r="319" spans="15:30" x14ac:dyDescent="0.35">
      <c r="O319" t="str">
        <f t="shared" si="15"/>
        <v/>
      </c>
      <c r="P319" s="18"/>
      <c r="Q319" s="61"/>
      <c r="R319" s="61"/>
      <c r="S319" s="61"/>
      <c r="T319" s="66"/>
      <c r="U319" s="66"/>
      <c r="V319" s="38"/>
      <c r="W319" s="39"/>
      <c r="X319" s="40"/>
      <c r="Y319" s="41"/>
      <c r="Z319" s="42"/>
      <c r="AA319" s="43"/>
      <c r="AB319" s="44"/>
      <c r="AC319" s="45"/>
      <c r="AD319" s="114" t="str">
        <f t="shared" si="14"/>
        <v/>
      </c>
    </row>
    <row r="320" spans="15:30" x14ac:dyDescent="0.35">
      <c r="O320" t="str">
        <f t="shared" si="15"/>
        <v/>
      </c>
      <c r="P320" s="62"/>
      <c r="Q320" s="118"/>
      <c r="R320" s="61"/>
      <c r="S320" s="61"/>
      <c r="T320" s="66"/>
      <c r="U320" s="66"/>
      <c r="V320" s="38"/>
      <c r="W320" s="39"/>
      <c r="X320" s="40"/>
      <c r="Y320" s="41"/>
      <c r="Z320" s="42"/>
      <c r="AA320" s="43"/>
      <c r="AB320" s="44"/>
      <c r="AC320" s="45"/>
      <c r="AD320" s="114" t="str">
        <f t="shared" si="14"/>
        <v/>
      </c>
    </row>
    <row r="321" spans="15:30" x14ac:dyDescent="0.35">
      <c r="O321" t="str">
        <f t="shared" si="15"/>
        <v/>
      </c>
      <c r="P321" s="18"/>
      <c r="Q321" s="61"/>
      <c r="R321" s="61"/>
      <c r="S321" s="61"/>
      <c r="T321" s="66"/>
      <c r="U321" s="66"/>
      <c r="V321" s="38"/>
      <c r="W321" s="39"/>
      <c r="X321" s="40"/>
      <c r="Y321" s="41"/>
      <c r="Z321" s="42"/>
      <c r="AA321" s="43"/>
      <c r="AB321" s="44"/>
      <c r="AC321" s="45"/>
      <c r="AD321" s="114" t="str">
        <f t="shared" si="14"/>
        <v/>
      </c>
    </row>
    <row r="322" spans="15:30" x14ac:dyDescent="0.35">
      <c r="O322" t="str">
        <f t="shared" si="15"/>
        <v/>
      </c>
      <c r="P322" s="18"/>
      <c r="Q322" s="61"/>
      <c r="R322" s="61"/>
      <c r="S322" s="61"/>
      <c r="T322" s="66"/>
      <c r="U322" s="66"/>
      <c r="V322" s="38"/>
      <c r="W322" s="39"/>
      <c r="X322" s="40"/>
      <c r="Y322" s="41"/>
      <c r="Z322" s="42"/>
      <c r="AA322" s="43"/>
      <c r="AB322" s="44"/>
      <c r="AC322" s="45"/>
      <c r="AD322" s="114" t="str">
        <f t="shared" ref="AD322:AD385" si="16">IF(P322="","",AC322/6)</f>
        <v/>
      </c>
    </row>
    <row r="323" spans="15:30" x14ac:dyDescent="0.35">
      <c r="O323" t="str">
        <f t="shared" si="15"/>
        <v/>
      </c>
      <c r="P323" s="18"/>
      <c r="Q323" s="61"/>
      <c r="R323" s="61"/>
      <c r="S323" s="61"/>
      <c r="T323" s="66"/>
      <c r="U323" s="66"/>
      <c r="V323" s="38"/>
      <c r="W323" s="39"/>
      <c r="X323" s="40"/>
      <c r="Y323" s="41"/>
      <c r="Z323" s="42"/>
      <c r="AA323" s="43"/>
      <c r="AB323" s="44"/>
      <c r="AC323" s="45"/>
      <c r="AD323" s="114" t="str">
        <f t="shared" si="16"/>
        <v/>
      </c>
    </row>
    <row r="324" spans="15:30" x14ac:dyDescent="0.35">
      <c r="O324" t="str">
        <f t="shared" ref="O324:O387" si="17">IF(P324="","",O323+1)</f>
        <v/>
      </c>
      <c r="P324" s="18"/>
      <c r="Q324" s="61"/>
      <c r="R324" s="118"/>
      <c r="S324" s="61"/>
      <c r="T324" s="66"/>
      <c r="U324" s="66"/>
      <c r="V324" s="38"/>
      <c r="W324" s="39"/>
      <c r="X324" s="40"/>
      <c r="Y324" s="41"/>
      <c r="Z324" s="42"/>
      <c r="AA324" s="43"/>
      <c r="AB324" s="44"/>
      <c r="AC324" s="45"/>
      <c r="AD324" s="114" t="str">
        <f t="shared" si="16"/>
        <v/>
      </c>
    </row>
    <row r="325" spans="15:30" x14ac:dyDescent="0.35">
      <c r="O325" t="str">
        <f t="shared" si="17"/>
        <v/>
      </c>
      <c r="P325" s="18"/>
      <c r="Q325" s="61"/>
      <c r="R325" s="118"/>
      <c r="S325" s="61"/>
      <c r="T325" s="66"/>
      <c r="U325" s="66"/>
      <c r="V325" s="38"/>
      <c r="W325" s="39"/>
      <c r="X325" s="40"/>
      <c r="Y325" s="41"/>
      <c r="Z325" s="42"/>
      <c r="AA325" s="43"/>
      <c r="AB325" s="44"/>
      <c r="AC325" s="45"/>
      <c r="AD325" s="114" t="str">
        <f t="shared" si="16"/>
        <v/>
      </c>
    </row>
    <row r="326" spans="15:30" x14ac:dyDescent="0.35">
      <c r="O326" t="str">
        <f t="shared" si="17"/>
        <v/>
      </c>
      <c r="P326" s="62"/>
      <c r="Q326" s="118"/>
      <c r="R326" s="61"/>
      <c r="S326" s="61"/>
      <c r="T326" s="66"/>
      <c r="U326" s="66"/>
      <c r="V326" s="38"/>
      <c r="W326" s="39"/>
      <c r="X326" s="40"/>
      <c r="Y326" s="41"/>
      <c r="Z326" s="42"/>
      <c r="AA326" s="43"/>
      <c r="AB326" s="44"/>
      <c r="AC326" s="45"/>
      <c r="AD326" s="114" t="str">
        <f t="shared" si="16"/>
        <v/>
      </c>
    </row>
    <row r="327" spans="15:30" x14ac:dyDescent="0.35">
      <c r="O327" t="str">
        <f t="shared" si="17"/>
        <v/>
      </c>
      <c r="P327" s="18"/>
      <c r="Q327" s="61"/>
      <c r="R327" s="61"/>
      <c r="S327" s="61"/>
      <c r="T327" s="66"/>
      <c r="U327" s="66"/>
      <c r="V327" s="38"/>
      <c r="W327" s="39"/>
      <c r="X327" s="40"/>
      <c r="Y327" s="41"/>
      <c r="Z327" s="42"/>
      <c r="AA327" s="43"/>
      <c r="AB327" s="44"/>
      <c r="AC327" s="45"/>
      <c r="AD327" s="114" t="str">
        <f t="shared" si="16"/>
        <v/>
      </c>
    </row>
    <row r="328" spans="15:30" x14ac:dyDescent="0.35">
      <c r="O328" t="str">
        <f t="shared" si="17"/>
        <v/>
      </c>
      <c r="P328" s="18"/>
      <c r="Q328" s="61"/>
      <c r="R328" s="118"/>
      <c r="S328" s="61"/>
      <c r="T328" s="66"/>
      <c r="U328" s="66"/>
      <c r="V328" s="38"/>
      <c r="W328" s="39"/>
      <c r="X328" s="40"/>
      <c r="Y328" s="41"/>
      <c r="Z328" s="42"/>
      <c r="AA328" s="43"/>
      <c r="AB328" s="44"/>
      <c r="AC328" s="45"/>
      <c r="AD328" s="114" t="str">
        <f t="shared" si="16"/>
        <v/>
      </c>
    </row>
    <row r="329" spans="15:30" x14ac:dyDescent="0.35">
      <c r="O329" t="str">
        <f t="shared" si="17"/>
        <v/>
      </c>
      <c r="P329" s="18"/>
      <c r="Q329" s="61"/>
      <c r="R329" s="118"/>
      <c r="S329" s="61"/>
      <c r="T329" s="66"/>
      <c r="U329" s="66"/>
      <c r="V329" s="38"/>
      <c r="W329" s="39"/>
      <c r="X329" s="40"/>
      <c r="Y329" s="41"/>
      <c r="Z329" s="42"/>
      <c r="AA329" s="43"/>
      <c r="AB329" s="44"/>
      <c r="AC329" s="45"/>
      <c r="AD329" s="114" t="str">
        <f t="shared" si="16"/>
        <v/>
      </c>
    </row>
    <row r="330" spans="15:30" x14ac:dyDescent="0.35">
      <c r="O330" t="str">
        <f t="shared" si="17"/>
        <v/>
      </c>
      <c r="P330" s="18"/>
      <c r="Q330" s="61"/>
      <c r="R330" s="61"/>
      <c r="S330" s="61"/>
      <c r="T330" s="66"/>
      <c r="U330" s="66"/>
      <c r="V330" s="38"/>
      <c r="W330" s="39"/>
      <c r="X330" s="40"/>
      <c r="Y330" s="41"/>
      <c r="Z330" s="42"/>
      <c r="AA330" s="43"/>
      <c r="AB330" s="44"/>
      <c r="AC330" s="45"/>
      <c r="AD330" s="114" t="str">
        <f t="shared" si="16"/>
        <v/>
      </c>
    </row>
    <row r="331" spans="15:30" x14ac:dyDescent="0.35">
      <c r="O331" t="str">
        <f t="shared" si="17"/>
        <v/>
      </c>
      <c r="P331" s="18"/>
      <c r="Q331" s="61"/>
      <c r="R331" s="61"/>
      <c r="S331" s="61"/>
      <c r="T331" s="66"/>
      <c r="U331" s="66"/>
      <c r="V331" s="38"/>
      <c r="W331" s="39"/>
      <c r="X331" s="40"/>
      <c r="Y331" s="41"/>
      <c r="Z331" s="42"/>
      <c r="AA331" s="43"/>
      <c r="AB331" s="44"/>
      <c r="AC331" s="45"/>
      <c r="AD331" s="114" t="str">
        <f t="shared" si="16"/>
        <v/>
      </c>
    </row>
    <row r="332" spans="15:30" x14ac:dyDescent="0.35">
      <c r="O332" t="str">
        <f t="shared" si="17"/>
        <v/>
      </c>
      <c r="P332" s="18"/>
      <c r="Q332" s="61"/>
      <c r="R332" s="118"/>
      <c r="S332" s="61"/>
      <c r="T332" s="66"/>
      <c r="U332" s="66"/>
      <c r="V332" s="38"/>
      <c r="W332" s="39"/>
      <c r="X332" s="40"/>
      <c r="Y332" s="41"/>
      <c r="Z332" s="42"/>
      <c r="AA332" s="43"/>
      <c r="AB332" s="44"/>
      <c r="AC332" s="45"/>
      <c r="AD332" s="114" t="str">
        <f t="shared" si="16"/>
        <v/>
      </c>
    </row>
    <row r="333" spans="15:30" x14ac:dyDescent="0.35">
      <c r="O333" t="str">
        <f t="shared" si="17"/>
        <v/>
      </c>
      <c r="P333" s="18"/>
      <c r="Q333" s="61"/>
      <c r="R333" s="118"/>
      <c r="S333" s="61"/>
      <c r="T333" s="66"/>
      <c r="U333" s="66"/>
      <c r="V333" s="38"/>
      <c r="W333" s="39"/>
      <c r="X333" s="40"/>
      <c r="Y333" s="41"/>
      <c r="Z333" s="42"/>
      <c r="AA333" s="43"/>
      <c r="AB333" s="44"/>
      <c r="AC333" s="45"/>
      <c r="AD333" s="114" t="str">
        <f t="shared" si="16"/>
        <v/>
      </c>
    </row>
    <row r="334" spans="15:30" x14ac:dyDescent="0.35">
      <c r="O334" t="str">
        <f t="shared" si="17"/>
        <v/>
      </c>
      <c r="P334" s="18"/>
      <c r="Q334" s="61"/>
      <c r="R334" s="118"/>
      <c r="S334" s="61"/>
      <c r="T334" s="66"/>
      <c r="U334" s="66"/>
      <c r="V334" s="38"/>
      <c r="W334" s="39"/>
      <c r="X334" s="40"/>
      <c r="Y334" s="41"/>
      <c r="Z334" s="42"/>
      <c r="AA334" s="43"/>
      <c r="AB334" s="44"/>
      <c r="AC334" s="45"/>
      <c r="AD334" s="114" t="str">
        <f t="shared" si="16"/>
        <v/>
      </c>
    </row>
    <row r="335" spans="15:30" x14ac:dyDescent="0.35">
      <c r="O335" t="str">
        <f t="shared" si="17"/>
        <v/>
      </c>
      <c r="P335" s="62"/>
      <c r="Q335" s="118"/>
      <c r="R335" s="118"/>
      <c r="S335" s="61"/>
      <c r="T335" s="66"/>
      <c r="U335" s="66"/>
      <c r="V335" s="38"/>
      <c r="W335" s="39"/>
      <c r="X335" s="40"/>
      <c r="Y335" s="41"/>
      <c r="Z335" s="42"/>
      <c r="AA335" s="43"/>
      <c r="AB335" s="44"/>
      <c r="AC335" s="45"/>
      <c r="AD335" s="114" t="str">
        <f t="shared" si="16"/>
        <v/>
      </c>
    </row>
    <row r="336" spans="15:30" x14ac:dyDescent="0.35">
      <c r="O336" t="str">
        <f t="shared" si="17"/>
        <v/>
      </c>
      <c r="P336" s="18"/>
      <c r="Q336" s="61"/>
      <c r="R336" s="61"/>
      <c r="S336" s="61"/>
      <c r="T336" s="66"/>
      <c r="U336" s="66"/>
      <c r="V336" s="38"/>
      <c r="W336" s="39"/>
      <c r="X336" s="40"/>
      <c r="Y336" s="41"/>
      <c r="Z336" s="42"/>
      <c r="AA336" s="43"/>
      <c r="AB336" s="44"/>
      <c r="AC336" s="45"/>
      <c r="AD336" s="114" t="str">
        <f t="shared" si="16"/>
        <v/>
      </c>
    </row>
    <row r="337" spans="15:30" x14ac:dyDescent="0.35">
      <c r="O337" t="str">
        <f t="shared" si="17"/>
        <v/>
      </c>
      <c r="P337" s="18"/>
      <c r="Q337" s="61"/>
      <c r="R337" s="118"/>
      <c r="S337" s="61"/>
      <c r="T337" s="66"/>
      <c r="U337" s="66"/>
      <c r="V337" s="38"/>
      <c r="W337" s="39"/>
      <c r="X337" s="40"/>
      <c r="Y337" s="41"/>
      <c r="Z337" s="42"/>
      <c r="AA337" s="43"/>
      <c r="AB337" s="44"/>
      <c r="AC337" s="45"/>
      <c r="AD337" s="114" t="str">
        <f t="shared" si="16"/>
        <v/>
      </c>
    </row>
    <row r="338" spans="15:30" x14ac:dyDescent="0.35">
      <c r="O338" t="str">
        <f t="shared" si="17"/>
        <v/>
      </c>
      <c r="P338" s="18"/>
      <c r="Q338" s="61"/>
      <c r="R338" s="118"/>
      <c r="S338" s="61"/>
      <c r="T338" s="66"/>
      <c r="U338" s="66"/>
      <c r="V338" s="38"/>
      <c r="W338" s="39"/>
      <c r="X338" s="40"/>
      <c r="Y338" s="41"/>
      <c r="Z338" s="42"/>
      <c r="AA338" s="43"/>
      <c r="AB338" s="44"/>
      <c r="AC338" s="45"/>
      <c r="AD338" s="114" t="str">
        <f t="shared" si="16"/>
        <v/>
      </c>
    </row>
    <row r="339" spans="15:30" x14ac:dyDescent="0.35">
      <c r="O339" t="str">
        <f t="shared" si="17"/>
        <v/>
      </c>
      <c r="P339" s="18"/>
      <c r="Q339" s="61"/>
      <c r="R339" s="118"/>
      <c r="S339" s="61"/>
      <c r="T339" s="66"/>
      <c r="U339" s="66"/>
      <c r="V339" s="38"/>
      <c r="W339" s="39"/>
      <c r="X339" s="40"/>
      <c r="Y339" s="41"/>
      <c r="Z339" s="42"/>
      <c r="AA339" s="43"/>
      <c r="AB339" s="44"/>
      <c r="AC339" s="45"/>
      <c r="AD339" s="114" t="str">
        <f t="shared" si="16"/>
        <v/>
      </c>
    </row>
    <row r="340" spans="15:30" x14ac:dyDescent="0.35">
      <c r="O340" t="str">
        <f t="shared" si="17"/>
        <v/>
      </c>
      <c r="P340" s="18"/>
      <c r="Q340" s="61"/>
      <c r="R340" s="118"/>
      <c r="S340" s="61"/>
      <c r="T340" s="66"/>
      <c r="U340" s="66"/>
      <c r="V340" s="38"/>
      <c r="W340" s="39"/>
      <c r="X340" s="40"/>
      <c r="Y340" s="41"/>
      <c r="Z340" s="42"/>
      <c r="AA340" s="43"/>
      <c r="AB340" s="44"/>
      <c r="AC340" s="45"/>
      <c r="AD340" s="114" t="str">
        <f t="shared" si="16"/>
        <v/>
      </c>
    </row>
    <row r="341" spans="15:30" x14ac:dyDescent="0.35">
      <c r="O341" t="str">
        <f t="shared" si="17"/>
        <v/>
      </c>
      <c r="P341" s="18"/>
      <c r="Q341" s="61"/>
      <c r="R341" s="118"/>
      <c r="S341" s="61"/>
      <c r="T341" s="66"/>
      <c r="U341" s="66"/>
      <c r="V341" s="38"/>
      <c r="W341" s="39"/>
      <c r="X341" s="40"/>
      <c r="Y341" s="41"/>
      <c r="Z341" s="42"/>
      <c r="AA341" s="43"/>
      <c r="AB341" s="44"/>
      <c r="AC341" s="45"/>
      <c r="AD341" s="114" t="str">
        <f t="shared" si="16"/>
        <v/>
      </c>
    </row>
    <row r="342" spans="15:30" x14ac:dyDescent="0.35">
      <c r="O342" t="str">
        <f t="shared" si="17"/>
        <v/>
      </c>
      <c r="P342" s="18"/>
      <c r="Q342" s="61"/>
      <c r="R342" s="61"/>
      <c r="S342" s="61"/>
      <c r="T342" s="66"/>
      <c r="U342" s="66"/>
      <c r="V342" s="38"/>
      <c r="W342" s="39"/>
      <c r="X342" s="40"/>
      <c r="Y342" s="41"/>
      <c r="Z342" s="42"/>
      <c r="AA342" s="43"/>
      <c r="AB342" s="44"/>
      <c r="AC342" s="45"/>
      <c r="AD342" s="114" t="str">
        <f t="shared" si="16"/>
        <v/>
      </c>
    </row>
    <row r="343" spans="15:30" x14ac:dyDescent="0.35">
      <c r="O343" t="str">
        <f t="shared" si="17"/>
        <v/>
      </c>
      <c r="P343" s="18"/>
      <c r="Q343" s="61"/>
      <c r="R343" s="118"/>
      <c r="S343" s="61"/>
      <c r="T343" s="66"/>
      <c r="U343" s="66"/>
      <c r="V343" s="38"/>
      <c r="W343" s="39"/>
      <c r="X343" s="40"/>
      <c r="Y343" s="41"/>
      <c r="Z343" s="42"/>
      <c r="AA343" s="43"/>
      <c r="AB343" s="44"/>
      <c r="AC343" s="45"/>
      <c r="AD343" s="114" t="str">
        <f t="shared" si="16"/>
        <v/>
      </c>
    </row>
    <row r="344" spans="15:30" x14ac:dyDescent="0.35">
      <c r="O344" t="str">
        <f t="shared" si="17"/>
        <v/>
      </c>
      <c r="P344" s="18"/>
      <c r="Q344" s="61"/>
      <c r="R344" s="61"/>
      <c r="S344" s="61"/>
      <c r="T344" s="66"/>
      <c r="U344" s="66"/>
      <c r="V344" s="38"/>
      <c r="W344" s="39"/>
      <c r="X344" s="40"/>
      <c r="Y344" s="41"/>
      <c r="Z344" s="42"/>
      <c r="AA344" s="43"/>
      <c r="AB344" s="44"/>
      <c r="AC344" s="45"/>
      <c r="AD344" s="114" t="str">
        <f t="shared" si="16"/>
        <v/>
      </c>
    </row>
    <row r="345" spans="15:30" x14ac:dyDescent="0.35">
      <c r="O345" t="str">
        <f t="shared" si="17"/>
        <v/>
      </c>
      <c r="P345" s="18"/>
      <c r="Q345" s="61"/>
      <c r="R345" s="61"/>
      <c r="S345" s="61"/>
      <c r="T345" s="66"/>
      <c r="U345" s="66"/>
      <c r="V345" s="38"/>
      <c r="W345" s="39"/>
      <c r="X345" s="40"/>
      <c r="Y345" s="41"/>
      <c r="Z345" s="42"/>
      <c r="AA345" s="43"/>
      <c r="AB345" s="44"/>
      <c r="AC345" s="45"/>
      <c r="AD345" s="114" t="str">
        <f t="shared" si="16"/>
        <v/>
      </c>
    </row>
    <row r="346" spans="15:30" x14ac:dyDescent="0.35">
      <c r="O346" t="str">
        <f t="shared" si="17"/>
        <v/>
      </c>
      <c r="P346" s="18"/>
      <c r="Q346" s="61"/>
      <c r="R346" s="61"/>
      <c r="S346" s="61"/>
      <c r="T346" s="66"/>
      <c r="U346" s="66"/>
      <c r="V346" s="38"/>
      <c r="W346" s="39"/>
      <c r="X346" s="40"/>
      <c r="Y346" s="41"/>
      <c r="Z346" s="42"/>
      <c r="AA346" s="43"/>
      <c r="AB346" s="44"/>
      <c r="AC346" s="45"/>
      <c r="AD346" s="114" t="str">
        <f t="shared" si="16"/>
        <v/>
      </c>
    </row>
    <row r="347" spans="15:30" x14ac:dyDescent="0.35">
      <c r="O347" t="str">
        <f t="shared" si="17"/>
        <v/>
      </c>
      <c r="P347" s="18"/>
      <c r="Q347" s="61"/>
      <c r="R347" s="118"/>
      <c r="S347" s="61"/>
      <c r="T347" s="66"/>
      <c r="U347" s="66"/>
      <c r="V347" s="38"/>
      <c r="W347" s="39"/>
      <c r="X347" s="40"/>
      <c r="Y347" s="41"/>
      <c r="Z347" s="42"/>
      <c r="AA347" s="43"/>
      <c r="AB347" s="44"/>
      <c r="AC347" s="45"/>
      <c r="AD347" s="114" t="str">
        <f t="shared" si="16"/>
        <v/>
      </c>
    </row>
    <row r="348" spans="15:30" x14ac:dyDescent="0.35">
      <c r="O348" t="str">
        <f t="shared" si="17"/>
        <v/>
      </c>
      <c r="P348" s="18"/>
      <c r="Q348" s="61"/>
      <c r="R348" s="118"/>
      <c r="S348" s="61"/>
      <c r="T348" s="66"/>
      <c r="U348" s="66"/>
      <c r="V348" s="38"/>
      <c r="W348" s="39"/>
      <c r="X348" s="40"/>
      <c r="Y348" s="41"/>
      <c r="Z348" s="42"/>
      <c r="AA348" s="43"/>
      <c r="AB348" s="44"/>
      <c r="AC348" s="45"/>
      <c r="AD348" s="114" t="str">
        <f t="shared" si="16"/>
        <v/>
      </c>
    </row>
    <row r="349" spans="15:30" x14ac:dyDescent="0.35">
      <c r="O349" t="str">
        <f t="shared" si="17"/>
        <v/>
      </c>
      <c r="P349" s="18"/>
      <c r="Q349" s="61"/>
      <c r="R349" s="118"/>
      <c r="S349" s="61"/>
      <c r="T349" s="66"/>
      <c r="U349" s="66"/>
      <c r="V349" s="38"/>
      <c r="W349" s="39"/>
      <c r="X349" s="40"/>
      <c r="Y349" s="41"/>
      <c r="Z349" s="42"/>
      <c r="AA349" s="43"/>
      <c r="AB349" s="44"/>
      <c r="AC349" s="45"/>
      <c r="AD349" s="114" t="str">
        <f t="shared" si="16"/>
        <v/>
      </c>
    </row>
    <row r="350" spans="15:30" x14ac:dyDescent="0.35">
      <c r="O350" t="str">
        <f t="shared" si="17"/>
        <v/>
      </c>
      <c r="P350" s="18"/>
      <c r="Q350" s="61"/>
      <c r="R350" s="118"/>
      <c r="S350" s="61"/>
      <c r="T350" s="66"/>
      <c r="U350" s="66"/>
      <c r="V350" s="38"/>
      <c r="W350" s="39"/>
      <c r="X350" s="40"/>
      <c r="Y350" s="41"/>
      <c r="Z350" s="42"/>
      <c r="AA350" s="43"/>
      <c r="AB350" s="44"/>
      <c r="AC350" s="45"/>
      <c r="AD350" s="114" t="str">
        <f t="shared" si="16"/>
        <v/>
      </c>
    </row>
    <row r="351" spans="15:30" x14ac:dyDescent="0.35">
      <c r="O351" t="str">
        <f t="shared" si="17"/>
        <v/>
      </c>
      <c r="P351" s="18"/>
      <c r="Q351" s="61"/>
      <c r="R351" s="61"/>
      <c r="S351" s="61"/>
      <c r="T351" s="66"/>
      <c r="U351" s="66"/>
      <c r="V351" s="38"/>
      <c r="W351" s="39"/>
      <c r="X351" s="40"/>
      <c r="Y351" s="41"/>
      <c r="Z351" s="42"/>
      <c r="AA351" s="43"/>
      <c r="AB351" s="44"/>
      <c r="AC351" s="45"/>
      <c r="AD351" s="114" t="str">
        <f t="shared" si="16"/>
        <v/>
      </c>
    </row>
    <row r="352" spans="15:30" x14ac:dyDescent="0.35">
      <c r="O352" t="str">
        <f t="shared" si="17"/>
        <v/>
      </c>
      <c r="P352" s="18"/>
      <c r="Q352" s="61"/>
      <c r="R352" s="118"/>
      <c r="S352" s="61"/>
      <c r="T352" s="66"/>
      <c r="U352" s="66"/>
      <c r="V352" s="38"/>
      <c r="W352" s="39"/>
      <c r="X352" s="40"/>
      <c r="Y352" s="41"/>
      <c r="Z352" s="42"/>
      <c r="AA352" s="43"/>
      <c r="AB352" s="44"/>
      <c r="AC352" s="45"/>
      <c r="AD352" s="114" t="str">
        <f t="shared" si="16"/>
        <v/>
      </c>
    </row>
    <row r="353" spans="15:30" x14ac:dyDescent="0.35">
      <c r="O353" t="str">
        <f t="shared" si="17"/>
        <v/>
      </c>
      <c r="P353" s="18"/>
      <c r="Q353" s="61"/>
      <c r="R353" s="61"/>
      <c r="S353" s="61"/>
      <c r="T353" s="66"/>
      <c r="U353" s="66"/>
      <c r="V353" s="38"/>
      <c r="W353" s="39"/>
      <c r="X353" s="40"/>
      <c r="Y353" s="41"/>
      <c r="Z353" s="42"/>
      <c r="AA353" s="43"/>
      <c r="AB353" s="44"/>
      <c r="AC353" s="45"/>
      <c r="AD353" s="114" t="str">
        <f t="shared" si="16"/>
        <v/>
      </c>
    </row>
    <row r="354" spans="15:30" x14ac:dyDescent="0.35">
      <c r="O354" t="str">
        <f t="shared" si="17"/>
        <v/>
      </c>
      <c r="P354" s="18"/>
      <c r="Q354" s="61"/>
      <c r="R354" s="118"/>
      <c r="S354" s="61"/>
      <c r="T354" s="66"/>
      <c r="U354" s="66"/>
      <c r="V354" s="38"/>
      <c r="W354" s="39"/>
      <c r="X354" s="40"/>
      <c r="Y354" s="41"/>
      <c r="Z354" s="42"/>
      <c r="AA354" s="43"/>
      <c r="AB354" s="44"/>
      <c r="AC354" s="45"/>
      <c r="AD354" s="114" t="str">
        <f t="shared" si="16"/>
        <v/>
      </c>
    </row>
    <row r="355" spans="15:30" x14ac:dyDescent="0.35">
      <c r="O355" t="str">
        <f t="shared" si="17"/>
        <v/>
      </c>
      <c r="P355" s="62"/>
      <c r="Q355" s="118"/>
      <c r="R355" s="118"/>
      <c r="S355" s="61"/>
      <c r="T355" s="66"/>
      <c r="U355" s="66"/>
      <c r="V355" s="38"/>
      <c r="W355" s="39"/>
      <c r="X355" s="40"/>
      <c r="Y355" s="41"/>
      <c r="Z355" s="42"/>
      <c r="AA355" s="43"/>
      <c r="AB355" s="44"/>
      <c r="AC355" s="45"/>
      <c r="AD355" s="114" t="str">
        <f t="shared" si="16"/>
        <v/>
      </c>
    </row>
    <row r="356" spans="15:30" x14ac:dyDescent="0.35">
      <c r="O356" t="str">
        <f t="shared" si="17"/>
        <v/>
      </c>
      <c r="P356" s="18"/>
      <c r="Q356" s="61"/>
      <c r="R356" s="118"/>
      <c r="S356" s="61"/>
      <c r="T356" s="66"/>
      <c r="U356" s="66"/>
      <c r="V356" s="38"/>
      <c r="W356" s="39"/>
      <c r="X356" s="40"/>
      <c r="Y356" s="41"/>
      <c r="Z356" s="42"/>
      <c r="AA356" s="43"/>
      <c r="AB356" s="44"/>
      <c r="AC356" s="45"/>
      <c r="AD356" s="114" t="str">
        <f t="shared" si="16"/>
        <v/>
      </c>
    </row>
    <row r="357" spans="15:30" x14ac:dyDescent="0.35">
      <c r="O357" t="str">
        <f t="shared" si="17"/>
        <v/>
      </c>
      <c r="P357" s="18"/>
      <c r="Q357" s="61"/>
      <c r="R357" s="118"/>
      <c r="S357" s="61"/>
      <c r="T357" s="66"/>
      <c r="U357" s="66"/>
      <c r="V357" s="38"/>
      <c r="W357" s="39"/>
      <c r="X357" s="40"/>
      <c r="Y357" s="41"/>
      <c r="Z357" s="42"/>
      <c r="AA357" s="43"/>
      <c r="AB357" s="44"/>
      <c r="AC357" s="45"/>
      <c r="AD357" s="114" t="str">
        <f t="shared" si="16"/>
        <v/>
      </c>
    </row>
    <row r="358" spans="15:30" x14ac:dyDescent="0.35">
      <c r="O358" t="str">
        <f t="shared" si="17"/>
        <v/>
      </c>
      <c r="P358" s="18"/>
      <c r="Q358" s="61"/>
      <c r="R358" s="61"/>
      <c r="S358" s="61"/>
      <c r="T358" s="66"/>
      <c r="U358" s="66"/>
      <c r="V358" s="38"/>
      <c r="W358" s="39"/>
      <c r="X358" s="40"/>
      <c r="Y358" s="41"/>
      <c r="Z358" s="42"/>
      <c r="AA358" s="43"/>
      <c r="AB358" s="44"/>
      <c r="AC358" s="45"/>
      <c r="AD358" s="114" t="str">
        <f t="shared" si="16"/>
        <v/>
      </c>
    </row>
    <row r="359" spans="15:30" x14ac:dyDescent="0.35">
      <c r="O359" t="str">
        <f t="shared" si="17"/>
        <v/>
      </c>
      <c r="P359" s="18"/>
      <c r="Q359" s="61"/>
      <c r="R359" s="61"/>
      <c r="S359" s="61"/>
      <c r="T359" s="66"/>
      <c r="U359" s="66"/>
      <c r="V359" s="38"/>
      <c r="W359" s="39"/>
      <c r="X359" s="40"/>
      <c r="Y359" s="41"/>
      <c r="Z359" s="42"/>
      <c r="AA359" s="43"/>
      <c r="AB359" s="44"/>
      <c r="AC359" s="45"/>
      <c r="AD359" s="114" t="str">
        <f t="shared" si="16"/>
        <v/>
      </c>
    </row>
    <row r="360" spans="15:30" x14ac:dyDescent="0.35">
      <c r="O360" t="str">
        <f t="shared" si="17"/>
        <v/>
      </c>
      <c r="P360" s="18"/>
      <c r="Q360" s="61"/>
      <c r="R360" s="118"/>
      <c r="S360" s="61"/>
      <c r="T360" s="66"/>
      <c r="U360" s="66"/>
      <c r="V360" s="38"/>
      <c r="W360" s="39"/>
      <c r="X360" s="40"/>
      <c r="Y360" s="41"/>
      <c r="Z360" s="42"/>
      <c r="AA360" s="43"/>
      <c r="AB360" s="44"/>
      <c r="AC360" s="45"/>
      <c r="AD360" s="114" t="str">
        <f t="shared" si="16"/>
        <v/>
      </c>
    </row>
    <row r="361" spans="15:30" x14ac:dyDescent="0.35">
      <c r="O361" t="str">
        <f t="shared" si="17"/>
        <v/>
      </c>
      <c r="P361" s="62"/>
      <c r="Q361" s="118"/>
      <c r="R361" s="118"/>
      <c r="S361" s="61"/>
      <c r="T361" s="66"/>
      <c r="U361" s="66"/>
      <c r="V361" s="38"/>
      <c r="W361" s="39"/>
      <c r="X361" s="40"/>
      <c r="Y361" s="41"/>
      <c r="Z361" s="42"/>
      <c r="AA361" s="43"/>
      <c r="AB361" s="44"/>
      <c r="AC361" s="45"/>
      <c r="AD361" s="114" t="str">
        <f t="shared" si="16"/>
        <v/>
      </c>
    </row>
    <row r="362" spans="15:30" x14ac:dyDescent="0.35">
      <c r="O362" t="str">
        <f t="shared" si="17"/>
        <v/>
      </c>
      <c r="P362" s="18"/>
      <c r="Q362" s="61"/>
      <c r="R362" s="61"/>
      <c r="S362" s="61"/>
      <c r="T362" s="66"/>
      <c r="U362" s="66"/>
      <c r="V362" s="38"/>
      <c r="W362" s="39"/>
      <c r="X362" s="40"/>
      <c r="Y362" s="41"/>
      <c r="Z362" s="42"/>
      <c r="AA362" s="43"/>
      <c r="AB362" s="44"/>
      <c r="AC362" s="45"/>
      <c r="AD362" s="114" t="str">
        <f t="shared" si="16"/>
        <v/>
      </c>
    </row>
    <row r="363" spans="15:30" x14ac:dyDescent="0.35">
      <c r="O363" t="str">
        <f t="shared" si="17"/>
        <v/>
      </c>
      <c r="P363" s="18"/>
      <c r="Q363" s="61"/>
      <c r="R363" s="118"/>
      <c r="S363" s="61"/>
      <c r="T363" s="66"/>
      <c r="U363" s="66"/>
      <c r="V363" s="38"/>
      <c r="W363" s="39"/>
      <c r="X363" s="40"/>
      <c r="Y363" s="41"/>
      <c r="Z363" s="42"/>
      <c r="AA363" s="43"/>
      <c r="AB363" s="44"/>
      <c r="AC363" s="45"/>
      <c r="AD363" s="114" t="str">
        <f t="shared" si="16"/>
        <v/>
      </c>
    </row>
    <row r="364" spans="15:30" x14ac:dyDescent="0.35">
      <c r="O364" t="str">
        <f t="shared" si="17"/>
        <v/>
      </c>
      <c r="P364" s="18"/>
      <c r="Q364" s="61"/>
      <c r="R364" s="118"/>
      <c r="S364" s="61"/>
      <c r="T364" s="66"/>
      <c r="U364" s="66"/>
      <c r="V364" s="38"/>
      <c r="W364" s="39"/>
      <c r="X364" s="40"/>
      <c r="Y364" s="41"/>
      <c r="Z364" s="42"/>
      <c r="AA364" s="43"/>
      <c r="AB364" s="44"/>
      <c r="AC364" s="45"/>
      <c r="AD364" s="114" t="str">
        <f t="shared" si="16"/>
        <v/>
      </c>
    </row>
    <row r="365" spans="15:30" x14ac:dyDescent="0.35">
      <c r="O365" t="str">
        <f t="shared" si="17"/>
        <v/>
      </c>
      <c r="P365" s="18"/>
      <c r="Q365" s="61"/>
      <c r="R365" s="118"/>
      <c r="S365" s="61"/>
      <c r="T365" s="66"/>
      <c r="U365" s="66"/>
      <c r="V365" s="38"/>
      <c r="W365" s="39"/>
      <c r="X365" s="40"/>
      <c r="Y365" s="41"/>
      <c r="Z365" s="42"/>
      <c r="AA365" s="43"/>
      <c r="AB365" s="44"/>
      <c r="AC365" s="45"/>
      <c r="AD365" s="114" t="str">
        <f t="shared" si="16"/>
        <v/>
      </c>
    </row>
    <row r="366" spans="15:30" x14ac:dyDescent="0.35">
      <c r="O366" t="str">
        <f t="shared" si="17"/>
        <v/>
      </c>
      <c r="P366" s="18"/>
      <c r="Q366" s="61"/>
      <c r="R366" s="118"/>
      <c r="S366" s="61"/>
      <c r="T366" s="66"/>
      <c r="U366" s="66"/>
      <c r="V366" s="38"/>
      <c r="W366" s="39"/>
      <c r="X366" s="40"/>
      <c r="Y366" s="41"/>
      <c r="Z366" s="42"/>
      <c r="AA366" s="43"/>
      <c r="AB366" s="44"/>
      <c r="AC366" s="45"/>
      <c r="AD366" s="114" t="str">
        <f t="shared" si="16"/>
        <v/>
      </c>
    </row>
    <row r="367" spans="15:30" x14ac:dyDescent="0.35">
      <c r="O367" t="str">
        <f t="shared" si="17"/>
        <v/>
      </c>
      <c r="P367" s="18"/>
      <c r="Q367" s="61"/>
      <c r="R367" s="61"/>
      <c r="S367" s="61"/>
      <c r="T367" s="66"/>
      <c r="U367" s="66"/>
      <c r="V367" s="38"/>
      <c r="W367" s="39"/>
      <c r="X367" s="40"/>
      <c r="Y367" s="41"/>
      <c r="Z367" s="42"/>
      <c r="AA367" s="43"/>
      <c r="AB367" s="44"/>
      <c r="AC367" s="45"/>
      <c r="AD367" s="114" t="str">
        <f t="shared" si="16"/>
        <v/>
      </c>
    </row>
    <row r="368" spans="15:30" x14ac:dyDescent="0.35">
      <c r="O368" t="str">
        <f t="shared" si="17"/>
        <v/>
      </c>
      <c r="P368" s="18"/>
      <c r="Q368" s="61"/>
      <c r="R368" s="118"/>
      <c r="S368" s="61"/>
      <c r="T368" s="66"/>
      <c r="U368" s="66"/>
      <c r="V368" s="38"/>
      <c r="W368" s="39"/>
      <c r="X368" s="40"/>
      <c r="Y368" s="41"/>
      <c r="Z368" s="42"/>
      <c r="AA368" s="43"/>
      <c r="AB368" s="44"/>
      <c r="AC368" s="45"/>
      <c r="AD368" s="114" t="str">
        <f t="shared" si="16"/>
        <v/>
      </c>
    </row>
    <row r="369" spans="15:30" x14ac:dyDescent="0.35">
      <c r="O369" t="str">
        <f t="shared" si="17"/>
        <v/>
      </c>
      <c r="P369" s="18"/>
      <c r="Q369" s="61"/>
      <c r="R369" s="118"/>
      <c r="S369" s="61"/>
      <c r="T369" s="66"/>
      <c r="U369" s="66"/>
      <c r="V369" s="38"/>
      <c r="W369" s="39"/>
      <c r="X369" s="40"/>
      <c r="Y369" s="41"/>
      <c r="Z369" s="42"/>
      <c r="AA369" s="43"/>
      <c r="AB369" s="44"/>
      <c r="AC369" s="45"/>
      <c r="AD369" s="114" t="str">
        <f t="shared" si="16"/>
        <v/>
      </c>
    </row>
    <row r="370" spans="15:30" x14ac:dyDescent="0.35">
      <c r="O370" t="str">
        <f t="shared" si="17"/>
        <v/>
      </c>
      <c r="P370" s="62"/>
      <c r="Q370" s="118"/>
      <c r="R370" s="118"/>
      <c r="S370" s="61"/>
      <c r="T370" s="66"/>
      <c r="U370" s="66"/>
      <c r="V370" s="38"/>
      <c r="W370" s="39"/>
      <c r="X370" s="40"/>
      <c r="Y370" s="41"/>
      <c r="Z370" s="42"/>
      <c r="AA370" s="43"/>
      <c r="AB370" s="44"/>
      <c r="AC370" s="45"/>
      <c r="AD370" s="114" t="str">
        <f t="shared" si="16"/>
        <v/>
      </c>
    </row>
    <row r="371" spans="15:30" x14ac:dyDescent="0.35">
      <c r="O371" t="str">
        <f t="shared" si="17"/>
        <v/>
      </c>
      <c r="P371" s="18"/>
      <c r="Q371" s="61"/>
      <c r="R371" s="61"/>
      <c r="S371" s="61"/>
      <c r="T371" s="66"/>
      <c r="U371" s="66"/>
      <c r="V371" s="38"/>
      <c r="W371" s="39"/>
      <c r="X371" s="40"/>
      <c r="Y371" s="41"/>
      <c r="Z371" s="42"/>
      <c r="AA371" s="43"/>
      <c r="AB371" s="44"/>
      <c r="AC371" s="45"/>
      <c r="AD371" s="114" t="str">
        <f t="shared" si="16"/>
        <v/>
      </c>
    </row>
    <row r="372" spans="15:30" x14ac:dyDescent="0.35">
      <c r="O372" t="str">
        <f t="shared" si="17"/>
        <v/>
      </c>
      <c r="P372" s="62"/>
      <c r="Q372" s="118"/>
      <c r="R372" s="61"/>
      <c r="S372" s="61"/>
      <c r="T372" s="66"/>
      <c r="U372" s="66"/>
      <c r="V372" s="38"/>
      <c r="W372" s="39"/>
      <c r="X372" s="40"/>
      <c r="Y372" s="41"/>
      <c r="Z372" s="42"/>
      <c r="AA372" s="43"/>
      <c r="AB372" s="44"/>
      <c r="AC372" s="45"/>
      <c r="AD372" s="114" t="str">
        <f t="shared" si="16"/>
        <v/>
      </c>
    </row>
    <row r="373" spans="15:30" x14ac:dyDescent="0.35">
      <c r="O373" t="str">
        <f t="shared" si="17"/>
        <v/>
      </c>
      <c r="P373" s="18"/>
      <c r="Q373" s="61"/>
      <c r="R373" s="118"/>
      <c r="S373" s="61"/>
      <c r="T373" s="66"/>
      <c r="U373" s="66"/>
      <c r="V373" s="38"/>
      <c r="W373" s="39"/>
      <c r="X373" s="40"/>
      <c r="Y373" s="41"/>
      <c r="Z373" s="42"/>
      <c r="AA373" s="43"/>
      <c r="AB373" s="44"/>
      <c r="AC373" s="45"/>
      <c r="AD373" s="114" t="str">
        <f t="shared" si="16"/>
        <v/>
      </c>
    </row>
    <row r="374" spans="15:30" x14ac:dyDescent="0.35">
      <c r="O374" t="str">
        <f t="shared" si="17"/>
        <v/>
      </c>
      <c r="P374" s="18"/>
      <c r="Q374" s="61"/>
      <c r="R374" s="118"/>
      <c r="S374" s="61"/>
      <c r="T374" s="66"/>
      <c r="U374" s="66"/>
      <c r="V374" s="38"/>
      <c r="W374" s="39"/>
      <c r="X374" s="40"/>
      <c r="Y374" s="41"/>
      <c r="Z374" s="42"/>
      <c r="AA374" s="43"/>
      <c r="AB374" s="44"/>
      <c r="AC374" s="45"/>
      <c r="AD374" s="114" t="str">
        <f t="shared" si="16"/>
        <v/>
      </c>
    </row>
    <row r="375" spans="15:30" x14ac:dyDescent="0.35">
      <c r="O375" t="str">
        <f t="shared" si="17"/>
        <v/>
      </c>
      <c r="P375" s="18"/>
      <c r="Q375" s="61"/>
      <c r="R375" s="61"/>
      <c r="S375" s="61"/>
      <c r="T375" s="66"/>
      <c r="U375" s="66"/>
      <c r="V375" s="38"/>
      <c r="W375" s="39"/>
      <c r="X375" s="40"/>
      <c r="Y375" s="41"/>
      <c r="Z375" s="42"/>
      <c r="AA375" s="43"/>
      <c r="AB375" s="44"/>
      <c r="AC375" s="45"/>
      <c r="AD375" s="114" t="str">
        <f t="shared" si="16"/>
        <v/>
      </c>
    </row>
    <row r="376" spans="15:30" x14ac:dyDescent="0.35">
      <c r="O376" t="str">
        <f t="shared" si="17"/>
        <v/>
      </c>
      <c r="P376" s="18"/>
      <c r="Q376" s="61"/>
      <c r="R376" s="118"/>
      <c r="S376" s="61"/>
      <c r="T376" s="66"/>
      <c r="U376" s="66"/>
      <c r="V376" s="38"/>
      <c r="W376" s="39"/>
      <c r="X376" s="40"/>
      <c r="Y376" s="41"/>
      <c r="Z376" s="42"/>
      <c r="AA376" s="43"/>
      <c r="AB376" s="44"/>
      <c r="AC376" s="45"/>
      <c r="AD376" s="114" t="str">
        <f t="shared" si="16"/>
        <v/>
      </c>
    </row>
    <row r="377" spans="15:30" x14ac:dyDescent="0.35">
      <c r="O377" t="str">
        <f t="shared" si="17"/>
        <v/>
      </c>
      <c r="P377" s="18"/>
      <c r="Q377" s="61"/>
      <c r="R377" s="61"/>
      <c r="S377" s="61"/>
      <c r="T377" s="66"/>
      <c r="U377" s="66"/>
      <c r="V377" s="38"/>
      <c r="W377" s="39"/>
      <c r="X377" s="40"/>
      <c r="Y377" s="41"/>
      <c r="Z377" s="42"/>
      <c r="AA377" s="43"/>
      <c r="AB377" s="44"/>
      <c r="AC377" s="45"/>
      <c r="AD377" s="114" t="str">
        <f t="shared" si="16"/>
        <v/>
      </c>
    </row>
    <row r="378" spans="15:30" x14ac:dyDescent="0.35">
      <c r="O378" t="str">
        <f t="shared" si="17"/>
        <v/>
      </c>
      <c r="P378" s="18"/>
      <c r="Q378" s="61"/>
      <c r="R378" s="118"/>
      <c r="S378" s="61"/>
      <c r="T378" s="66"/>
      <c r="U378" s="66"/>
      <c r="V378" s="38"/>
      <c r="W378" s="39"/>
      <c r="X378" s="40"/>
      <c r="Y378" s="41"/>
      <c r="Z378" s="42"/>
      <c r="AA378" s="43"/>
      <c r="AB378" s="44"/>
      <c r="AC378" s="45"/>
      <c r="AD378" s="114" t="str">
        <f t="shared" si="16"/>
        <v/>
      </c>
    </row>
    <row r="379" spans="15:30" x14ac:dyDescent="0.35">
      <c r="O379" t="str">
        <f t="shared" si="17"/>
        <v/>
      </c>
      <c r="P379" s="18"/>
      <c r="Q379" s="61"/>
      <c r="R379" s="118"/>
      <c r="S379" s="61"/>
      <c r="T379" s="66"/>
      <c r="U379" s="66"/>
      <c r="V379" s="38"/>
      <c r="W379" s="39"/>
      <c r="X379" s="40"/>
      <c r="Y379" s="41"/>
      <c r="Z379" s="42"/>
      <c r="AA379" s="43"/>
      <c r="AB379" s="44"/>
      <c r="AC379" s="45"/>
      <c r="AD379" s="114" t="str">
        <f t="shared" si="16"/>
        <v/>
      </c>
    </row>
    <row r="380" spans="15:30" x14ac:dyDescent="0.35">
      <c r="O380" t="str">
        <f t="shared" si="17"/>
        <v/>
      </c>
      <c r="P380" s="18"/>
      <c r="Q380" s="61"/>
      <c r="R380" s="61"/>
      <c r="S380" s="61"/>
      <c r="T380" s="66"/>
      <c r="U380" s="66"/>
      <c r="V380" s="38"/>
      <c r="W380" s="39"/>
      <c r="X380" s="40"/>
      <c r="Y380" s="41"/>
      <c r="Z380" s="42"/>
      <c r="AA380" s="43"/>
      <c r="AB380" s="44"/>
      <c r="AC380" s="45"/>
      <c r="AD380" s="114" t="str">
        <f t="shared" si="16"/>
        <v/>
      </c>
    </row>
    <row r="381" spans="15:30" x14ac:dyDescent="0.35">
      <c r="O381" t="str">
        <f t="shared" si="17"/>
        <v/>
      </c>
      <c r="P381" s="18"/>
      <c r="Q381" s="61"/>
      <c r="R381" s="118"/>
      <c r="S381" s="61"/>
      <c r="T381" s="66"/>
      <c r="U381" s="66"/>
      <c r="V381" s="38"/>
      <c r="W381" s="39"/>
      <c r="X381" s="40"/>
      <c r="Y381" s="41"/>
      <c r="Z381" s="42"/>
      <c r="AA381" s="43"/>
      <c r="AB381" s="44"/>
      <c r="AC381" s="45"/>
      <c r="AD381" s="114" t="str">
        <f t="shared" si="16"/>
        <v/>
      </c>
    </row>
    <row r="382" spans="15:30" x14ac:dyDescent="0.35">
      <c r="O382" t="str">
        <f t="shared" si="17"/>
        <v/>
      </c>
      <c r="P382" s="18"/>
      <c r="Q382" s="61"/>
      <c r="R382" s="118"/>
      <c r="S382" s="61"/>
      <c r="T382" s="66"/>
      <c r="U382" s="66"/>
      <c r="V382" s="38"/>
      <c r="W382" s="39"/>
      <c r="X382" s="40"/>
      <c r="Y382" s="41"/>
      <c r="Z382" s="42"/>
      <c r="AA382" s="43"/>
      <c r="AB382" s="44"/>
      <c r="AC382" s="45"/>
      <c r="AD382" s="114" t="str">
        <f t="shared" si="16"/>
        <v/>
      </c>
    </row>
    <row r="383" spans="15:30" x14ac:dyDescent="0.35">
      <c r="O383" t="str">
        <f t="shared" si="17"/>
        <v/>
      </c>
      <c r="P383" s="18"/>
      <c r="Q383" s="61"/>
      <c r="R383" s="61"/>
      <c r="S383" s="61"/>
      <c r="T383" s="66"/>
      <c r="U383" s="66"/>
      <c r="V383" s="38"/>
      <c r="W383" s="39"/>
      <c r="X383" s="40"/>
      <c r="Y383" s="41"/>
      <c r="Z383" s="42"/>
      <c r="AA383" s="43"/>
      <c r="AB383" s="44"/>
      <c r="AC383" s="45"/>
      <c r="AD383" s="114" t="str">
        <f t="shared" si="16"/>
        <v/>
      </c>
    </row>
    <row r="384" spans="15:30" x14ac:dyDescent="0.35">
      <c r="O384" t="str">
        <f t="shared" si="17"/>
        <v/>
      </c>
      <c r="P384" s="18"/>
      <c r="Q384" s="61"/>
      <c r="R384" s="118"/>
      <c r="S384" s="61"/>
      <c r="T384" s="66"/>
      <c r="U384" s="66"/>
      <c r="V384" s="38"/>
      <c r="W384" s="39"/>
      <c r="X384" s="40"/>
      <c r="Y384" s="41"/>
      <c r="Z384" s="42"/>
      <c r="AA384" s="43"/>
      <c r="AB384" s="44"/>
      <c r="AC384" s="45"/>
      <c r="AD384" s="114" t="str">
        <f t="shared" si="16"/>
        <v/>
      </c>
    </row>
    <row r="385" spans="15:30" x14ac:dyDescent="0.35">
      <c r="O385" t="str">
        <f t="shared" si="17"/>
        <v/>
      </c>
      <c r="P385" s="18"/>
      <c r="Q385" s="61"/>
      <c r="R385" s="61"/>
      <c r="S385" s="61"/>
      <c r="T385" s="66"/>
      <c r="U385" s="66"/>
      <c r="V385" s="38"/>
      <c r="W385" s="39"/>
      <c r="X385" s="40"/>
      <c r="Y385" s="41"/>
      <c r="Z385" s="42"/>
      <c r="AA385" s="43"/>
      <c r="AB385" s="44"/>
      <c r="AC385" s="45"/>
      <c r="AD385" s="114" t="str">
        <f t="shared" si="16"/>
        <v/>
      </c>
    </row>
    <row r="386" spans="15:30" x14ac:dyDescent="0.35">
      <c r="O386" t="str">
        <f t="shared" si="17"/>
        <v/>
      </c>
      <c r="P386" s="18"/>
      <c r="Q386" s="61"/>
      <c r="R386" s="118"/>
      <c r="S386" s="61"/>
      <c r="T386" s="66"/>
      <c r="U386" s="66"/>
      <c r="V386" s="38"/>
      <c r="W386" s="39"/>
      <c r="X386" s="40"/>
      <c r="Y386" s="41"/>
      <c r="Z386" s="42"/>
      <c r="AA386" s="43"/>
      <c r="AB386" s="44"/>
      <c r="AC386" s="45"/>
      <c r="AD386" s="114" t="str">
        <f t="shared" ref="AD386:AD449" si="18">IF(P386="","",AC386/6)</f>
        <v/>
      </c>
    </row>
    <row r="387" spans="15:30" x14ac:dyDescent="0.35">
      <c r="O387" t="str">
        <f t="shared" si="17"/>
        <v/>
      </c>
      <c r="P387" s="18"/>
      <c r="Q387" s="61"/>
      <c r="R387" s="61"/>
      <c r="S387" s="61"/>
      <c r="T387" s="66"/>
      <c r="U387" s="66"/>
      <c r="V387" s="38"/>
      <c r="W387" s="39"/>
      <c r="X387" s="40"/>
      <c r="Y387" s="41"/>
      <c r="Z387" s="42"/>
      <c r="AA387" s="43"/>
      <c r="AB387" s="44"/>
      <c r="AC387" s="45"/>
      <c r="AD387" s="114" t="str">
        <f t="shared" si="18"/>
        <v/>
      </c>
    </row>
    <row r="388" spans="15:30" x14ac:dyDescent="0.35">
      <c r="O388" t="str">
        <f t="shared" ref="O388:O451" si="19">IF(P388="","",O387+1)</f>
        <v/>
      </c>
      <c r="P388" s="18"/>
      <c r="Q388" s="61"/>
      <c r="R388" s="61"/>
      <c r="S388" s="61"/>
      <c r="T388" s="66"/>
      <c r="U388" s="66"/>
      <c r="V388" s="38"/>
      <c r="W388" s="39"/>
      <c r="X388" s="40"/>
      <c r="Y388" s="41"/>
      <c r="Z388" s="42"/>
      <c r="AA388" s="43"/>
      <c r="AB388" s="44"/>
      <c r="AC388" s="45"/>
      <c r="AD388" s="114" t="str">
        <f t="shared" si="18"/>
        <v/>
      </c>
    </row>
    <row r="389" spans="15:30" x14ac:dyDescent="0.35">
      <c r="O389" t="str">
        <f t="shared" si="19"/>
        <v/>
      </c>
      <c r="P389" s="18"/>
      <c r="Q389" s="61"/>
      <c r="R389" s="61"/>
      <c r="S389" s="61"/>
      <c r="T389" s="66"/>
      <c r="U389" s="66"/>
      <c r="V389" s="38"/>
      <c r="W389" s="39"/>
      <c r="X389" s="40"/>
      <c r="Y389" s="41"/>
      <c r="Z389" s="42"/>
      <c r="AA389" s="43"/>
      <c r="AB389" s="44"/>
      <c r="AC389" s="45"/>
      <c r="AD389" s="114" t="str">
        <f t="shared" si="18"/>
        <v/>
      </c>
    </row>
    <row r="390" spans="15:30" x14ac:dyDescent="0.35">
      <c r="O390" t="str">
        <f t="shared" si="19"/>
        <v/>
      </c>
      <c r="P390" s="18"/>
      <c r="Q390" s="61"/>
      <c r="R390" s="61"/>
      <c r="S390" s="61"/>
      <c r="T390" s="66"/>
      <c r="U390" s="66"/>
      <c r="V390" s="38"/>
      <c r="W390" s="39"/>
      <c r="X390" s="40"/>
      <c r="Y390" s="41"/>
      <c r="Z390" s="42"/>
      <c r="AA390" s="43"/>
      <c r="AB390" s="44"/>
      <c r="AC390" s="45"/>
      <c r="AD390" s="114" t="str">
        <f t="shared" si="18"/>
        <v/>
      </c>
    </row>
    <row r="391" spans="15:30" x14ac:dyDescent="0.35">
      <c r="O391" t="str">
        <f t="shared" si="19"/>
        <v/>
      </c>
      <c r="P391" s="18"/>
      <c r="Q391" s="61"/>
      <c r="R391" s="61"/>
      <c r="S391" s="61"/>
      <c r="T391" s="66"/>
      <c r="U391" s="66"/>
      <c r="V391" s="38"/>
      <c r="W391" s="39"/>
      <c r="X391" s="40"/>
      <c r="Y391" s="41"/>
      <c r="Z391" s="42"/>
      <c r="AA391" s="43"/>
      <c r="AB391" s="44"/>
      <c r="AC391" s="45"/>
      <c r="AD391" s="114" t="str">
        <f t="shared" si="18"/>
        <v/>
      </c>
    </row>
    <row r="392" spans="15:30" x14ac:dyDescent="0.35">
      <c r="O392" t="str">
        <f t="shared" si="19"/>
        <v/>
      </c>
      <c r="P392" s="62"/>
      <c r="Q392" s="118"/>
      <c r="R392" s="118"/>
      <c r="S392" s="61"/>
      <c r="T392" s="66"/>
      <c r="U392" s="66"/>
      <c r="V392" s="38"/>
      <c r="W392" s="39"/>
      <c r="X392" s="40"/>
      <c r="Y392" s="41"/>
      <c r="Z392" s="42"/>
      <c r="AA392" s="43"/>
      <c r="AB392" s="44"/>
      <c r="AC392" s="45"/>
      <c r="AD392" s="114" t="str">
        <f t="shared" si="18"/>
        <v/>
      </c>
    </row>
    <row r="393" spans="15:30" x14ac:dyDescent="0.35">
      <c r="O393" t="str">
        <f t="shared" si="19"/>
        <v/>
      </c>
      <c r="P393" s="18"/>
      <c r="Q393" s="61"/>
      <c r="R393" s="61"/>
      <c r="S393" s="61"/>
      <c r="T393" s="66"/>
      <c r="U393" s="66"/>
      <c r="V393" s="38"/>
      <c r="W393" s="39"/>
      <c r="X393" s="40"/>
      <c r="Y393" s="41"/>
      <c r="Z393" s="42"/>
      <c r="AA393" s="43"/>
      <c r="AB393" s="44"/>
      <c r="AC393" s="45"/>
      <c r="AD393" s="114" t="str">
        <f t="shared" si="18"/>
        <v/>
      </c>
    </row>
    <row r="394" spans="15:30" x14ac:dyDescent="0.35">
      <c r="O394" t="str">
        <f t="shared" si="19"/>
        <v/>
      </c>
      <c r="P394" s="18"/>
      <c r="Q394" s="61"/>
      <c r="R394" s="118"/>
      <c r="S394" s="61"/>
      <c r="T394" s="66"/>
      <c r="U394" s="66"/>
      <c r="V394" s="38"/>
      <c r="W394" s="39"/>
      <c r="X394" s="40"/>
      <c r="Y394" s="41"/>
      <c r="Z394" s="42"/>
      <c r="AA394" s="43"/>
      <c r="AB394" s="44"/>
      <c r="AC394" s="45"/>
      <c r="AD394" s="114" t="str">
        <f t="shared" si="18"/>
        <v/>
      </c>
    </row>
    <row r="395" spans="15:30" x14ac:dyDescent="0.35">
      <c r="O395" t="str">
        <f t="shared" si="19"/>
        <v/>
      </c>
      <c r="P395" s="18"/>
      <c r="Q395" s="61"/>
      <c r="R395" s="118"/>
      <c r="S395" s="61"/>
      <c r="T395" s="66"/>
      <c r="U395" s="66"/>
      <c r="V395" s="38"/>
      <c r="W395" s="39"/>
      <c r="X395" s="40"/>
      <c r="Y395" s="41"/>
      <c r="Z395" s="42"/>
      <c r="AA395" s="43"/>
      <c r="AB395" s="44"/>
      <c r="AC395" s="45"/>
      <c r="AD395" s="114" t="str">
        <f t="shared" si="18"/>
        <v/>
      </c>
    </row>
    <row r="396" spans="15:30" x14ac:dyDescent="0.35">
      <c r="O396" t="str">
        <f t="shared" si="19"/>
        <v/>
      </c>
      <c r="P396" s="18"/>
      <c r="Q396" s="61"/>
      <c r="R396" s="118"/>
      <c r="S396" s="61"/>
      <c r="T396" s="66"/>
      <c r="U396" s="66"/>
      <c r="V396" s="38"/>
      <c r="W396" s="39"/>
      <c r="X396" s="40"/>
      <c r="Y396" s="41"/>
      <c r="Z396" s="42"/>
      <c r="AA396" s="43"/>
      <c r="AB396" s="44"/>
      <c r="AC396" s="45"/>
      <c r="AD396" s="114" t="str">
        <f t="shared" si="18"/>
        <v/>
      </c>
    </row>
    <row r="397" spans="15:30" x14ac:dyDescent="0.35">
      <c r="O397" t="str">
        <f t="shared" si="19"/>
        <v/>
      </c>
      <c r="P397" s="18"/>
      <c r="Q397" s="61"/>
      <c r="R397" s="61"/>
      <c r="S397" s="61"/>
      <c r="T397" s="66"/>
      <c r="U397" s="66"/>
      <c r="V397" s="38"/>
      <c r="W397" s="39"/>
      <c r="X397" s="40"/>
      <c r="Y397" s="41"/>
      <c r="Z397" s="42"/>
      <c r="AA397" s="43"/>
      <c r="AB397" s="44"/>
      <c r="AC397" s="45"/>
      <c r="AD397" s="114" t="str">
        <f t="shared" si="18"/>
        <v/>
      </c>
    </row>
    <row r="398" spans="15:30" x14ac:dyDescent="0.35">
      <c r="O398" t="str">
        <f t="shared" si="19"/>
        <v/>
      </c>
      <c r="P398" s="18"/>
      <c r="Q398" s="61"/>
      <c r="R398" s="118"/>
      <c r="S398" s="61"/>
      <c r="T398" s="66"/>
      <c r="U398" s="66"/>
      <c r="V398" s="38"/>
      <c r="W398" s="39"/>
      <c r="X398" s="40"/>
      <c r="Y398" s="41"/>
      <c r="Z398" s="42"/>
      <c r="AA398" s="43"/>
      <c r="AB398" s="44"/>
      <c r="AC398" s="45"/>
      <c r="AD398" s="114" t="str">
        <f t="shared" si="18"/>
        <v/>
      </c>
    </row>
    <row r="399" spans="15:30" x14ac:dyDescent="0.35">
      <c r="O399" t="str">
        <f t="shared" si="19"/>
        <v/>
      </c>
      <c r="P399" s="62"/>
      <c r="Q399" s="118"/>
      <c r="R399" s="118"/>
      <c r="S399" s="61"/>
      <c r="T399" s="66"/>
      <c r="U399" s="66"/>
      <c r="V399" s="38"/>
      <c r="W399" s="39"/>
      <c r="X399" s="40"/>
      <c r="Y399" s="41"/>
      <c r="Z399" s="42"/>
      <c r="AA399" s="43"/>
      <c r="AB399" s="44"/>
      <c r="AC399" s="45"/>
      <c r="AD399" s="114" t="str">
        <f t="shared" si="18"/>
        <v/>
      </c>
    </row>
    <row r="400" spans="15:30" x14ac:dyDescent="0.35">
      <c r="O400" t="str">
        <f t="shared" si="19"/>
        <v/>
      </c>
      <c r="P400" s="18"/>
      <c r="Q400" s="61"/>
      <c r="R400" s="118"/>
      <c r="S400" s="61"/>
      <c r="T400" s="66"/>
      <c r="U400" s="66"/>
      <c r="V400" s="38"/>
      <c r="W400" s="39"/>
      <c r="X400" s="40"/>
      <c r="Y400" s="41"/>
      <c r="Z400" s="42"/>
      <c r="AA400" s="43"/>
      <c r="AB400" s="44"/>
      <c r="AC400" s="45"/>
      <c r="AD400" s="114" t="str">
        <f t="shared" si="18"/>
        <v/>
      </c>
    </row>
    <row r="401" spans="15:30" x14ac:dyDescent="0.35">
      <c r="O401" t="str">
        <f t="shared" si="19"/>
        <v/>
      </c>
      <c r="P401" s="18"/>
      <c r="Q401" s="61"/>
      <c r="R401" s="118"/>
      <c r="S401" s="61"/>
      <c r="T401" s="66"/>
      <c r="U401" s="66"/>
      <c r="V401" s="38"/>
      <c r="W401" s="39"/>
      <c r="X401" s="40"/>
      <c r="Y401" s="41"/>
      <c r="Z401" s="42"/>
      <c r="AA401" s="43"/>
      <c r="AB401" s="44"/>
      <c r="AC401" s="45"/>
      <c r="AD401" s="114" t="str">
        <f t="shared" si="18"/>
        <v/>
      </c>
    </row>
    <row r="402" spans="15:30" x14ac:dyDescent="0.35">
      <c r="O402" t="str">
        <f t="shared" si="19"/>
        <v/>
      </c>
      <c r="P402" s="18"/>
      <c r="Q402" s="61"/>
      <c r="R402" s="61"/>
      <c r="S402" s="61"/>
      <c r="T402" s="66"/>
      <c r="U402" s="66"/>
      <c r="V402" s="38"/>
      <c r="W402" s="39"/>
      <c r="X402" s="40"/>
      <c r="Y402" s="41"/>
      <c r="Z402" s="42"/>
      <c r="AA402" s="43"/>
      <c r="AB402" s="44"/>
      <c r="AC402" s="45"/>
      <c r="AD402" s="114" t="str">
        <f t="shared" si="18"/>
        <v/>
      </c>
    </row>
    <row r="403" spans="15:30" x14ac:dyDescent="0.35">
      <c r="O403" t="str">
        <f t="shared" si="19"/>
        <v/>
      </c>
      <c r="P403" s="18"/>
      <c r="Q403" s="61"/>
      <c r="R403" s="61"/>
      <c r="S403" s="61"/>
      <c r="T403" s="66"/>
      <c r="U403" s="66"/>
      <c r="V403" s="38"/>
      <c r="W403" s="39"/>
      <c r="X403" s="40"/>
      <c r="Y403" s="41"/>
      <c r="Z403" s="42"/>
      <c r="AA403" s="43"/>
      <c r="AB403" s="44"/>
      <c r="AC403" s="45"/>
      <c r="AD403" s="114" t="str">
        <f t="shared" si="18"/>
        <v/>
      </c>
    </row>
    <row r="404" spans="15:30" x14ac:dyDescent="0.35">
      <c r="O404" t="str">
        <f t="shared" si="19"/>
        <v/>
      </c>
      <c r="P404" s="18"/>
      <c r="Q404" s="61"/>
      <c r="R404" s="118"/>
      <c r="S404" s="61"/>
      <c r="T404" s="66"/>
      <c r="U404" s="66"/>
      <c r="V404" s="38"/>
      <c r="W404" s="39"/>
      <c r="X404" s="40"/>
      <c r="Y404" s="41"/>
      <c r="Z404" s="42"/>
      <c r="AA404" s="43"/>
      <c r="AB404" s="44"/>
      <c r="AC404" s="45"/>
      <c r="AD404" s="114" t="str">
        <f t="shared" si="18"/>
        <v/>
      </c>
    </row>
    <row r="405" spans="15:30" x14ac:dyDescent="0.35">
      <c r="O405" t="str">
        <f t="shared" si="19"/>
        <v/>
      </c>
      <c r="P405" s="18"/>
      <c r="Q405" s="61"/>
      <c r="R405" s="61"/>
      <c r="S405" s="61"/>
      <c r="T405" s="66"/>
      <c r="U405" s="66"/>
      <c r="V405" s="38"/>
      <c r="W405" s="39"/>
      <c r="X405" s="40"/>
      <c r="Y405" s="41"/>
      <c r="Z405" s="42"/>
      <c r="AA405" s="43"/>
      <c r="AB405" s="44"/>
      <c r="AC405" s="45"/>
      <c r="AD405" s="114" t="str">
        <f t="shared" si="18"/>
        <v/>
      </c>
    </row>
    <row r="406" spans="15:30" x14ac:dyDescent="0.35">
      <c r="O406" t="str">
        <f t="shared" si="19"/>
        <v/>
      </c>
      <c r="P406" s="18"/>
      <c r="Q406" s="61"/>
      <c r="R406" s="118"/>
      <c r="S406" s="61"/>
      <c r="T406" s="66"/>
      <c r="U406" s="66"/>
      <c r="V406" s="38"/>
      <c r="W406" s="39"/>
      <c r="X406" s="40"/>
      <c r="Y406" s="41"/>
      <c r="Z406" s="42"/>
      <c r="AA406" s="43"/>
      <c r="AB406" s="44"/>
      <c r="AC406" s="45"/>
      <c r="AD406" s="114" t="str">
        <f t="shared" si="18"/>
        <v/>
      </c>
    </row>
    <row r="407" spans="15:30" x14ac:dyDescent="0.35">
      <c r="O407" t="str">
        <f t="shared" si="19"/>
        <v/>
      </c>
      <c r="P407" s="18"/>
      <c r="Q407" s="61"/>
      <c r="R407" s="61"/>
      <c r="S407" s="61"/>
      <c r="T407" s="66"/>
      <c r="U407" s="66"/>
      <c r="V407" s="38"/>
      <c r="W407" s="39"/>
      <c r="X407" s="40"/>
      <c r="Y407" s="41"/>
      <c r="Z407" s="42"/>
      <c r="AA407" s="43"/>
      <c r="AB407" s="44"/>
      <c r="AC407" s="45"/>
      <c r="AD407" s="114" t="str">
        <f t="shared" si="18"/>
        <v/>
      </c>
    </row>
    <row r="408" spans="15:30" x14ac:dyDescent="0.35">
      <c r="O408" t="str">
        <f t="shared" si="19"/>
        <v/>
      </c>
      <c r="P408" s="18"/>
      <c r="Q408" s="61"/>
      <c r="R408" s="61"/>
      <c r="S408" s="61"/>
      <c r="T408" s="66"/>
      <c r="U408" s="66"/>
      <c r="V408" s="38"/>
      <c r="W408" s="39"/>
      <c r="X408" s="40"/>
      <c r="Y408" s="41"/>
      <c r="Z408" s="42"/>
      <c r="AA408" s="43"/>
      <c r="AB408" s="44"/>
      <c r="AC408" s="45"/>
      <c r="AD408" s="114" t="str">
        <f t="shared" si="18"/>
        <v/>
      </c>
    </row>
    <row r="409" spans="15:30" x14ac:dyDescent="0.35">
      <c r="O409" t="str">
        <f t="shared" si="19"/>
        <v/>
      </c>
      <c r="P409" s="18"/>
      <c r="Q409" s="61"/>
      <c r="R409" s="118"/>
      <c r="S409" s="61"/>
      <c r="T409" s="66"/>
      <c r="U409" s="66"/>
      <c r="V409" s="38"/>
      <c r="W409" s="39"/>
      <c r="X409" s="40"/>
      <c r="Y409" s="41"/>
      <c r="Z409" s="42"/>
      <c r="AA409" s="43"/>
      <c r="AB409" s="44"/>
      <c r="AC409" s="45"/>
      <c r="AD409" s="114" t="str">
        <f t="shared" si="18"/>
        <v/>
      </c>
    </row>
    <row r="410" spans="15:30" x14ac:dyDescent="0.35">
      <c r="O410" t="str">
        <f t="shared" si="19"/>
        <v/>
      </c>
      <c r="P410" s="18"/>
      <c r="Q410" s="61"/>
      <c r="R410" s="118"/>
      <c r="S410" s="61"/>
      <c r="T410" s="66"/>
      <c r="U410" s="66"/>
      <c r="V410" s="38"/>
      <c r="W410" s="39"/>
      <c r="X410" s="40"/>
      <c r="Y410" s="41"/>
      <c r="Z410" s="42"/>
      <c r="AA410" s="43"/>
      <c r="AB410" s="44"/>
      <c r="AC410" s="45"/>
      <c r="AD410" s="114" t="str">
        <f t="shared" si="18"/>
        <v/>
      </c>
    </row>
    <row r="411" spans="15:30" x14ac:dyDescent="0.35">
      <c r="O411" t="str">
        <f t="shared" si="19"/>
        <v/>
      </c>
      <c r="P411" s="18"/>
      <c r="Q411" s="61"/>
      <c r="R411" s="61"/>
      <c r="S411" s="61"/>
      <c r="T411" s="66"/>
      <c r="U411" s="66"/>
      <c r="V411" s="38"/>
      <c r="W411" s="39"/>
      <c r="X411" s="40"/>
      <c r="Y411" s="41"/>
      <c r="Z411" s="42"/>
      <c r="AA411" s="43"/>
      <c r="AB411" s="44"/>
      <c r="AC411" s="45"/>
      <c r="AD411" s="114" t="str">
        <f t="shared" si="18"/>
        <v/>
      </c>
    </row>
    <row r="412" spans="15:30" x14ac:dyDescent="0.35">
      <c r="O412" t="str">
        <f t="shared" si="19"/>
        <v/>
      </c>
      <c r="P412" s="18"/>
      <c r="Q412" s="61"/>
      <c r="R412" s="118"/>
      <c r="S412" s="61"/>
      <c r="T412" s="66"/>
      <c r="U412" s="66"/>
      <c r="V412" s="38"/>
      <c r="W412" s="39"/>
      <c r="X412" s="40"/>
      <c r="Y412" s="41"/>
      <c r="Z412" s="42"/>
      <c r="AA412" s="43"/>
      <c r="AB412" s="44"/>
      <c r="AC412" s="45"/>
      <c r="AD412" s="114" t="str">
        <f t="shared" si="18"/>
        <v/>
      </c>
    </row>
    <row r="413" spans="15:30" x14ac:dyDescent="0.35">
      <c r="O413" t="str">
        <f t="shared" si="19"/>
        <v/>
      </c>
      <c r="P413" s="18"/>
      <c r="Q413" s="61"/>
      <c r="R413" s="118"/>
      <c r="S413" s="61"/>
      <c r="T413" s="66"/>
      <c r="U413" s="66"/>
      <c r="V413" s="38"/>
      <c r="W413" s="39"/>
      <c r="X413" s="40"/>
      <c r="Y413" s="41"/>
      <c r="Z413" s="42"/>
      <c r="AA413" s="43"/>
      <c r="AB413" s="44"/>
      <c r="AC413" s="45"/>
      <c r="AD413" s="114" t="str">
        <f t="shared" si="18"/>
        <v/>
      </c>
    </row>
    <row r="414" spans="15:30" x14ac:dyDescent="0.35">
      <c r="O414" t="str">
        <f t="shared" si="19"/>
        <v/>
      </c>
      <c r="P414" s="62"/>
      <c r="Q414" s="118"/>
      <c r="R414" s="61"/>
      <c r="S414" s="61"/>
      <c r="T414" s="66"/>
      <c r="U414" s="66"/>
      <c r="V414" s="38"/>
      <c r="W414" s="39"/>
      <c r="X414" s="40"/>
      <c r="Y414" s="41"/>
      <c r="Z414" s="42"/>
      <c r="AA414" s="43"/>
      <c r="AB414" s="44"/>
      <c r="AC414" s="45"/>
      <c r="AD414" s="114" t="str">
        <f t="shared" si="18"/>
        <v/>
      </c>
    </row>
    <row r="415" spans="15:30" x14ac:dyDescent="0.35">
      <c r="O415" t="str">
        <f t="shared" si="19"/>
        <v/>
      </c>
      <c r="P415" s="18"/>
      <c r="Q415" s="61"/>
      <c r="R415" s="118"/>
      <c r="S415" s="61"/>
      <c r="T415" s="66"/>
      <c r="U415" s="66"/>
      <c r="V415" s="38"/>
      <c r="W415" s="39"/>
      <c r="X415" s="40"/>
      <c r="Y415" s="41"/>
      <c r="Z415" s="42"/>
      <c r="AA415" s="43"/>
      <c r="AB415" s="44"/>
      <c r="AC415" s="45"/>
      <c r="AD415" s="114" t="str">
        <f t="shared" si="18"/>
        <v/>
      </c>
    </row>
    <row r="416" spans="15:30" x14ac:dyDescent="0.35">
      <c r="O416" t="str">
        <f t="shared" si="19"/>
        <v/>
      </c>
      <c r="P416" s="18"/>
      <c r="Q416" s="61"/>
      <c r="R416" s="118"/>
      <c r="S416" s="61"/>
      <c r="T416" s="66"/>
      <c r="U416" s="66"/>
      <c r="V416" s="38"/>
      <c r="W416" s="39"/>
      <c r="X416" s="40"/>
      <c r="Y416" s="41"/>
      <c r="Z416" s="42"/>
      <c r="AA416" s="43"/>
      <c r="AB416" s="44"/>
      <c r="AC416" s="45"/>
      <c r="AD416" s="114" t="str">
        <f t="shared" si="18"/>
        <v/>
      </c>
    </row>
    <row r="417" spans="15:30" x14ac:dyDescent="0.35">
      <c r="O417" t="str">
        <f t="shared" si="19"/>
        <v/>
      </c>
      <c r="P417" s="18"/>
      <c r="Q417" s="61"/>
      <c r="R417" s="118"/>
      <c r="S417" s="61"/>
      <c r="T417" s="66"/>
      <c r="U417" s="66"/>
      <c r="V417" s="38"/>
      <c r="W417" s="39"/>
      <c r="X417" s="40"/>
      <c r="Y417" s="41"/>
      <c r="Z417" s="42"/>
      <c r="AA417" s="43"/>
      <c r="AB417" s="44"/>
      <c r="AC417" s="45"/>
      <c r="AD417" s="114" t="str">
        <f t="shared" si="18"/>
        <v/>
      </c>
    </row>
    <row r="418" spans="15:30" x14ac:dyDescent="0.35">
      <c r="O418" t="str">
        <f t="shared" si="19"/>
        <v/>
      </c>
      <c r="P418" s="18"/>
      <c r="Q418" s="61"/>
      <c r="R418" s="118"/>
      <c r="S418" s="61"/>
      <c r="T418" s="66"/>
      <c r="U418" s="66"/>
      <c r="V418" s="38"/>
      <c r="W418" s="39"/>
      <c r="X418" s="40"/>
      <c r="Y418" s="41"/>
      <c r="Z418" s="42"/>
      <c r="AA418" s="43"/>
      <c r="AB418" s="44"/>
      <c r="AC418" s="45"/>
      <c r="AD418" s="114" t="str">
        <f t="shared" si="18"/>
        <v/>
      </c>
    </row>
    <row r="419" spans="15:30" x14ac:dyDescent="0.35">
      <c r="O419" t="str">
        <f t="shared" si="19"/>
        <v/>
      </c>
      <c r="P419" s="18"/>
      <c r="Q419" s="61"/>
      <c r="R419" s="118"/>
      <c r="S419" s="61"/>
      <c r="T419" s="66"/>
      <c r="U419" s="66"/>
      <c r="V419" s="38"/>
      <c r="W419" s="39"/>
      <c r="X419" s="40"/>
      <c r="Y419" s="41"/>
      <c r="Z419" s="42"/>
      <c r="AA419" s="43"/>
      <c r="AB419" s="44"/>
      <c r="AC419" s="45"/>
      <c r="AD419" s="114" t="str">
        <f t="shared" si="18"/>
        <v/>
      </c>
    </row>
    <row r="420" spans="15:30" x14ac:dyDescent="0.35">
      <c r="O420" t="str">
        <f t="shared" si="19"/>
        <v/>
      </c>
      <c r="P420" s="18"/>
      <c r="Q420" s="61"/>
      <c r="R420" s="118"/>
      <c r="S420" s="61"/>
      <c r="T420" s="66"/>
      <c r="U420" s="66"/>
      <c r="V420" s="38"/>
      <c r="W420" s="39"/>
      <c r="X420" s="40"/>
      <c r="Y420" s="41"/>
      <c r="Z420" s="42"/>
      <c r="AA420" s="43"/>
      <c r="AB420" s="44"/>
      <c r="AC420" s="45"/>
      <c r="AD420" s="114" t="str">
        <f t="shared" si="18"/>
        <v/>
      </c>
    </row>
    <row r="421" spans="15:30" x14ac:dyDescent="0.35">
      <c r="O421" t="str">
        <f t="shared" si="19"/>
        <v/>
      </c>
      <c r="P421" s="18"/>
      <c r="Q421" s="61"/>
      <c r="R421" s="61"/>
      <c r="S421" s="61"/>
      <c r="T421" s="66"/>
      <c r="U421" s="66"/>
      <c r="V421" s="38"/>
      <c r="W421" s="39"/>
      <c r="X421" s="40"/>
      <c r="Y421" s="41"/>
      <c r="Z421" s="42"/>
      <c r="AA421" s="43"/>
      <c r="AB421" s="44"/>
      <c r="AC421" s="45"/>
      <c r="AD421" s="114" t="str">
        <f t="shared" si="18"/>
        <v/>
      </c>
    </row>
    <row r="422" spans="15:30" x14ac:dyDescent="0.35">
      <c r="O422" t="str">
        <f t="shared" si="19"/>
        <v/>
      </c>
      <c r="P422" s="18"/>
      <c r="Q422" s="61"/>
      <c r="R422" s="118"/>
      <c r="S422" s="61"/>
      <c r="T422" s="66"/>
      <c r="U422" s="66"/>
      <c r="V422" s="38"/>
      <c r="W422" s="39"/>
      <c r="X422" s="40"/>
      <c r="Y422" s="41"/>
      <c r="Z422" s="42"/>
      <c r="AA422" s="43"/>
      <c r="AB422" s="44"/>
      <c r="AC422" s="45"/>
      <c r="AD422" s="114" t="str">
        <f t="shared" si="18"/>
        <v/>
      </c>
    </row>
    <row r="423" spans="15:30" x14ac:dyDescent="0.35">
      <c r="O423" t="str">
        <f t="shared" si="19"/>
        <v/>
      </c>
      <c r="P423" s="62"/>
      <c r="Q423" s="118"/>
      <c r="R423" s="61"/>
      <c r="S423" s="61"/>
      <c r="T423" s="66"/>
      <c r="U423" s="66"/>
      <c r="V423" s="38"/>
      <c r="W423" s="39"/>
      <c r="X423" s="40"/>
      <c r="Y423" s="41"/>
      <c r="Z423" s="42"/>
      <c r="AA423" s="43"/>
      <c r="AB423" s="44"/>
      <c r="AC423" s="45"/>
      <c r="AD423" s="114" t="str">
        <f t="shared" si="18"/>
        <v/>
      </c>
    </row>
    <row r="424" spans="15:30" x14ac:dyDescent="0.35">
      <c r="O424" t="str">
        <f t="shared" si="19"/>
        <v/>
      </c>
      <c r="P424" s="18"/>
      <c r="Q424" s="61"/>
      <c r="R424" s="118"/>
      <c r="S424" s="61"/>
      <c r="T424" s="66"/>
      <c r="U424" s="66"/>
      <c r="V424" s="38"/>
      <c r="W424" s="39"/>
      <c r="X424" s="40"/>
      <c r="Y424" s="41"/>
      <c r="Z424" s="42"/>
      <c r="AA424" s="43"/>
      <c r="AB424" s="44"/>
      <c r="AC424" s="45"/>
      <c r="AD424" s="114" t="str">
        <f t="shared" si="18"/>
        <v/>
      </c>
    </row>
    <row r="425" spans="15:30" x14ac:dyDescent="0.35">
      <c r="O425" t="str">
        <f t="shared" si="19"/>
        <v/>
      </c>
      <c r="P425" s="18"/>
      <c r="Q425" s="61"/>
      <c r="R425" s="61"/>
      <c r="S425" s="61"/>
      <c r="T425" s="66"/>
      <c r="U425" s="66"/>
      <c r="V425" s="38"/>
      <c r="W425" s="39"/>
      <c r="X425" s="40"/>
      <c r="Y425" s="41"/>
      <c r="Z425" s="42"/>
      <c r="AA425" s="43"/>
      <c r="AB425" s="44"/>
      <c r="AC425" s="45"/>
      <c r="AD425" s="114" t="str">
        <f t="shared" si="18"/>
        <v/>
      </c>
    </row>
    <row r="426" spans="15:30" x14ac:dyDescent="0.35">
      <c r="O426" t="str">
        <f t="shared" si="19"/>
        <v/>
      </c>
      <c r="P426" s="18"/>
      <c r="Q426" s="61"/>
      <c r="R426" s="118"/>
      <c r="S426" s="61"/>
      <c r="T426" s="66"/>
      <c r="U426" s="66"/>
      <c r="V426" s="38"/>
      <c r="W426" s="39"/>
      <c r="X426" s="40"/>
      <c r="Y426" s="41"/>
      <c r="Z426" s="42"/>
      <c r="AA426" s="43"/>
      <c r="AB426" s="44"/>
      <c r="AC426" s="45"/>
      <c r="AD426" s="114" t="str">
        <f t="shared" si="18"/>
        <v/>
      </c>
    </row>
    <row r="427" spans="15:30" x14ac:dyDescent="0.35">
      <c r="O427" t="str">
        <f t="shared" si="19"/>
        <v/>
      </c>
      <c r="P427" s="18"/>
      <c r="Q427" s="61"/>
      <c r="R427" s="118"/>
      <c r="S427" s="61"/>
      <c r="T427" s="66"/>
      <c r="U427" s="66"/>
      <c r="V427" s="38"/>
      <c r="W427" s="39"/>
      <c r="X427" s="40"/>
      <c r="Y427" s="41"/>
      <c r="Z427" s="42"/>
      <c r="AA427" s="43"/>
      <c r="AB427" s="44"/>
      <c r="AC427" s="45"/>
      <c r="AD427" s="114" t="str">
        <f t="shared" si="18"/>
        <v/>
      </c>
    </row>
    <row r="428" spans="15:30" x14ac:dyDescent="0.35">
      <c r="O428" t="str">
        <f t="shared" si="19"/>
        <v/>
      </c>
      <c r="P428" s="18"/>
      <c r="Q428" s="61"/>
      <c r="R428" s="118"/>
      <c r="S428" s="61"/>
      <c r="T428" s="66"/>
      <c r="U428" s="66"/>
      <c r="V428" s="38"/>
      <c r="W428" s="39"/>
      <c r="X428" s="40"/>
      <c r="Y428" s="41"/>
      <c r="Z428" s="42"/>
      <c r="AA428" s="43"/>
      <c r="AB428" s="44"/>
      <c r="AC428" s="45"/>
      <c r="AD428" s="114" t="str">
        <f t="shared" si="18"/>
        <v/>
      </c>
    </row>
    <row r="429" spans="15:30" x14ac:dyDescent="0.35">
      <c r="O429" t="str">
        <f t="shared" si="19"/>
        <v/>
      </c>
      <c r="P429" s="18"/>
      <c r="Q429" s="61"/>
      <c r="R429" s="118"/>
      <c r="S429" s="61"/>
      <c r="T429" s="66"/>
      <c r="U429" s="66"/>
      <c r="V429" s="38"/>
      <c r="W429" s="39"/>
      <c r="X429" s="40"/>
      <c r="Y429" s="41"/>
      <c r="Z429" s="42"/>
      <c r="AA429" s="43"/>
      <c r="AB429" s="44"/>
      <c r="AC429" s="45"/>
      <c r="AD429" s="114" t="str">
        <f t="shared" si="18"/>
        <v/>
      </c>
    </row>
    <row r="430" spans="15:30" x14ac:dyDescent="0.35">
      <c r="O430" t="str">
        <f t="shared" si="19"/>
        <v/>
      </c>
      <c r="P430" s="62"/>
      <c r="Q430" s="118"/>
      <c r="R430" s="61"/>
      <c r="S430" s="61"/>
      <c r="T430" s="66"/>
      <c r="U430" s="66"/>
      <c r="V430" s="38"/>
      <c r="W430" s="39"/>
      <c r="X430" s="40"/>
      <c r="Y430" s="41"/>
      <c r="Z430" s="42"/>
      <c r="AA430" s="43"/>
      <c r="AB430" s="44"/>
      <c r="AC430" s="45"/>
      <c r="AD430" s="114" t="str">
        <f t="shared" si="18"/>
        <v/>
      </c>
    </row>
    <row r="431" spans="15:30" x14ac:dyDescent="0.35">
      <c r="O431" t="str">
        <f t="shared" si="19"/>
        <v/>
      </c>
      <c r="P431" s="18"/>
      <c r="Q431" s="61"/>
      <c r="R431" s="118"/>
      <c r="S431" s="61"/>
      <c r="T431" s="66"/>
      <c r="U431" s="66"/>
      <c r="V431" s="38"/>
      <c r="W431" s="39"/>
      <c r="X431" s="40"/>
      <c r="Y431" s="41"/>
      <c r="Z431" s="42"/>
      <c r="AA431" s="43"/>
      <c r="AB431" s="44"/>
      <c r="AC431" s="45"/>
      <c r="AD431" s="114" t="str">
        <f t="shared" si="18"/>
        <v/>
      </c>
    </row>
    <row r="432" spans="15:30" x14ac:dyDescent="0.35">
      <c r="O432" t="str">
        <f t="shared" si="19"/>
        <v/>
      </c>
      <c r="P432" s="18"/>
      <c r="Q432" s="61"/>
      <c r="R432" s="61"/>
      <c r="S432" s="61"/>
      <c r="T432" s="66"/>
      <c r="U432" s="66"/>
      <c r="V432" s="38"/>
      <c r="W432" s="39"/>
      <c r="X432" s="40"/>
      <c r="Y432" s="41"/>
      <c r="Z432" s="42"/>
      <c r="AA432" s="43"/>
      <c r="AB432" s="44"/>
      <c r="AC432" s="45"/>
      <c r="AD432" s="114" t="str">
        <f t="shared" si="18"/>
        <v/>
      </c>
    </row>
    <row r="433" spans="15:30" x14ac:dyDescent="0.35">
      <c r="O433" t="str">
        <f t="shared" si="19"/>
        <v/>
      </c>
      <c r="P433" s="18"/>
      <c r="Q433" s="61"/>
      <c r="R433" s="118"/>
      <c r="S433" s="61"/>
      <c r="T433" s="66"/>
      <c r="U433" s="66"/>
      <c r="V433" s="38"/>
      <c r="W433" s="39"/>
      <c r="X433" s="40"/>
      <c r="Y433" s="41"/>
      <c r="Z433" s="42"/>
      <c r="AA433" s="43"/>
      <c r="AB433" s="44"/>
      <c r="AC433" s="45"/>
      <c r="AD433" s="114" t="str">
        <f t="shared" si="18"/>
        <v/>
      </c>
    </row>
    <row r="434" spans="15:30" x14ac:dyDescent="0.35">
      <c r="O434" t="str">
        <f t="shared" si="19"/>
        <v/>
      </c>
      <c r="P434" s="18"/>
      <c r="Q434" s="61"/>
      <c r="R434" s="118"/>
      <c r="S434" s="61"/>
      <c r="T434" s="66"/>
      <c r="U434" s="66"/>
      <c r="V434" s="38"/>
      <c r="W434" s="39"/>
      <c r="X434" s="40"/>
      <c r="Y434" s="41"/>
      <c r="Z434" s="42"/>
      <c r="AA434" s="43"/>
      <c r="AB434" s="44"/>
      <c r="AC434" s="45"/>
      <c r="AD434" s="114" t="str">
        <f t="shared" si="18"/>
        <v/>
      </c>
    </row>
    <row r="435" spans="15:30" x14ac:dyDescent="0.35">
      <c r="O435" t="str">
        <f t="shared" si="19"/>
        <v/>
      </c>
      <c r="P435" s="18"/>
      <c r="Q435" s="61"/>
      <c r="R435" s="61"/>
      <c r="S435" s="61"/>
      <c r="T435" s="66"/>
      <c r="U435" s="66"/>
      <c r="V435" s="38"/>
      <c r="W435" s="39"/>
      <c r="X435" s="40"/>
      <c r="Y435" s="41"/>
      <c r="Z435" s="42"/>
      <c r="AA435" s="43"/>
      <c r="AB435" s="44"/>
      <c r="AC435" s="45"/>
      <c r="AD435" s="114" t="str">
        <f t="shared" si="18"/>
        <v/>
      </c>
    </row>
    <row r="436" spans="15:30" x14ac:dyDescent="0.35">
      <c r="O436" t="str">
        <f t="shared" si="19"/>
        <v/>
      </c>
      <c r="P436" s="18"/>
      <c r="Q436" s="61"/>
      <c r="R436" s="118"/>
      <c r="S436" s="61"/>
      <c r="T436" s="66"/>
      <c r="U436" s="66"/>
      <c r="V436" s="38"/>
      <c r="W436" s="39"/>
      <c r="X436" s="40"/>
      <c r="Y436" s="41"/>
      <c r="Z436" s="42"/>
      <c r="AA436" s="43"/>
      <c r="AB436" s="44"/>
      <c r="AC436" s="45"/>
      <c r="AD436" s="114" t="str">
        <f t="shared" si="18"/>
        <v/>
      </c>
    </row>
    <row r="437" spans="15:30" x14ac:dyDescent="0.35">
      <c r="O437" t="str">
        <f t="shared" si="19"/>
        <v/>
      </c>
      <c r="P437" s="18"/>
      <c r="Q437" s="61"/>
      <c r="R437" s="61"/>
      <c r="S437" s="61"/>
      <c r="T437" s="66"/>
      <c r="U437" s="66"/>
      <c r="V437" s="38"/>
      <c r="W437" s="39"/>
      <c r="X437" s="40"/>
      <c r="Y437" s="41"/>
      <c r="Z437" s="42"/>
      <c r="AA437" s="43"/>
      <c r="AB437" s="44"/>
      <c r="AC437" s="45"/>
      <c r="AD437" s="114" t="str">
        <f t="shared" si="18"/>
        <v/>
      </c>
    </row>
    <row r="438" spans="15:30" x14ac:dyDescent="0.35">
      <c r="O438" t="str">
        <f t="shared" si="19"/>
        <v/>
      </c>
      <c r="P438" s="18"/>
      <c r="Q438" s="61"/>
      <c r="R438" s="118"/>
      <c r="S438" s="61"/>
      <c r="T438" s="66"/>
      <c r="U438" s="66"/>
      <c r="V438" s="38"/>
      <c r="W438" s="39"/>
      <c r="X438" s="40"/>
      <c r="Y438" s="41"/>
      <c r="Z438" s="42"/>
      <c r="AA438" s="43"/>
      <c r="AB438" s="44"/>
      <c r="AC438" s="45"/>
      <c r="AD438" s="114" t="str">
        <f t="shared" si="18"/>
        <v/>
      </c>
    </row>
    <row r="439" spans="15:30" x14ac:dyDescent="0.35">
      <c r="O439" t="str">
        <f t="shared" si="19"/>
        <v/>
      </c>
      <c r="P439" s="18"/>
      <c r="Q439" s="61"/>
      <c r="R439" s="118"/>
      <c r="S439" s="61"/>
      <c r="T439" s="66"/>
      <c r="U439" s="66"/>
      <c r="V439" s="38"/>
      <c r="W439" s="39"/>
      <c r="X439" s="40"/>
      <c r="Y439" s="41"/>
      <c r="Z439" s="42"/>
      <c r="AA439" s="43"/>
      <c r="AB439" s="44"/>
      <c r="AC439" s="45"/>
      <c r="AD439" s="114" t="str">
        <f t="shared" si="18"/>
        <v/>
      </c>
    </row>
    <row r="440" spans="15:30" x14ac:dyDescent="0.35">
      <c r="O440" t="str">
        <f t="shared" si="19"/>
        <v/>
      </c>
      <c r="P440" s="18"/>
      <c r="Q440" s="61"/>
      <c r="R440" s="118"/>
      <c r="S440" s="61"/>
      <c r="T440" s="66"/>
      <c r="U440" s="66"/>
      <c r="V440" s="38"/>
      <c r="W440" s="39"/>
      <c r="X440" s="40"/>
      <c r="Y440" s="41"/>
      <c r="Z440" s="42"/>
      <c r="AA440" s="43"/>
      <c r="AB440" s="44"/>
      <c r="AC440" s="45"/>
      <c r="AD440" s="114" t="str">
        <f t="shared" si="18"/>
        <v/>
      </c>
    </row>
    <row r="441" spans="15:30" x14ac:dyDescent="0.35">
      <c r="O441" t="str">
        <f t="shared" si="19"/>
        <v/>
      </c>
      <c r="P441" s="18"/>
      <c r="Q441" s="61"/>
      <c r="R441" s="118"/>
      <c r="S441" s="61"/>
      <c r="T441" s="66"/>
      <c r="U441" s="66"/>
      <c r="V441" s="38"/>
      <c r="W441" s="39"/>
      <c r="X441" s="40"/>
      <c r="Y441" s="41"/>
      <c r="Z441" s="42"/>
      <c r="AA441" s="43"/>
      <c r="AB441" s="44"/>
      <c r="AC441" s="45"/>
      <c r="AD441" s="114" t="str">
        <f t="shared" si="18"/>
        <v/>
      </c>
    </row>
    <row r="442" spans="15:30" x14ac:dyDescent="0.35">
      <c r="O442" t="str">
        <f t="shared" si="19"/>
        <v/>
      </c>
      <c r="P442" s="62"/>
      <c r="Q442" s="118"/>
      <c r="R442" s="118"/>
      <c r="S442" s="61"/>
      <c r="T442" s="66"/>
      <c r="U442" s="66"/>
      <c r="V442" s="38"/>
      <c r="W442" s="39"/>
      <c r="X442" s="40"/>
      <c r="Y442" s="41"/>
      <c r="Z442" s="42"/>
      <c r="AA442" s="43"/>
      <c r="AB442" s="44"/>
      <c r="AC442" s="45"/>
      <c r="AD442" s="114" t="str">
        <f t="shared" si="18"/>
        <v/>
      </c>
    </row>
    <row r="443" spans="15:30" x14ac:dyDescent="0.35">
      <c r="O443" t="str">
        <f t="shared" si="19"/>
        <v/>
      </c>
      <c r="P443" s="18"/>
      <c r="Q443" s="61"/>
      <c r="R443" s="118"/>
      <c r="S443" s="61"/>
      <c r="T443" s="66"/>
      <c r="U443" s="66"/>
      <c r="V443" s="38"/>
      <c r="W443" s="39"/>
      <c r="X443" s="40"/>
      <c r="Y443" s="41"/>
      <c r="Z443" s="42"/>
      <c r="AA443" s="43"/>
      <c r="AB443" s="44"/>
      <c r="AC443" s="45"/>
      <c r="AD443" s="114" t="str">
        <f t="shared" si="18"/>
        <v/>
      </c>
    </row>
    <row r="444" spans="15:30" x14ac:dyDescent="0.35">
      <c r="O444" t="str">
        <f t="shared" si="19"/>
        <v/>
      </c>
      <c r="P444" s="18"/>
      <c r="Q444" s="61"/>
      <c r="R444" s="61"/>
      <c r="S444" s="61"/>
      <c r="T444" s="66"/>
      <c r="U444" s="66"/>
      <c r="V444" s="38"/>
      <c r="W444" s="39"/>
      <c r="X444" s="40"/>
      <c r="Y444" s="41"/>
      <c r="Z444" s="42"/>
      <c r="AA444" s="43"/>
      <c r="AB444" s="44"/>
      <c r="AC444" s="45"/>
      <c r="AD444" s="114" t="str">
        <f t="shared" si="18"/>
        <v/>
      </c>
    </row>
    <row r="445" spans="15:30" x14ac:dyDescent="0.35">
      <c r="O445" t="str">
        <f t="shared" si="19"/>
        <v/>
      </c>
      <c r="P445" s="18"/>
      <c r="Q445" s="61"/>
      <c r="R445" s="61"/>
      <c r="S445" s="61"/>
      <c r="T445" s="66"/>
      <c r="U445" s="66"/>
      <c r="V445" s="38"/>
      <c r="W445" s="39"/>
      <c r="X445" s="40"/>
      <c r="Y445" s="41"/>
      <c r="Z445" s="42"/>
      <c r="AA445" s="43"/>
      <c r="AB445" s="44"/>
      <c r="AC445" s="45"/>
      <c r="AD445" s="114" t="str">
        <f t="shared" si="18"/>
        <v/>
      </c>
    </row>
    <row r="446" spans="15:30" x14ac:dyDescent="0.35">
      <c r="O446" t="str">
        <f t="shared" si="19"/>
        <v/>
      </c>
      <c r="P446" s="18"/>
      <c r="Q446" s="61"/>
      <c r="R446" s="61"/>
      <c r="S446" s="61"/>
      <c r="T446" s="66"/>
      <c r="U446" s="66"/>
      <c r="V446" s="38"/>
      <c r="W446" s="39"/>
      <c r="X446" s="40"/>
      <c r="Y446" s="41"/>
      <c r="Z446" s="42"/>
      <c r="AA446" s="43"/>
      <c r="AB446" s="44"/>
      <c r="AC446" s="45"/>
      <c r="AD446" s="114" t="str">
        <f t="shared" si="18"/>
        <v/>
      </c>
    </row>
    <row r="447" spans="15:30" x14ac:dyDescent="0.35">
      <c r="O447" t="str">
        <f t="shared" si="19"/>
        <v/>
      </c>
      <c r="P447" s="18"/>
      <c r="Q447" s="61"/>
      <c r="R447" s="61"/>
      <c r="S447" s="61"/>
      <c r="T447" s="66"/>
      <c r="U447" s="66"/>
      <c r="V447" s="38"/>
      <c r="W447" s="39"/>
      <c r="X447" s="40"/>
      <c r="Y447" s="41"/>
      <c r="Z447" s="42"/>
      <c r="AA447" s="43"/>
      <c r="AB447" s="44"/>
      <c r="AC447" s="45"/>
      <c r="AD447" s="114" t="str">
        <f t="shared" si="18"/>
        <v/>
      </c>
    </row>
    <row r="448" spans="15:30" x14ac:dyDescent="0.35">
      <c r="O448" t="str">
        <f t="shared" si="19"/>
        <v/>
      </c>
      <c r="P448" s="18"/>
      <c r="Q448" s="61"/>
      <c r="R448" s="118"/>
      <c r="S448" s="61"/>
      <c r="T448" s="66"/>
      <c r="U448" s="66"/>
      <c r="V448" s="38"/>
      <c r="W448" s="39"/>
      <c r="X448" s="40"/>
      <c r="Y448" s="41"/>
      <c r="Z448" s="42"/>
      <c r="AA448" s="43"/>
      <c r="AB448" s="44"/>
      <c r="AC448" s="45"/>
      <c r="AD448" s="114" t="str">
        <f t="shared" si="18"/>
        <v/>
      </c>
    </row>
    <row r="449" spans="15:30" x14ac:dyDescent="0.35">
      <c r="O449" t="str">
        <f t="shared" si="19"/>
        <v/>
      </c>
      <c r="P449" s="18"/>
      <c r="Q449" s="61"/>
      <c r="R449" s="118"/>
      <c r="S449" s="61"/>
      <c r="T449" s="66"/>
      <c r="U449" s="66"/>
      <c r="V449" s="38"/>
      <c r="W449" s="39"/>
      <c r="X449" s="40"/>
      <c r="Y449" s="41"/>
      <c r="Z449" s="42"/>
      <c r="AA449" s="43"/>
      <c r="AB449" s="44"/>
      <c r="AC449" s="45"/>
      <c r="AD449" s="114" t="str">
        <f t="shared" si="18"/>
        <v/>
      </c>
    </row>
    <row r="450" spans="15:30" x14ac:dyDescent="0.35">
      <c r="O450" t="str">
        <f t="shared" si="19"/>
        <v/>
      </c>
      <c r="P450" s="18"/>
      <c r="Q450" s="61"/>
      <c r="R450" s="118"/>
      <c r="S450" s="61"/>
      <c r="T450" s="66"/>
      <c r="U450" s="66"/>
      <c r="V450" s="38"/>
      <c r="W450" s="39"/>
      <c r="X450" s="40"/>
      <c r="Y450" s="41"/>
      <c r="Z450" s="42"/>
      <c r="AA450" s="43"/>
      <c r="AB450" s="44"/>
      <c r="AC450" s="45"/>
      <c r="AD450" s="114" t="str">
        <f t="shared" ref="AD450:AD513" si="20">IF(P450="","",AC450/6)</f>
        <v/>
      </c>
    </row>
    <row r="451" spans="15:30" x14ac:dyDescent="0.35">
      <c r="O451" t="str">
        <f t="shared" si="19"/>
        <v/>
      </c>
      <c r="P451" s="18"/>
      <c r="Q451" s="61"/>
      <c r="R451" s="61"/>
      <c r="S451" s="61"/>
      <c r="T451" s="66"/>
      <c r="U451" s="66"/>
      <c r="V451" s="38"/>
      <c r="W451" s="39"/>
      <c r="X451" s="40"/>
      <c r="Y451" s="41"/>
      <c r="Z451" s="42"/>
      <c r="AA451" s="43"/>
      <c r="AB451" s="44"/>
      <c r="AC451" s="45"/>
      <c r="AD451" s="114" t="str">
        <f t="shared" si="20"/>
        <v/>
      </c>
    </row>
    <row r="452" spans="15:30" x14ac:dyDescent="0.35">
      <c r="O452" t="str">
        <f t="shared" ref="O452:O515" si="21">IF(P452="","",O451+1)</f>
        <v/>
      </c>
      <c r="P452" s="18"/>
      <c r="Q452" s="61"/>
      <c r="R452" s="118"/>
      <c r="S452" s="61"/>
      <c r="T452" s="66"/>
      <c r="U452" s="66"/>
      <c r="V452" s="38"/>
      <c r="W452" s="39"/>
      <c r="X452" s="40"/>
      <c r="Y452" s="41"/>
      <c r="Z452" s="42"/>
      <c r="AA452" s="43"/>
      <c r="AB452" s="44"/>
      <c r="AC452" s="45"/>
      <c r="AD452" s="114" t="str">
        <f t="shared" si="20"/>
        <v/>
      </c>
    </row>
    <row r="453" spans="15:30" x14ac:dyDescent="0.35">
      <c r="O453" t="str">
        <f t="shared" si="21"/>
        <v/>
      </c>
      <c r="P453" s="18"/>
      <c r="Q453" s="61"/>
      <c r="R453" s="61"/>
      <c r="S453" s="61"/>
      <c r="T453" s="66"/>
      <c r="U453" s="66"/>
      <c r="V453" s="38"/>
      <c r="W453" s="39"/>
      <c r="X453" s="40"/>
      <c r="Y453" s="41"/>
      <c r="Z453" s="42"/>
      <c r="AA453" s="43"/>
      <c r="AB453" s="44"/>
      <c r="AC453" s="45"/>
      <c r="AD453" s="114" t="str">
        <f t="shared" si="20"/>
        <v/>
      </c>
    </row>
    <row r="454" spans="15:30" x14ac:dyDescent="0.35">
      <c r="O454" t="str">
        <f t="shared" si="21"/>
        <v/>
      </c>
      <c r="P454" s="18"/>
      <c r="Q454" s="61"/>
      <c r="R454" s="61"/>
      <c r="S454" s="61"/>
      <c r="T454" s="66"/>
      <c r="U454" s="66"/>
      <c r="V454" s="38"/>
      <c r="W454" s="39"/>
      <c r="X454" s="40"/>
      <c r="Y454" s="41"/>
      <c r="Z454" s="42"/>
      <c r="AA454" s="43"/>
      <c r="AB454" s="44"/>
      <c r="AC454" s="45"/>
      <c r="AD454" s="114" t="str">
        <f t="shared" si="20"/>
        <v/>
      </c>
    </row>
    <row r="455" spans="15:30" x14ac:dyDescent="0.35">
      <c r="O455" t="str">
        <f t="shared" si="21"/>
        <v/>
      </c>
      <c r="P455" s="18"/>
      <c r="Q455" s="61"/>
      <c r="R455" s="118"/>
      <c r="S455" s="61"/>
      <c r="T455" s="66"/>
      <c r="U455" s="66"/>
      <c r="V455" s="38"/>
      <c r="W455" s="39"/>
      <c r="X455" s="40"/>
      <c r="Y455" s="41"/>
      <c r="Z455" s="42"/>
      <c r="AA455" s="43"/>
      <c r="AB455" s="44"/>
      <c r="AC455" s="45"/>
      <c r="AD455" s="114" t="str">
        <f t="shared" si="20"/>
        <v/>
      </c>
    </row>
    <row r="456" spans="15:30" x14ac:dyDescent="0.35">
      <c r="O456" t="str">
        <f t="shared" si="21"/>
        <v/>
      </c>
      <c r="P456" s="18"/>
      <c r="Q456" s="61"/>
      <c r="R456" s="61"/>
      <c r="S456" s="61"/>
      <c r="T456" s="66"/>
      <c r="U456" s="66"/>
      <c r="V456" s="38"/>
      <c r="W456" s="39"/>
      <c r="X456" s="40"/>
      <c r="Y456" s="41"/>
      <c r="Z456" s="42"/>
      <c r="AA456" s="43"/>
      <c r="AB456" s="44"/>
      <c r="AC456" s="45"/>
      <c r="AD456" s="114" t="str">
        <f t="shared" si="20"/>
        <v/>
      </c>
    </row>
    <row r="457" spans="15:30" x14ac:dyDescent="0.35">
      <c r="O457" t="str">
        <f t="shared" si="21"/>
        <v/>
      </c>
      <c r="P457" s="18"/>
      <c r="Q457" s="61"/>
      <c r="R457" s="61"/>
      <c r="S457" s="61"/>
      <c r="T457" s="66"/>
      <c r="U457" s="66"/>
      <c r="V457" s="38"/>
      <c r="W457" s="39"/>
      <c r="X457" s="40"/>
      <c r="Y457" s="41"/>
      <c r="Z457" s="42"/>
      <c r="AA457" s="43"/>
      <c r="AB457" s="44"/>
      <c r="AC457" s="45"/>
      <c r="AD457" s="114" t="str">
        <f t="shared" si="20"/>
        <v/>
      </c>
    </row>
    <row r="458" spans="15:30" x14ac:dyDescent="0.35">
      <c r="O458" t="str">
        <f t="shared" si="21"/>
        <v/>
      </c>
      <c r="P458" s="18"/>
      <c r="Q458" s="61"/>
      <c r="R458" s="118"/>
      <c r="S458" s="61"/>
      <c r="T458" s="66"/>
      <c r="U458" s="66"/>
      <c r="V458" s="38"/>
      <c r="W458" s="39"/>
      <c r="X458" s="40"/>
      <c r="Y458" s="41"/>
      <c r="Z458" s="42"/>
      <c r="AA458" s="43"/>
      <c r="AB458" s="44"/>
      <c r="AC458" s="45"/>
      <c r="AD458" s="114" t="str">
        <f t="shared" si="20"/>
        <v/>
      </c>
    </row>
    <row r="459" spans="15:30" x14ac:dyDescent="0.35">
      <c r="O459" t="str">
        <f t="shared" si="21"/>
        <v/>
      </c>
      <c r="P459" s="18"/>
      <c r="Q459" s="61"/>
      <c r="R459" s="61"/>
      <c r="S459" s="61"/>
      <c r="T459" s="66"/>
      <c r="U459" s="66"/>
      <c r="V459" s="38"/>
      <c r="W459" s="39"/>
      <c r="X459" s="40"/>
      <c r="Y459" s="41"/>
      <c r="Z459" s="42"/>
      <c r="AA459" s="43"/>
      <c r="AB459" s="44"/>
      <c r="AC459" s="45"/>
      <c r="AD459" s="114" t="str">
        <f t="shared" si="20"/>
        <v/>
      </c>
    </row>
    <row r="460" spans="15:30" x14ac:dyDescent="0.35">
      <c r="O460" t="str">
        <f t="shared" si="21"/>
        <v/>
      </c>
      <c r="P460" s="18"/>
      <c r="Q460" s="61"/>
      <c r="R460" s="118"/>
      <c r="S460" s="61"/>
      <c r="T460" s="66"/>
      <c r="U460" s="66"/>
      <c r="V460" s="38"/>
      <c r="W460" s="39"/>
      <c r="X460" s="40"/>
      <c r="Y460" s="41"/>
      <c r="Z460" s="42"/>
      <c r="AA460" s="43"/>
      <c r="AB460" s="44"/>
      <c r="AC460" s="45"/>
      <c r="AD460" s="114" t="str">
        <f t="shared" si="20"/>
        <v/>
      </c>
    </row>
    <row r="461" spans="15:30" x14ac:dyDescent="0.35">
      <c r="O461" t="str">
        <f t="shared" si="21"/>
        <v/>
      </c>
      <c r="P461" s="18"/>
      <c r="Q461" s="61"/>
      <c r="R461" s="118"/>
      <c r="S461" s="61"/>
      <c r="T461" s="66"/>
      <c r="U461" s="66"/>
      <c r="V461" s="38"/>
      <c r="W461" s="39"/>
      <c r="X461" s="40"/>
      <c r="Y461" s="41"/>
      <c r="Z461" s="42"/>
      <c r="AA461" s="43"/>
      <c r="AB461" s="44"/>
      <c r="AC461" s="45"/>
      <c r="AD461" s="114" t="str">
        <f t="shared" si="20"/>
        <v/>
      </c>
    </row>
    <row r="462" spans="15:30" x14ac:dyDescent="0.35">
      <c r="O462" t="str">
        <f t="shared" si="21"/>
        <v/>
      </c>
      <c r="P462" s="18"/>
      <c r="Q462" s="61"/>
      <c r="R462" s="61"/>
      <c r="S462" s="61"/>
      <c r="T462" s="66"/>
      <c r="U462" s="66"/>
      <c r="V462" s="38"/>
      <c r="W462" s="39"/>
      <c r="X462" s="40"/>
      <c r="Y462" s="41"/>
      <c r="Z462" s="42"/>
      <c r="AA462" s="43"/>
      <c r="AB462" s="44"/>
      <c r="AC462" s="45"/>
      <c r="AD462" s="114" t="str">
        <f t="shared" si="20"/>
        <v/>
      </c>
    </row>
    <row r="463" spans="15:30" x14ac:dyDescent="0.35">
      <c r="O463" t="str">
        <f t="shared" si="21"/>
        <v/>
      </c>
      <c r="P463" s="18"/>
      <c r="Q463" s="61"/>
      <c r="R463" s="118"/>
      <c r="S463" s="61"/>
      <c r="T463" s="66"/>
      <c r="U463" s="66"/>
      <c r="V463" s="38"/>
      <c r="W463" s="39"/>
      <c r="X463" s="40"/>
      <c r="Y463" s="41"/>
      <c r="Z463" s="42"/>
      <c r="AA463" s="43"/>
      <c r="AB463" s="44"/>
      <c r="AC463" s="45"/>
      <c r="AD463" s="114" t="str">
        <f t="shared" si="20"/>
        <v/>
      </c>
    </row>
    <row r="464" spans="15:30" x14ac:dyDescent="0.35">
      <c r="O464" t="str">
        <f t="shared" si="21"/>
        <v/>
      </c>
      <c r="P464" s="18"/>
      <c r="Q464" s="61"/>
      <c r="R464" s="61"/>
      <c r="S464" s="61"/>
      <c r="T464" s="66"/>
      <c r="U464" s="66"/>
      <c r="V464" s="38"/>
      <c r="W464" s="39"/>
      <c r="X464" s="40"/>
      <c r="Y464" s="41"/>
      <c r="Z464" s="42"/>
      <c r="AA464" s="43"/>
      <c r="AB464" s="44"/>
      <c r="AC464" s="45"/>
      <c r="AD464" s="114" t="str">
        <f t="shared" si="20"/>
        <v/>
      </c>
    </row>
    <row r="465" spans="15:30" x14ac:dyDescent="0.35">
      <c r="O465" t="str">
        <f t="shared" si="21"/>
        <v/>
      </c>
      <c r="P465" s="62"/>
      <c r="Q465" s="118"/>
      <c r="R465" s="118"/>
      <c r="S465" s="61"/>
      <c r="T465" s="66"/>
      <c r="U465" s="66"/>
      <c r="V465" s="38"/>
      <c r="W465" s="39"/>
      <c r="X465" s="40"/>
      <c r="Y465" s="41"/>
      <c r="Z465" s="42"/>
      <c r="AA465" s="43"/>
      <c r="AB465" s="44"/>
      <c r="AC465" s="45"/>
      <c r="AD465" s="114" t="str">
        <f t="shared" si="20"/>
        <v/>
      </c>
    </row>
    <row r="466" spans="15:30" x14ac:dyDescent="0.35">
      <c r="O466" t="str">
        <f t="shared" si="21"/>
        <v/>
      </c>
      <c r="P466" s="18"/>
      <c r="Q466" s="61"/>
      <c r="R466" s="61"/>
      <c r="S466" s="61"/>
      <c r="T466" s="66"/>
      <c r="U466" s="66"/>
      <c r="V466" s="38"/>
      <c r="W466" s="39"/>
      <c r="X466" s="40"/>
      <c r="Y466" s="41"/>
      <c r="Z466" s="42"/>
      <c r="AA466" s="43"/>
      <c r="AB466" s="44"/>
      <c r="AC466" s="45"/>
      <c r="AD466" s="114" t="str">
        <f t="shared" si="20"/>
        <v/>
      </c>
    </row>
    <row r="467" spans="15:30" x14ac:dyDescent="0.35">
      <c r="O467" t="str">
        <f t="shared" si="21"/>
        <v/>
      </c>
      <c r="P467" s="18"/>
      <c r="Q467" s="61"/>
      <c r="R467" s="61"/>
      <c r="S467" s="61"/>
      <c r="T467" s="66"/>
      <c r="U467" s="66"/>
      <c r="V467" s="38"/>
      <c r="W467" s="39"/>
      <c r="X467" s="40"/>
      <c r="Y467" s="41"/>
      <c r="Z467" s="42"/>
      <c r="AA467" s="43"/>
      <c r="AB467" s="44"/>
      <c r="AC467" s="45"/>
      <c r="AD467" s="114" t="str">
        <f t="shared" si="20"/>
        <v/>
      </c>
    </row>
    <row r="468" spans="15:30" x14ac:dyDescent="0.35">
      <c r="O468" t="str">
        <f t="shared" si="21"/>
        <v/>
      </c>
      <c r="P468" s="18"/>
      <c r="Q468" s="61"/>
      <c r="R468" s="61"/>
      <c r="S468" s="61"/>
      <c r="T468" s="66"/>
      <c r="U468" s="66"/>
      <c r="V468" s="38"/>
      <c r="W468" s="39"/>
      <c r="X468" s="40"/>
      <c r="Y468" s="41"/>
      <c r="Z468" s="42"/>
      <c r="AA468" s="43"/>
      <c r="AB468" s="44"/>
      <c r="AC468" s="45"/>
      <c r="AD468" s="114" t="str">
        <f t="shared" si="20"/>
        <v/>
      </c>
    </row>
    <row r="469" spans="15:30" x14ac:dyDescent="0.35">
      <c r="O469" t="str">
        <f t="shared" si="21"/>
        <v/>
      </c>
      <c r="P469" s="18"/>
      <c r="Q469" s="61"/>
      <c r="R469" s="118"/>
      <c r="S469" s="61"/>
      <c r="T469" s="66"/>
      <c r="U469" s="66"/>
      <c r="V469" s="38"/>
      <c r="W469" s="39"/>
      <c r="X469" s="40"/>
      <c r="Y469" s="41"/>
      <c r="Z469" s="42"/>
      <c r="AA469" s="43"/>
      <c r="AB469" s="44"/>
      <c r="AC469" s="45"/>
      <c r="AD469" s="114" t="str">
        <f t="shared" si="20"/>
        <v/>
      </c>
    </row>
    <row r="470" spans="15:30" x14ac:dyDescent="0.35">
      <c r="O470" t="str">
        <f t="shared" si="21"/>
        <v/>
      </c>
      <c r="P470" s="18"/>
      <c r="Q470" s="61"/>
      <c r="R470" s="118"/>
      <c r="S470" s="61"/>
      <c r="T470" s="66"/>
      <c r="U470" s="66"/>
      <c r="V470" s="38"/>
      <c r="W470" s="39"/>
      <c r="X470" s="40"/>
      <c r="Y470" s="41"/>
      <c r="Z470" s="42"/>
      <c r="AA470" s="43"/>
      <c r="AB470" s="44"/>
      <c r="AC470" s="45"/>
      <c r="AD470" s="114" t="str">
        <f t="shared" si="20"/>
        <v/>
      </c>
    </row>
    <row r="471" spans="15:30" x14ac:dyDescent="0.35">
      <c r="O471" t="str">
        <f t="shared" si="21"/>
        <v/>
      </c>
      <c r="P471" s="18"/>
      <c r="Q471" s="61"/>
      <c r="R471" s="118"/>
      <c r="S471" s="61"/>
      <c r="T471" s="66"/>
      <c r="U471" s="66"/>
      <c r="V471" s="38"/>
      <c r="W471" s="39"/>
      <c r="X471" s="40"/>
      <c r="Y471" s="41"/>
      <c r="Z471" s="42"/>
      <c r="AA471" s="43"/>
      <c r="AB471" s="44"/>
      <c r="AC471" s="45"/>
      <c r="AD471" s="114" t="str">
        <f t="shared" si="20"/>
        <v/>
      </c>
    </row>
    <row r="472" spans="15:30" x14ac:dyDescent="0.35">
      <c r="O472" t="str">
        <f t="shared" si="21"/>
        <v/>
      </c>
      <c r="P472" s="18"/>
      <c r="Q472" s="61"/>
      <c r="R472" s="118"/>
      <c r="S472" s="61"/>
      <c r="T472" s="66"/>
      <c r="U472" s="66"/>
      <c r="V472" s="38"/>
      <c r="W472" s="39"/>
      <c r="X472" s="40"/>
      <c r="Y472" s="41"/>
      <c r="Z472" s="42"/>
      <c r="AA472" s="43"/>
      <c r="AB472" s="44"/>
      <c r="AC472" s="45"/>
      <c r="AD472" s="114" t="str">
        <f t="shared" si="20"/>
        <v/>
      </c>
    </row>
    <row r="473" spans="15:30" x14ac:dyDescent="0.35">
      <c r="O473" t="str">
        <f t="shared" si="21"/>
        <v/>
      </c>
      <c r="P473" s="18"/>
      <c r="Q473" s="61"/>
      <c r="R473" s="61"/>
      <c r="S473" s="61"/>
      <c r="T473" s="66"/>
      <c r="U473" s="66"/>
      <c r="V473" s="38"/>
      <c r="W473" s="39"/>
      <c r="X473" s="40"/>
      <c r="Y473" s="41"/>
      <c r="Z473" s="42"/>
      <c r="AA473" s="43"/>
      <c r="AB473" s="44"/>
      <c r="AC473" s="45"/>
      <c r="AD473" s="114" t="str">
        <f t="shared" si="20"/>
        <v/>
      </c>
    </row>
    <row r="474" spans="15:30" x14ac:dyDescent="0.35">
      <c r="O474" t="str">
        <f t="shared" si="21"/>
        <v/>
      </c>
      <c r="P474" s="18"/>
      <c r="Q474" s="61"/>
      <c r="R474" s="118"/>
      <c r="S474" s="61"/>
      <c r="T474" s="66"/>
      <c r="U474" s="66"/>
      <c r="V474" s="38"/>
      <c r="W474" s="39"/>
      <c r="X474" s="40"/>
      <c r="Y474" s="41"/>
      <c r="Z474" s="42"/>
      <c r="AA474" s="43"/>
      <c r="AB474" s="44"/>
      <c r="AC474" s="45"/>
      <c r="AD474" s="114" t="str">
        <f t="shared" si="20"/>
        <v/>
      </c>
    </row>
    <row r="475" spans="15:30" x14ac:dyDescent="0.35">
      <c r="O475" t="str">
        <f t="shared" si="21"/>
        <v/>
      </c>
      <c r="P475" s="18"/>
      <c r="Q475" s="61"/>
      <c r="R475" s="61"/>
      <c r="S475" s="61"/>
      <c r="T475" s="66"/>
      <c r="U475" s="66"/>
      <c r="V475" s="38"/>
      <c r="W475" s="39"/>
      <c r="X475" s="40"/>
      <c r="Y475" s="41"/>
      <c r="Z475" s="42"/>
      <c r="AA475" s="43"/>
      <c r="AB475" s="44"/>
      <c r="AC475" s="45"/>
      <c r="AD475" s="114" t="str">
        <f t="shared" si="20"/>
        <v/>
      </c>
    </row>
    <row r="476" spans="15:30" x14ac:dyDescent="0.35">
      <c r="O476" t="str">
        <f t="shared" si="21"/>
        <v/>
      </c>
      <c r="P476" s="18"/>
      <c r="Q476" s="61"/>
      <c r="R476" s="61"/>
      <c r="S476" s="61"/>
      <c r="T476" s="66"/>
      <c r="U476" s="66"/>
      <c r="V476" s="38"/>
      <c r="W476" s="39"/>
      <c r="X476" s="40"/>
      <c r="Y476" s="41"/>
      <c r="Z476" s="42"/>
      <c r="AA476" s="43"/>
      <c r="AB476" s="44"/>
      <c r="AC476" s="45"/>
      <c r="AD476" s="114" t="str">
        <f t="shared" si="20"/>
        <v/>
      </c>
    </row>
    <row r="477" spans="15:30" x14ac:dyDescent="0.35">
      <c r="O477" t="str">
        <f t="shared" si="21"/>
        <v/>
      </c>
      <c r="P477" s="18"/>
      <c r="Q477" s="61"/>
      <c r="R477" s="118"/>
      <c r="S477" s="61"/>
      <c r="T477" s="66"/>
      <c r="U477" s="66"/>
      <c r="V477" s="38"/>
      <c r="W477" s="39"/>
      <c r="X477" s="40"/>
      <c r="Y477" s="41"/>
      <c r="Z477" s="42"/>
      <c r="AA477" s="43"/>
      <c r="AB477" s="44"/>
      <c r="AC477" s="45"/>
      <c r="AD477" s="114" t="str">
        <f t="shared" si="20"/>
        <v/>
      </c>
    </row>
    <row r="478" spans="15:30" x14ac:dyDescent="0.35">
      <c r="O478" t="str">
        <f t="shared" si="21"/>
        <v/>
      </c>
      <c r="P478" s="18"/>
      <c r="Q478" s="61"/>
      <c r="R478" s="118"/>
      <c r="S478" s="61"/>
      <c r="T478" s="66"/>
      <c r="U478" s="66"/>
      <c r="V478" s="38"/>
      <c r="W478" s="39"/>
      <c r="X478" s="40"/>
      <c r="Y478" s="41"/>
      <c r="Z478" s="42"/>
      <c r="AA478" s="43"/>
      <c r="AB478" s="44"/>
      <c r="AC478" s="45"/>
      <c r="AD478" s="114" t="str">
        <f t="shared" si="20"/>
        <v/>
      </c>
    </row>
    <row r="479" spans="15:30" x14ac:dyDescent="0.35">
      <c r="O479" t="str">
        <f t="shared" si="21"/>
        <v/>
      </c>
      <c r="P479" s="18"/>
      <c r="Q479" s="61"/>
      <c r="R479" s="61"/>
      <c r="S479" s="61"/>
      <c r="T479" s="66"/>
      <c r="U479" s="66"/>
      <c r="V479" s="38"/>
      <c r="W479" s="39"/>
      <c r="X479" s="40"/>
      <c r="Y479" s="41"/>
      <c r="Z479" s="42"/>
      <c r="AA479" s="43"/>
      <c r="AB479" s="44"/>
      <c r="AC479" s="45"/>
      <c r="AD479" s="114" t="str">
        <f t="shared" si="20"/>
        <v/>
      </c>
    </row>
    <row r="480" spans="15:30" x14ac:dyDescent="0.35">
      <c r="O480" t="str">
        <f t="shared" si="21"/>
        <v/>
      </c>
      <c r="P480" s="18"/>
      <c r="Q480" s="61"/>
      <c r="R480" s="118"/>
      <c r="S480" s="61"/>
      <c r="T480" s="66"/>
      <c r="U480" s="66"/>
      <c r="V480" s="38"/>
      <c r="W480" s="39"/>
      <c r="X480" s="40"/>
      <c r="Y480" s="41"/>
      <c r="Z480" s="42"/>
      <c r="AA480" s="43"/>
      <c r="AB480" s="44"/>
      <c r="AC480" s="45"/>
      <c r="AD480" s="114" t="str">
        <f t="shared" si="20"/>
        <v/>
      </c>
    </row>
    <row r="481" spans="15:30" x14ac:dyDescent="0.35">
      <c r="O481" t="str">
        <f t="shared" si="21"/>
        <v/>
      </c>
      <c r="P481" s="18"/>
      <c r="Q481" s="61"/>
      <c r="R481" s="118"/>
      <c r="S481" s="61"/>
      <c r="T481" s="66"/>
      <c r="U481" s="66"/>
      <c r="V481" s="38"/>
      <c r="W481" s="39"/>
      <c r="X481" s="40"/>
      <c r="Y481" s="41"/>
      <c r="Z481" s="42"/>
      <c r="AA481" s="43"/>
      <c r="AB481" s="44"/>
      <c r="AC481" s="45"/>
      <c r="AD481" s="114" t="str">
        <f t="shared" si="20"/>
        <v/>
      </c>
    </row>
    <row r="482" spans="15:30" x14ac:dyDescent="0.35">
      <c r="O482" t="str">
        <f t="shared" si="21"/>
        <v/>
      </c>
      <c r="P482" s="18"/>
      <c r="Q482" s="61"/>
      <c r="R482" s="61"/>
      <c r="S482" s="61"/>
      <c r="T482" s="66"/>
      <c r="U482" s="66"/>
      <c r="V482" s="38"/>
      <c r="W482" s="39"/>
      <c r="X482" s="40"/>
      <c r="Y482" s="41"/>
      <c r="Z482" s="42"/>
      <c r="AA482" s="43"/>
      <c r="AB482" s="44"/>
      <c r="AC482" s="45"/>
      <c r="AD482" s="114" t="str">
        <f t="shared" si="20"/>
        <v/>
      </c>
    </row>
    <row r="483" spans="15:30" x14ac:dyDescent="0.35">
      <c r="O483" t="str">
        <f t="shared" si="21"/>
        <v/>
      </c>
      <c r="P483" s="18"/>
      <c r="Q483" s="61"/>
      <c r="R483" s="118"/>
      <c r="S483" s="61"/>
      <c r="T483" s="66"/>
      <c r="U483" s="66"/>
      <c r="V483" s="38"/>
      <c r="W483" s="39"/>
      <c r="X483" s="40"/>
      <c r="Y483" s="41"/>
      <c r="Z483" s="42"/>
      <c r="AA483" s="43"/>
      <c r="AB483" s="44"/>
      <c r="AC483" s="45"/>
      <c r="AD483" s="114" t="str">
        <f t="shared" si="20"/>
        <v/>
      </c>
    </row>
    <row r="484" spans="15:30" x14ac:dyDescent="0.35">
      <c r="O484" t="str">
        <f t="shared" si="21"/>
        <v/>
      </c>
      <c r="P484" s="18"/>
      <c r="Q484" s="61"/>
      <c r="R484" s="118"/>
      <c r="S484" s="61"/>
      <c r="T484" s="66"/>
      <c r="U484" s="66"/>
      <c r="V484" s="38"/>
      <c r="W484" s="39"/>
      <c r="X484" s="40"/>
      <c r="Y484" s="41"/>
      <c r="Z484" s="42"/>
      <c r="AA484" s="43"/>
      <c r="AB484" s="44"/>
      <c r="AC484" s="45"/>
      <c r="AD484" s="114" t="str">
        <f t="shared" si="20"/>
        <v/>
      </c>
    </row>
    <row r="485" spans="15:30" x14ac:dyDescent="0.35">
      <c r="O485" t="str">
        <f t="shared" si="21"/>
        <v/>
      </c>
      <c r="P485" s="18"/>
      <c r="Q485" s="61"/>
      <c r="R485" s="61"/>
      <c r="S485" s="61"/>
      <c r="T485" s="66"/>
      <c r="U485" s="66"/>
      <c r="V485" s="38"/>
      <c r="W485" s="39"/>
      <c r="X485" s="40"/>
      <c r="Y485" s="41"/>
      <c r="Z485" s="42"/>
      <c r="AA485" s="43"/>
      <c r="AB485" s="44"/>
      <c r="AC485" s="45"/>
      <c r="AD485" s="114" t="str">
        <f t="shared" si="20"/>
        <v/>
      </c>
    </row>
    <row r="486" spans="15:30" x14ac:dyDescent="0.35">
      <c r="O486" t="str">
        <f t="shared" si="21"/>
        <v/>
      </c>
      <c r="P486" s="18"/>
      <c r="Q486" s="61"/>
      <c r="R486" s="61"/>
      <c r="S486" s="61"/>
      <c r="T486" s="66"/>
      <c r="U486" s="66"/>
      <c r="V486" s="38"/>
      <c r="W486" s="39"/>
      <c r="X486" s="40"/>
      <c r="Y486" s="41"/>
      <c r="Z486" s="42"/>
      <c r="AA486" s="43"/>
      <c r="AB486" s="44"/>
      <c r="AC486" s="45"/>
      <c r="AD486" s="114" t="str">
        <f t="shared" si="20"/>
        <v/>
      </c>
    </row>
    <row r="487" spans="15:30" x14ac:dyDescent="0.35">
      <c r="O487" t="str">
        <f t="shared" si="21"/>
        <v/>
      </c>
      <c r="P487" s="18"/>
      <c r="Q487" s="61"/>
      <c r="R487" s="61"/>
      <c r="S487" s="61"/>
      <c r="T487" s="66"/>
      <c r="U487" s="66"/>
      <c r="V487" s="38"/>
      <c r="W487" s="39"/>
      <c r="X487" s="40"/>
      <c r="Y487" s="41"/>
      <c r="Z487" s="42"/>
      <c r="AA487" s="43"/>
      <c r="AB487" s="44"/>
      <c r="AC487" s="45"/>
      <c r="AD487" s="114" t="str">
        <f t="shared" si="20"/>
        <v/>
      </c>
    </row>
    <row r="488" spans="15:30" x14ac:dyDescent="0.35">
      <c r="O488" t="str">
        <f t="shared" si="21"/>
        <v/>
      </c>
      <c r="P488" s="18"/>
      <c r="Q488" s="61"/>
      <c r="R488" s="61"/>
      <c r="S488" s="61"/>
      <c r="T488" s="66"/>
      <c r="U488" s="66"/>
      <c r="V488" s="38"/>
      <c r="W488" s="39"/>
      <c r="X488" s="40"/>
      <c r="Y488" s="41"/>
      <c r="Z488" s="42"/>
      <c r="AA488" s="43"/>
      <c r="AB488" s="44"/>
      <c r="AC488" s="45"/>
      <c r="AD488" s="114" t="str">
        <f t="shared" si="20"/>
        <v/>
      </c>
    </row>
    <row r="489" spans="15:30" x14ac:dyDescent="0.35">
      <c r="O489" t="str">
        <f t="shared" si="21"/>
        <v/>
      </c>
      <c r="P489" s="18"/>
      <c r="Q489" s="61"/>
      <c r="R489" s="118"/>
      <c r="S489" s="61"/>
      <c r="T489" s="66"/>
      <c r="U489" s="66"/>
      <c r="V489" s="38"/>
      <c r="W489" s="39"/>
      <c r="X489" s="40"/>
      <c r="Y489" s="41"/>
      <c r="Z489" s="42"/>
      <c r="AA489" s="43"/>
      <c r="AB489" s="44"/>
      <c r="AC489" s="45"/>
      <c r="AD489" s="114" t="str">
        <f t="shared" si="20"/>
        <v/>
      </c>
    </row>
    <row r="490" spans="15:30" x14ac:dyDescent="0.35">
      <c r="O490" t="str">
        <f t="shared" si="21"/>
        <v/>
      </c>
      <c r="P490" s="18"/>
      <c r="Q490" s="61"/>
      <c r="R490" s="118"/>
      <c r="S490" s="61"/>
      <c r="T490" s="66"/>
      <c r="U490" s="66"/>
      <c r="V490" s="38"/>
      <c r="W490" s="39"/>
      <c r="X490" s="40"/>
      <c r="Y490" s="41"/>
      <c r="Z490" s="42"/>
      <c r="AA490" s="43"/>
      <c r="AB490" s="44"/>
      <c r="AC490" s="45"/>
      <c r="AD490" s="114" t="str">
        <f t="shared" si="20"/>
        <v/>
      </c>
    </row>
    <row r="491" spans="15:30" x14ac:dyDescent="0.35">
      <c r="O491" t="str">
        <f t="shared" si="21"/>
        <v/>
      </c>
      <c r="P491" s="18"/>
      <c r="Q491" s="61"/>
      <c r="R491" s="61"/>
      <c r="S491" s="61"/>
      <c r="T491" s="66"/>
      <c r="U491" s="66"/>
      <c r="V491" s="38"/>
      <c r="W491" s="39"/>
      <c r="X491" s="40"/>
      <c r="Y491" s="41"/>
      <c r="Z491" s="42"/>
      <c r="AA491" s="43"/>
      <c r="AB491" s="44"/>
      <c r="AC491" s="45"/>
      <c r="AD491" s="114" t="str">
        <f t="shared" si="20"/>
        <v/>
      </c>
    </row>
    <row r="492" spans="15:30" x14ac:dyDescent="0.35">
      <c r="O492" t="str">
        <f t="shared" si="21"/>
        <v/>
      </c>
      <c r="P492" s="62"/>
      <c r="Q492" s="118"/>
      <c r="R492" s="61"/>
      <c r="S492" s="61"/>
      <c r="T492" s="66"/>
      <c r="U492" s="66"/>
      <c r="V492" s="38"/>
      <c r="W492" s="39"/>
      <c r="X492" s="40"/>
      <c r="Y492" s="41"/>
      <c r="Z492" s="42"/>
      <c r="AA492" s="43"/>
      <c r="AB492" s="44"/>
      <c r="AC492" s="45"/>
      <c r="AD492" s="114" t="str">
        <f t="shared" si="20"/>
        <v/>
      </c>
    </row>
    <row r="493" spans="15:30" x14ac:dyDescent="0.35">
      <c r="O493" t="str">
        <f t="shared" si="21"/>
        <v/>
      </c>
      <c r="P493" s="18"/>
      <c r="Q493" s="61"/>
      <c r="R493" s="118"/>
      <c r="S493" s="61"/>
      <c r="T493" s="66"/>
      <c r="U493" s="66"/>
      <c r="V493" s="38"/>
      <c r="W493" s="39"/>
      <c r="X493" s="40"/>
      <c r="Y493" s="41"/>
      <c r="Z493" s="42"/>
      <c r="AA493" s="43"/>
      <c r="AB493" s="44"/>
      <c r="AC493" s="45"/>
      <c r="AD493" s="114" t="str">
        <f t="shared" si="20"/>
        <v/>
      </c>
    </row>
    <row r="494" spans="15:30" x14ac:dyDescent="0.35">
      <c r="O494" t="str">
        <f t="shared" si="21"/>
        <v/>
      </c>
      <c r="P494" s="18"/>
      <c r="Q494" s="61"/>
      <c r="R494" s="118"/>
      <c r="S494" s="61"/>
      <c r="T494" s="66"/>
      <c r="U494" s="66"/>
      <c r="V494" s="38"/>
      <c r="W494" s="39"/>
      <c r="X494" s="40"/>
      <c r="Y494" s="41"/>
      <c r="Z494" s="42"/>
      <c r="AA494" s="43"/>
      <c r="AB494" s="44"/>
      <c r="AC494" s="45"/>
      <c r="AD494" s="114" t="str">
        <f t="shared" si="20"/>
        <v/>
      </c>
    </row>
    <row r="495" spans="15:30" x14ac:dyDescent="0.35">
      <c r="O495" t="str">
        <f t="shared" si="21"/>
        <v/>
      </c>
      <c r="P495" s="18"/>
      <c r="Q495" s="61"/>
      <c r="R495" s="61"/>
      <c r="S495" s="61"/>
      <c r="T495" s="66"/>
      <c r="U495" s="66"/>
      <c r="V495" s="38"/>
      <c r="W495" s="39"/>
      <c r="X495" s="40"/>
      <c r="Y495" s="41"/>
      <c r="Z495" s="42"/>
      <c r="AA495" s="43"/>
      <c r="AB495" s="44"/>
      <c r="AC495" s="45"/>
      <c r="AD495" s="114" t="str">
        <f t="shared" si="20"/>
        <v/>
      </c>
    </row>
    <row r="496" spans="15:30" x14ac:dyDescent="0.35">
      <c r="O496" t="str">
        <f t="shared" si="21"/>
        <v/>
      </c>
      <c r="P496" s="18"/>
      <c r="Q496" s="61"/>
      <c r="R496" s="61"/>
      <c r="S496" s="61"/>
      <c r="T496" s="66"/>
      <c r="U496" s="66"/>
      <c r="V496" s="38"/>
      <c r="W496" s="39"/>
      <c r="X496" s="40"/>
      <c r="Y496" s="41"/>
      <c r="Z496" s="42"/>
      <c r="AA496" s="43"/>
      <c r="AB496" s="44"/>
      <c r="AC496" s="45"/>
      <c r="AD496" s="114" t="str">
        <f t="shared" si="20"/>
        <v/>
      </c>
    </row>
    <row r="497" spans="15:30" x14ac:dyDescent="0.35">
      <c r="O497" t="str">
        <f t="shared" si="21"/>
        <v/>
      </c>
      <c r="P497" s="18"/>
      <c r="Q497" s="61"/>
      <c r="R497" s="118"/>
      <c r="S497" s="61"/>
      <c r="T497" s="66"/>
      <c r="U497" s="66"/>
      <c r="V497" s="38"/>
      <c r="W497" s="39"/>
      <c r="X497" s="40"/>
      <c r="Y497" s="41"/>
      <c r="Z497" s="42"/>
      <c r="AA497" s="43"/>
      <c r="AB497" s="44"/>
      <c r="AC497" s="45"/>
      <c r="AD497" s="114" t="str">
        <f t="shared" si="20"/>
        <v/>
      </c>
    </row>
    <row r="498" spans="15:30" x14ac:dyDescent="0.35">
      <c r="O498" t="str">
        <f t="shared" si="21"/>
        <v/>
      </c>
      <c r="P498" s="62"/>
      <c r="Q498" s="118"/>
      <c r="R498" s="61"/>
      <c r="S498" s="61"/>
      <c r="T498" s="66"/>
      <c r="U498" s="66"/>
      <c r="V498" s="38"/>
      <c r="W498" s="39"/>
      <c r="X498" s="40"/>
      <c r="Y498" s="41"/>
      <c r="Z498" s="42"/>
      <c r="AA498" s="43"/>
      <c r="AB498" s="44"/>
      <c r="AC498" s="45"/>
      <c r="AD498" s="114" t="str">
        <f t="shared" si="20"/>
        <v/>
      </c>
    </row>
    <row r="499" spans="15:30" x14ac:dyDescent="0.35">
      <c r="O499" t="str">
        <f t="shared" si="21"/>
        <v/>
      </c>
      <c r="P499" s="18"/>
      <c r="Q499" s="61"/>
      <c r="R499" s="61"/>
      <c r="S499" s="61"/>
      <c r="T499" s="66"/>
      <c r="U499" s="66"/>
      <c r="V499" s="38"/>
      <c r="W499" s="39"/>
      <c r="X499" s="40"/>
      <c r="Y499" s="41"/>
      <c r="Z499" s="42"/>
      <c r="AA499" s="43"/>
      <c r="AB499" s="44"/>
      <c r="AC499" s="45"/>
      <c r="AD499" s="114" t="str">
        <f t="shared" si="20"/>
        <v/>
      </c>
    </row>
    <row r="500" spans="15:30" x14ac:dyDescent="0.35">
      <c r="O500" t="str">
        <f t="shared" si="21"/>
        <v/>
      </c>
      <c r="P500" s="18"/>
      <c r="Q500" s="61"/>
      <c r="R500" s="61"/>
      <c r="S500" s="61"/>
      <c r="T500" s="66"/>
      <c r="U500" s="66"/>
      <c r="V500" s="38"/>
      <c r="W500" s="39"/>
      <c r="X500" s="40"/>
      <c r="Y500" s="41"/>
      <c r="Z500" s="42"/>
      <c r="AA500" s="43"/>
      <c r="AB500" s="44"/>
      <c r="AC500" s="45"/>
      <c r="AD500" s="114" t="str">
        <f t="shared" si="20"/>
        <v/>
      </c>
    </row>
    <row r="501" spans="15:30" x14ac:dyDescent="0.35">
      <c r="O501" t="str">
        <f t="shared" si="21"/>
        <v/>
      </c>
      <c r="P501" s="18"/>
      <c r="Q501" s="61"/>
      <c r="R501" s="118"/>
      <c r="S501" s="61"/>
      <c r="T501" s="66"/>
      <c r="U501" s="66"/>
      <c r="V501" s="38"/>
      <c r="W501" s="39"/>
      <c r="X501" s="40"/>
      <c r="Y501" s="41"/>
      <c r="Z501" s="42"/>
      <c r="AA501" s="43"/>
      <c r="AB501" s="44"/>
      <c r="AC501" s="45"/>
      <c r="AD501" s="114" t="str">
        <f t="shared" si="20"/>
        <v/>
      </c>
    </row>
    <row r="502" spans="15:30" x14ac:dyDescent="0.35">
      <c r="O502" t="str">
        <f t="shared" si="21"/>
        <v/>
      </c>
      <c r="P502" s="18"/>
      <c r="Q502" s="61"/>
      <c r="R502" s="61"/>
      <c r="S502" s="61"/>
      <c r="T502" s="66"/>
      <c r="U502" s="66"/>
      <c r="V502" s="38"/>
      <c r="W502" s="39"/>
      <c r="X502" s="40"/>
      <c r="Y502" s="41"/>
      <c r="Z502" s="42"/>
      <c r="AA502" s="43"/>
      <c r="AB502" s="44"/>
      <c r="AC502" s="45"/>
      <c r="AD502" s="114" t="str">
        <f t="shared" si="20"/>
        <v/>
      </c>
    </row>
    <row r="503" spans="15:30" x14ac:dyDescent="0.35">
      <c r="O503" t="str">
        <f t="shared" si="21"/>
        <v/>
      </c>
      <c r="P503" s="18"/>
      <c r="Q503" s="61"/>
      <c r="R503" s="61"/>
      <c r="S503" s="61"/>
      <c r="T503" s="66"/>
      <c r="U503" s="66"/>
      <c r="V503" s="38"/>
      <c r="W503" s="39"/>
      <c r="X503" s="40"/>
      <c r="Y503" s="41"/>
      <c r="Z503" s="42"/>
      <c r="AA503" s="43"/>
      <c r="AB503" s="44"/>
      <c r="AC503" s="45"/>
      <c r="AD503" s="114" t="str">
        <f t="shared" si="20"/>
        <v/>
      </c>
    </row>
    <row r="504" spans="15:30" x14ac:dyDescent="0.35">
      <c r="O504" t="str">
        <f t="shared" si="21"/>
        <v/>
      </c>
      <c r="P504" s="18"/>
      <c r="Q504" s="61"/>
      <c r="R504" s="61"/>
      <c r="S504" s="61"/>
      <c r="T504" s="66"/>
      <c r="U504" s="66"/>
      <c r="V504" s="38"/>
      <c r="W504" s="39"/>
      <c r="X504" s="40"/>
      <c r="Y504" s="41"/>
      <c r="Z504" s="42"/>
      <c r="AA504" s="43"/>
      <c r="AB504" s="44"/>
      <c r="AC504" s="45"/>
      <c r="AD504" s="114" t="str">
        <f t="shared" si="20"/>
        <v/>
      </c>
    </row>
    <row r="505" spans="15:30" x14ac:dyDescent="0.35">
      <c r="O505" t="str">
        <f t="shared" si="21"/>
        <v/>
      </c>
      <c r="P505" s="18"/>
      <c r="Q505" s="61"/>
      <c r="R505" s="61"/>
      <c r="S505" s="61"/>
      <c r="T505" s="66"/>
      <c r="U505" s="66"/>
      <c r="V505" s="38"/>
      <c r="W505" s="39"/>
      <c r="X505" s="40"/>
      <c r="Y505" s="41"/>
      <c r="Z505" s="42"/>
      <c r="AA505" s="43"/>
      <c r="AB505" s="44"/>
      <c r="AC505" s="45"/>
      <c r="AD505" s="114" t="str">
        <f t="shared" si="20"/>
        <v/>
      </c>
    </row>
    <row r="506" spans="15:30" x14ac:dyDescent="0.35">
      <c r="O506" t="str">
        <f t="shared" si="21"/>
        <v/>
      </c>
      <c r="P506" s="18"/>
      <c r="Q506" s="61"/>
      <c r="R506" s="61"/>
      <c r="S506" s="61"/>
      <c r="T506" s="66"/>
      <c r="U506" s="66"/>
      <c r="V506" s="38"/>
      <c r="W506" s="39"/>
      <c r="X506" s="40"/>
      <c r="Y506" s="41"/>
      <c r="Z506" s="42"/>
      <c r="AA506" s="43"/>
      <c r="AB506" s="44"/>
      <c r="AC506" s="45"/>
      <c r="AD506" s="114" t="str">
        <f t="shared" si="20"/>
        <v/>
      </c>
    </row>
    <row r="507" spans="15:30" x14ac:dyDescent="0.35">
      <c r="O507" t="str">
        <f t="shared" si="21"/>
        <v/>
      </c>
      <c r="P507" s="18"/>
      <c r="Q507" s="61"/>
      <c r="R507" s="61"/>
      <c r="S507" s="61"/>
      <c r="T507" s="66"/>
      <c r="U507" s="66"/>
      <c r="V507" s="38"/>
      <c r="W507" s="39"/>
      <c r="X507" s="40"/>
      <c r="Y507" s="41"/>
      <c r="Z507" s="42"/>
      <c r="AA507" s="43"/>
      <c r="AB507" s="44"/>
      <c r="AC507" s="45"/>
      <c r="AD507" s="114" t="str">
        <f t="shared" si="20"/>
        <v/>
      </c>
    </row>
    <row r="508" spans="15:30" x14ac:dyDescent="0.35">
      <c r="O508" t="str">
        <f t="shared" si="21"/>
        <v/>
      </c>
      <c r="P508" s="18"/>
      <c r="Q508" s="61"/>
      <c r="R508" s="61"/>
      <c r="S508" s="61"/>
      <c r="T508" s="66"/>
      <c r="U508" s="66"/>
      <c r="V508" s="38"/>
      <c r="W508" s="39"/>
      <c r="X508" s="40"/>
      <c r="Y508" s="41"/>
      <c r="Z508" s="42"/>
      <c r="AA508" s="43"/>
      <c r="AB508" s="44"/>
      <c r="AC508" s="45"/>
      <c r="AD508" s="114" t="str">
        <f t="shared" si="20"/>
        <v/>
      </c>
    </row>
    <row r="509" spans="15:30" x14ac:dyDescent="0.35">
      <c r="O509" t="str">
        <f t="shared" si="21"/>
        <v/>
      </c>
      <c r="P509" s="18"/>
      <c r="Q509" s="61"/>
      <c r="R509" s="61"/>
      <c r="S509" s="61"/>
      <c r="T509" s="66"/>
      <c r="U509" s="66"/>
      <c r="V509" s="38"/>
      <c r="W509" s="39"/>
      <c r="X509" s="40"/>
      <c r="Y509" s="41"/>
      <c r="Z509" s="42"/>
      <c r="AA509" s="43"/>
      <c r="AB509" s="44"/>
      <c r="AC509" s="45"/>
      <c r="AD509" s="114" t="str">
        <f t="shared" si="20"/>
        <v/>
      </c>
    </row>
    <row r="510" spans="15:30" x14ac:dyDescent="0.35">
      <c r="O510" t="str">
        <f t="shared" si="21"/>
        <v/>
      </c>
      <c r="P510" s="62"/>
      <c r="Q510" s="118"/>
      <c r="R510" s="61"/>
      <c r="S510" s="61"/>
      <c r="T510" s="66"/>
      <c r="U510" s="66"/>
      <c r="V510" s="38"/>
      <c r="W510" s="39"/>
      <c r="X510" s="40"/>
      <c r="Y510" s="41"/>
      <c r="Z510" s="42"/>
      <c r="AA510" s="43"/>
      <c r="AB510" s="44"/>
      <c r="AC510" s="45"/>
      <c r="AD510" s="114" t="str">
        <f t="shared" si="20"/>
        <v/>
      </c>
    </row>
    <row r="511" spans="15:30" x14ac:dyDescent="0.35">
      <c r="O511" t="str">
        <f t="shared" si="21"/>
        <v/>
      </c>
      <c r="P511" s="18"/>
      <c r="Q511" s="61"/>
      <c r="R511" s="118"/>
      <c r="S511" s="61"/>
      <c r="T511" s="66"/>
      <c r="U511" s="66"/>
      <c r="V511" s="38"/>
      <c r="W511" s="39"/>
      <c r="X511" s="40"/>
      <c r="Y511" s="41"/>
      <c r="Z511" s="42"/>
      <c r="AA511" s="43"/>
      <c r="AB511" s="44"/>
      <c r="AC511" s="45"/>
      <c r="AD511" s="114" t="str">
        <f t="shared" si="20"/>
        <v/>
      </c>
    </row>
    <row r="512" spans="15:30" x14ac:dyDescent="0.35">
      <c r="O512" t="str">
        <f t="shared" si="21"/>
        <v/>
      </c>
      <c r="P512" s="18"/>
      <c r="Q512" s="61"/>
      <c r="R512" s="61"/>
      <c r="S512" s="61"/>
      <c r="T512" s="66"/>
      <c r="U512" s="66"/>
      <c r="V512" s="38"/>
      <c r="W512" s="39"/>
      <c r="X512" s="40"/>
      <c r="Y512" s="41"/>
      <c r="Z512" s="42"/>
      <c r="AA512" s="43"/>
      <c r="AB512" s="44"/>
      <c r="AC512" s="45"/>
      <c r="AD512" s="114" t="str">
        <f t="shared" si="20"/>
        <v/>
      </c>
    </row>
    <row r="513" spans="15:30" x14ac:dyDescent="0.35">
      <c r="O513" t="str">
        <f t="shared" si="21"/>
        <v/>
      </c>
      <c r="P513" s="18"/>
      <c r="Q513" s="61"/>
      <c r="R513" s="61"/>
      <c r="S513" s="61"/>
      <c r="T513" s="66"/>
      <c r="U513" s="66"/>
      <c r="V513" s="38"/>
      <c r="W513" s="39"/>
      <c r="X513" s="40"/>
      <c r="Y513" s="41"/>
      <c r="Z513" s="42"/>
      <c r="AA513" s="43"/>
      <c r="AB513" s="44"/>
      <c r="AC513" s="45"/>
      <c r="AD513" s="114" t="str">
        <f t="shared" si="20"/>
        <v/>
      </c>
    </row>
    <row r="514" spans="15:30" x14ac:dyDescent="0.35">
      <c r="O514" t="str">
        <f t="shared" si="21"/>
        <v/>
      </c>
      <c r="P514" s="18"/>
      <c r="Q514" s="61"/>
      <c r="R514" s="61"/>
      <c r="S514" s="61"/>
      <c r="T514" s="66"/>
      <c r="U514" s="66"/>
      <c r="V514" s="38"/>
      <c r="W514" s="39"/>
      <c r="X514" s="40"/>
      <c r="Y514" s="41"/>
      <c r="Z514" s="42"/>
      <c r="AA514" s="43"/>
      <c r="AB514" s="44"/>
      <c r="AC514" s="45"/>
      <c r="AD514" s="114" t="str">
        <f t="shared" ref="AD514:AD577" si="22">IF(P514="","",AC514/6)</f>
        <v/>
      </c>
    </row>
    <row r="515" spans="15:30" x14ac:dyDescent="0.35">
      <c r="O515" t="str">
        <f t="shared" si="21"/>
        <v/>
      </c>
      <c r="P515" s="18"/>
      <c r="Q515" s="61"/>
      <c r="R515" s="118"/>
      <c r="S515" s="61"/>
      <c r="T515" s="66"/>
      <c r="U515" s="66"/>
      <c r="V515" s="38"/>
      <c r="W515" s="39"/>
      <c r="X515" s="40"/>
      <c r="Y515" s="41"/>
      <c r="Z515" s="42"/>
      <c r="AA515" s="43"/>
      <c r="AB515" s="44"/>
      <c r="AC515" s="45"/>
      <c r="AD515" s="114" t="str">
        <f t="shared" si="22"/>
        <v/>
      </c>
    </row>
    <row r="516" spans="15:30" x14ac:dyDescent="0.35">
      <c r="O516" t="str">
        <f t="shared" ref="O516:O579" si="23">IF(P516="","",O515+1)</f>
        <v/>
      </c>
      <c r="P516" s="18"/>
      <c r="Q516" s="61"/>
      <c r="R516" s="61"/>
      <c r="S516" s="61"/>
      <c r="T516" s="66"/>
      <c r="U516" s="66"/>
      <c r="V516" s="38"/>
      <c r="W516" s="39"/>
      <c r="X516" s="40"/>
      <c r="Y516" s="41"/>
      <c r="Z516" s="42"/>
      <c r="AA516" s="43"/>
      <c r="AB516" s="44"/>
      <c r="AC516" s="45"/>
      <c r="AD516" s="114" t="str">
        <f t="shared" si="22"/>
        <v/>
      </c>
    </row>
    <row r="517" spans="15:30" x14ac:dyDescent="0.35">
      <c r="O517" t="str">
        <f t="shared" si="23"/>
        <v/>
      </c>
      <c r="P517" s="18"/>
      <c r="Q517" s="61"/>
      <c r="R517" s="61"/>
      <c r="S517" s="61"/>
      <c r="T517" s="66"/>
      <c r="U517" s="66"/>
      <c r="V517" s="38"/>
      <c r="W517" s="39"/>
      <c r="X517" s="40"/>
      <c r="Y517" s="41"/>
      <c r="Z517" s="42"/>
      <c r="AA517" s="43"/>
      <c r="AB517" s="44"/>
      <c r="AC517" s="45"/>
      <c r="AD517" s="114" t="str">
        <f t="shared" si="22"/>
        <v/>
      </c>
    </row>
    <row r="518" spans="15:30" x14ac:dyDescent="0.35">
      <c r="O518" t="str">
        <f t="shared" si="23"/>
        <v/>
      </c>
      <c r="P518" s="62"/>
      <c r="Q518" s="118"/>
      <c r="R518" s="61"/>
      <c r="S518" s="61"/>
      <c r="T518" s="66"/>
      <c r="U518" s="66"/>
      <c r="V518" s="38"/>
      <c r="W518" s="39"/>
      <c r="X518" s="40"/>
      <c r="Y518" s="41"/>
      <c r="Z518" s="42"/>
      <c r="AA518" s="43"/>
      <c r="AB518" s="44"/>
      <c r="AC518" s="45"/>
      <c r="AD518" s="114" t="str">
        <f t="shared" si="22"/>
        <v/>
      </c>
    </row>
    <row r="519" spans="15:30" x14ac:dyDescent="0.35">
      <c r="O519" t="str">
        <f t="shared" si="23"/>
        <v/>
      </c>
      <c r="P519" s="18"/>
      <c r="Q519" s="61"/>
      <c r="R519" s="61"/>
      <c r="S519" s="61"/>
      <c r="T519" s="66"/>
      <c r="U519" s="66"/>
      <c r="V519" s="38"/>
      <c r="W519" s="39"/>
      <c r="X519" s="40"/>
      <c r="Y519" s="41"/>
      <c r="Z519" s="42"/>
      <c r="AA519" s="43"/>
      <c r="AB519" s="44"/>
      <c r="AC519" s="45"/>
      <c r="AD519" s="114" t="str">
        <f t="shared" si="22"/>
        <v/>
      </c>
    </row>
    <row r="520" spans="15:30" x14ac:dyDescent="0.35">
      <c r="O520" t="str">
        <f t="shared" si="23"/>
        <v/>
      </c>
      <c r="P520" s="18"/>
      <c r="Q520" s="61"/>
      <c r="R520" s="118"/>
      <c r="S520" s="61"/>
      <c r="T520" s="66"/>
      <c r="U520" s="66"/>
      <c r="V520" s="38"/>
      <c r="W520" s="39"/>
      <c r="X520" s="40"/>
      <c r="Y520" s="41"/>
      <c r="Z520" s="42"/>
      <c r="AA520" s="43"/>
      <c r="AB520" s="44"/>
      <c r="AC520" s="45"/>
      <c r="AD520" s="114" t="str">
        <f t="shared" si="22"/>
        <v/>
      </c>
    </row>
    <row r="521" spans="15:30" x14ac:dyDescent="0.35">
      <c r="O521" t="str">
        <f t="shared" si="23"/>
        <v/>
      </c>
      <c r="P521" s="18"/>
      <c r="Q521" s="61"/>
      <c r="R521" s="118"/>
      <c r="S521" s="61"/>
      <c r="T521" s="66"/>
      <c r="U521" s="66"/>
      <c r="V521" s="38"/>
      <c r="W521" s="39"/>
      <c r="X521" s="40"/>
      <c r="Y521" s="41"/>
      <c r="Z521" s="42"/>
      <c r="AA521" s="43"/>
      <c r="AB521" s="44"/>
      <c r="AC521" s="45"/>
      <c r="AD521" s="114" t="str">
        <f t="shared" si="22"/>
        <v/>
      </c>
    </row>
    <row r="522" spans="15:30" x14ac:dyDescent="0.35">
      <c r="O522" t="str">
        <f t="shared" si="23"/>
        <v/>
      </c>
      <c r="P522" s="18"/>
      <c r="Q522" s="61"/>
      <c r="R522" s="61"/>
      <c r="S522" s="61"/>
      <c r="T522" s="66"/>
      <c r="U522" s="66"/>
      <c r="V522" s="38"/>
      <c r="W522" s="39"/>
      <c r="X522" s="40"/>
      <c r="Y522" s="41"/>
      <c r="Z522" s="42"/>
      <c r="AA522" s="43"/>
      <c r="AB522" s="44"/>
      <c r="AC522" s="45"/>
      <c r="AD522" s="114" t="str">
        <f t="shared" si="22"/>
        <v/>
      </c>
    </row>
    <row r="523" spans="15:30" x14ac:dyDescent="0.35">
      <c r="O523" t="str">
        <f t="shared" si="23"/>
        <v/>
      </c>
      <c r="P523" s="18"/>
      <c r="Q523" s="61"/>
      <c r="R523" s="61"/>
      <c r="S523" s="61"/>
      <c r="T523" s="66"/>
      <c r="U523" s="66"/>
      <c r="V523" s="38"/>
      <c r="W523" s="39"/>
      <c r="X523" s="40"/>
      <c r="Y523" s="41"/>
      <c r="Z523" s="42"/>
      <c r="AA523" s="43"/>
      <c r="AB523" s="44"/>
      <c r="AC523" s="45"/>
      <c r="AD523" s="114" t="str">
        <f t="shared" si="22"/>
        <v/>
      </c>
    </row>
    <row r="524" spans="15:30" x14ac:dyDescent="0.35">
      <c r="O524" t="str">
        <f t="shared" si="23"/>
        <v/>
      </c>
      <c r="P524" s="18"/>
      <c r="Q524" s="61"/>
      <c r="R524" s="61"/>
      <c r="S524" s="61"/>
      <c r="T524" s="66"/>
      <c r="U524" s="66"/>
      <c r="V524" s="38"/>
      <c r="W524" s="39"/>
      <c r="X524" s="40"/>
      <c r="Y524" s="41"/>
      <c r="Z524" s="42"/>
      <c r="AA524" s="43"/>
      <c r="AB524" s="44"/>
      <c r="AC524" s="45"/>
      <c r="AD524" s="114" t="str">
        <f t="shared" si="22"/>
        <v/>
      </c>
    </row>
    <row r="525" spans="15:30" x14ac:dyDescent="0.35">
      <c r="O525" t="str">
        <f t="shared" si="23"/>
        <v/>
      </c>
      <c r="P525" s="18"/>
      <c r="Q525" s="61"/>
      <c r="R525" s="61"/>
      <c r="S525" s="61"/>
      <c r="T525" s="66"/>
      <c r="U525" s="66"/>
      <c r="V525" s="38"/>
      <c r="W525" s="39"/>
      <c r="X525" s="40"/>
      <c r="Y525" s="41"/>
      <c r="Z525" s="42"/>
      <c r="AA525" s="43"/>
      <c r="AB525" s="44"/>
      <c r="AC525" s="45"/>
      <c r="AD525" s="114" t="str">
        <f t="shared" si="22"/>
        <v/>
      </c>
    </row>
    <row r="526" spans="15:30" x14ac:dyDescent="0.35">
      <c r="O526" t="str">
        <f t="shared" si="23"/>
        <v/>
      </c>
      <c r="P526" s="62"/>
      <c r="Q526" s="118"/>
      <c r="R526" s="118"/>
      <c r="S526" s="61"/>
      <c r="T526" s="66"/>
      <c r="U526" s="66"/>
      <c r="V526" s="38"/>
      <c r="W526" s="39"/>
      <c r="X526" s="40"/>
      <c r="Y526" s="41"/>
      <c r="Z526" s="42"/>
      <c r="AA526" s="43"/>
      <c r="AB526" s="44"/>
      <c r="AC526" s="45"/>
      <c r="AD526" s="114" t="str">
        <f t="shared" si="22"/>
        <v/>
      </c>
    </row>
    <row r="527" spans="15:30" x14ac:dyDescent="0.35">
      <c r="O527" t="str">
        <f t="shared" si="23"/>
        <v/>
      </c>
      <c r="P527" s="18"/>
      <c r="Q527" s="61"/>
      <c r="R527" s="61"/>
      <c r="S527" s="61"/>
      <c r="T527" s="66"/>
      <c r="U527" s="66"/>
      <c r="V527" s="38"/>
      <c r="W527" s="39"/>
      <c r="X527" s="40"/>
      <c r="Y527" s="41"/>
      <c r="Z527" s="42"/>
      <c r="AA527" s="43"/>
      <c r="AB527" s="44"/>
      <c r="AC527" s="45"/>
      <c r="AD527" s="114" t="str">
        <f t="shared" si="22"/>
        <v/>
      </c>
    </row>
    <row r="528" spans="15:30" x14ac:dyDescent="0.35">
      <c r="O528" t="str">
        <f t="shared" si="23"/>
        <v/>
      </c>
      <c r="P528" s="18"/>
      <c r="Q528" s="61"/>
      <c r="R528" s="118"/>
      <c r="S528" s="61"/>
      <c r="T528" s="66"/>
      <c r="U528" s="66"/>
      <c r="V528" s="38"/>
      <c r="W528" s="39"/>
      <c r="X528" s="40"/>
      <c r="Y528" s="41"/>
      <c r="Z528" s="42"/>
      <c r="AA528" s="43"/>
      <c r="AB528" s="44"/>
      <c r="AC528" s="45"/>
      <c r="AD528" s="114" t="str">
        <f t="shared" si="22"/>
        <v/>
      </c>
    </row>
    <row r="529" spans="15:30" x14ac:dyDescent="0.35">
      <c r="O529" t="str">
        <f t="shared" si="23"/>
        <v/>
      </c>
      <c r="P529" s="18"/>
      <c r="Q529" s="61"/>
      <c r="R529" s="61"/>
      <c r="S529" s="61"/>
      <c r="T529" s="66"/>
      <c r="U529" s="66"/>
      <c r="V529" s="38"/>
      <c r="W529" s="39"/>
      <c r="X529" s="40"/>
      <c r="Y529" s="41"/>
      <c r="Z529" s="42"/>
      <c r="AA529" s="43"/>
      <c r="AB529" s="44"/>
      <c r="AC529" s="45"/>
      <c r="AD529" s="114" t="str">
        <f t="shared" si="22"/>
        <v/>
      </c>
    </row>
    <row r="530" spans="15:30" x14ac:dyDescent="0.35">
      <c r="O530" t="str">
        <f t="shared" si="23"/>
        <v/>
      </c>
      <c r="P530" s="18"/>
      <c r="Q530" s="61"/>
      <c r="R530" s="118"/>
      <c r="S530" s="61"/>
      <c r="T530" s="66"/>
      <c r="U530" s="66"/>
      <c r="V530" s="38"/>
      <c r="W530" s="39"/>
      <c r="X530" s="40"/>
      <c r="Y530" s="41"/>
      <c r="Z530" s="42"/>
      <c r="AA530" s="43"/>
      <c r="AB530" s="44"/>
      <c r="AC530" s="45"/>
      <c r="AD530" s="114" t="str">
        <f t="shared" si="22"/>
        <v/>
      </c>
    </row>
    <row r="531" spans="15:30" x14ac:dyDescent="0.35">
      <c r="O531" t="str">
        <f t="shared" si="23"/>
        <v/>
      </c>
      <c r="P531" s="18"/>
      <c r="Q531" s="61"/>
      <c r="R531" s="118"/>
      <c r="S531" s="61"/>
      <c r="T531" s="66"/>
      <c r="U531" s="66"/>
      <c r="V531" s="38"/>
      <c r="W531" s="39"/>
      <c r="X531" s="40"/>
      <c r="Y531" s="41"/>
      <c r="Z531" s="42"/>
      <c r="AA531" s="43"/>
      <c r="AB531" s="44"/>
      <c r="AC531" s="45"/>
      <c r="AD531" s="114" t="str">
        <f t="shared" si="22"/>
        <v/>
      </c>
    </row>
    <row r="532" spans="15:30" x14ac:dyDescent="0.35">
      <c r="O532" t="str">
        <f t="shared" si="23"/>
        <v/>
      </c>
      <c r="P532" s="18"/>
      <c r="Q532" s="61"/>
      <c r="R532" s="61"/>
      <c r="S532" s="61"/>
      <c r="T532" s="66"/>
      <c r="U532" s="66"/>
      <c r="V532" s="38"/>
      <c r="W532" s="39"/>
      <c r="X532" s="40"/>
      <c r="Y532" s="41"/>
      <c r="Z532" s="42"/>
      <c r="AA532" s="43"/>
      <c r="AB532" s="44"/>
      <c r="AC532" s="45"/>
      <c r="AD532" s="114" t="str">
        <f t="shared" si="22"/>
        <v/>
      </c>
    </row>
    <row r="533" spans="15:30" x14ac:dyDescent="0.35">
      <c r="O533" t="str">
        <f t="shared" si="23"/>
        <v/>
      </c>
      <c r="P533" s="18"/>
      <c r="Q533" s="61"/>
      <c r="R533" s="118"/>
      <c r="S533" s="61"/>
      <c r="T533" s="66"/>
      <c r="U533" s="66"/>
      <c r="V533" s="38"/>
      <c r="W533" s="39"/>
      <c r="X533" s="40"/>
      <c r="Y533" s="41"/>
      <c r="Z533" s="42"/>
      <c r="AA533" s="43"/>
      <c r="AB533" s="44"/>
      <c r="AC533" s="45"/>
      <c r="AD533" s="114" t="str">
        <f t="shared" si="22"/>
        <v/>
      </c>
    </row>
    <row r="534" spans="15:30" x14ac:dyDescent="0.35">
      <c r="O534" t="str">
        <f t="shared" si="23"/>
        <v/>
      </c>
      <c r="P534" s="18"/>
      <c r="Q534" s="61"/>
      <c r="R534" s="61"/>
      <c r="S534" s="61"/>
      <c r="T534" s="66"/>
      <c r="U534" s="66"/>
      <c r="V534" s="38"/>
      <c r="W534" s="39"/>
      <c r="X534" s="40"/>
      <c r="Y534" s="41"/>
      <c r="Z534" s="42"/>
      <c r="AA534" s="43"/>
      <c r="AB534" s="44"/>
      <c r="AC534" s="45"/>
      <c r="AD534" s="114" t="str">
        <f t="shared" si="22"/>
        <v/>
      </c>
    </row>
    <row r="535" spans="15:30" x14ac:dyDescent="0.35">
      <c r="O535" t="str">
        <f t="shared" si="23"/>
        <v/>
      </c>
      <c r="P535" s="18"/>
      <c r="Q535" s="61"/>
      <c r="R535" s="61"/>
      <c r="S535" s="61"/>
      <c r="T535" s="66"/>
      <c r="U535" s="66"/>
      <c r="V535" s="38"/>
      <c r="W535" s="39"/>
      <c r="X535" s="40"/>
      <c r="Y535" s="41"/>
      <c r="Z535" s="42"/>
      <c r="AA535" s="43"/>
      <c r="AB535" s="44"/>
      <c r="AC535" s="45"/>
      <c r="AD535" s="114" t="str">
        <f t="shared" si="22"/>
        <v/>
      </c>
    </row>
    <row r="536" spans="15:30" x14ac:dyDescent="0.35">
      <c r="O536" t="str">
        <f t="shared" si="23"/>
        <v/>
      </c>
      <c r="P536" s="18"/>
      <c r="Q536" s="61"/>
      <c r="R536" s="118"/>
      <c r="S536" s="61"/>
      <c r="T536" s="66"/>
      <c r="U536" s="66"/>
      <c r="V536" s="38"/>
      <c r="W536" s="39"/>
      <c r="X536" s="40"/>
      <c r="Y536" s="41"/>
      <c r="Z536" s="42"/>
      <c r="AA536" s="43"/>
      <c r="AB536" s="44"/>
      <c r="AC536" s="45"/>
      <c r="AD536" s="114" t="str">
        <f t="shared" si="22"/>
        <v/>
      </c>
    </row>
    <row r="537" spans="15:30" x14ac:dyDescent="0.35">
      <c r="O537" t="str">
        <f t="shared" si="23"/>
        <v/>
      </c>
      <c r="P537" s="18"/>
      <c r="Q537" s="61"/>
      <c r="R537" s="118"/>
      <c r="S537" s="61"/>
      <c r="T537" s="66"/>
      <c r="U537" s="66"/>
      <c r="V537" s="38"/>
      <c r="W537" s="39"/>
      <c r="X537" s="40"/>
      <c r="Y537" s="41"/>
      <c r="Z537" s="42"/>
      <c r="AA537" s="43"/>
      <c r="AB537" s="44"/>
      <c r="AC537" s="45"/>
      <c r="AD537" s="114" t="str">
        <f t="shared" si="22"/>
        <v/>
      </c>
    </row>
    <row r="538" spans="15:30" x14ac:dyDescent="0.35">
      <c r="O538" t="str">
        <f t="shared" si="23"/>
        <v/>
      </c>
      <c r="P538" s="18"/>
      <c r="Q538" s="61"/>
      <c r="R538" s="61"/>
      <c r="S538" s="61"/>
      <c r="T538" s="66"/>
      <c r="U538" s="66"/>
      <c r="V538" s="38"/>
      <c r="W538" s="39"/>
      <c r="X538" s="40"/>
      <c r="Y538" s="41"/>
      <c r="Z538" s="42"/>
      <c r="AA538" s="43"/>
      <c r="AB538" s="44"/>
      <c r="AC538" s="45"/>
      <c r="AD538" s="114" t="str">
        <f t="shared" si="22"/>
        <v/>
      </c>
    </row>
    <row r="539" spans="15:30" x14ac:dyDescent="0.35">
      <c r="O539" t="str">
        <f t="shared" si="23"/>
        <v/>
      </c>
      <c r="P539" s="18"/>
      <c r="Q539" s="61"/>
      <c r="R539" s="61"/>
      <c r="S539" s="61"/>
      <c r="T539" s="66"/>
      <c r="U539" s="66"/>
      <c r="V539" s="38"/>
      <c r="W539" s="39"/>
      <c r="X539" s="40"/>
      <c r="Y539" s="41"/>
      <c r="Z539" s="42"/>
      <c r="AA539" s="43"/>
      <c r="AB539" s="44"/>
      <c r="AC539" s="45"/>
      <c r="AD539" s="114" t="str">
        <f t="shared" si="22"/>
        <v/>
      </c>
    </row>
    <row r="540" spans="15:30" x14ac:dyDescent="0.35">
      <c r="O540" t="str">
        <f t="shared" si="23"/>
        <v/>
      </c>
      <c r="P540" s="18"/>
      <c r="Q540" s="61"/>
      <c r="R540" s="61"/>
      <c r="S540" s="61"/>
      <c r="T540" s="66"/>
      <c r="U540" s="66"/>
      <c r="V540" s="38"/>
      <c r="W540" s="39"/>
      <c r="X540" s="40"/>
      <c r="Y540" s="41"/>
      <c r="Z540" s="42"/>
      <c r="AA540" s="43"/>
      <c r="AB540" s="44"/>
      <c r="AC540" s="45"/>
      <c r="AD540" s="114" t="str">
        <f t="shared" si="22"/>
        <v/>
      </c>
    </row>
    <row r="541" spans="15:30" x14ac:dyDescent="0.35">
      <c r="O541" t="str">
        <f t="shared" si="23"/>
        <v/>
      </c>
      <c r="P541" s="18"/>
      <c r="Q541" s="61"/>
      <c r="R541" s="61"/>
      <c r="S541" s="61"/>
      <c r="T541" s="66"/>
      <c r="U541" s="66"/>
      <c r="V541" s="38"/>
      <c r="W541" s="39"/>
      <c r="X541" s="40"/>
      <c r="Y541" s="41"/>
      <c r="Z541" s="42"/>
      <c r="AA541" s="43"/>
      <c r="AB541" s="44"/>
      <c r="AC541" s="45"/>
      <c r="AD541" s="114" t="str">
        <f t="shared" si="22"/>
        <v/>
      </c>
    </row>
    <row r="542" spans="15:30" x14ac:dyDescent="0.35">
      <c r="O542" t="str">
        <f t="shared" si="23"/>
        <v/>
      </c>
      <c r="P542" s="18"/>
      <c r="Q542" s="61"/>
      <c r="R542" s="61"/>
      <c r="S542" s="61"/>
      <c r="T542" s="66"/>
      <c r="U542" s="66"/>
      <c r="V542" s="38"/>
      <c r="W542" s="39"/>
      <c r="X542" s="40"/>
      <c r="Y542" s="41"/>
      <c r="Z542" s="42"/>
      <c r="AA542" s="43"/>
      <c r="AB542" s="44"/>
      <c r="AC542" s="45"/>
      <c r="AD542" s="114" t="str">
        <f t="shared" si="22"/>
        <v/>
      </c>
    </row>
    <row r="543" spans="15:30" x14ac:dyDescent="0.35">
      <c r="O543" t="str">
        <f t="shared" si="23"/>
        <v/>
      </c>
      <c r="P543" s="18"/>
      <c r="Q543" s="61"/>
      <c r="R543" s="61"/>
      <c r="S543" s="61"/>
      <c r="T543" s="66"/>
      <c r="U543" s="66"/>
      <c r="V543" s="38"/>
      <c r="W543" s="39"/>
      <c r="X543" s="40"/>
      <c r="Y543" s="41"/>
      <c r="Z543" s="42"/>
      <c r="AA543" s="43"/>
      <c r="AB543" s="44"/>
      <c r="AC543" s="45"/>
      <c r="AD543" s="114" t="str">
        <f t="shared" si="22"/>
        <v/>
      </c>
    </row>
    <row r="544" spans="15:30" x14ac:dyDescent="0.35">
      <c r="O544" t="str">
        <f t="shared" si="23"/>
        <v/>
      </c>
      <c r="P544" s="18"/>
      <c r="Q544" s="61"/>
      <c r="R544" s="118"/>
      <c r="S544" s="61"/>
      <c r="T544" s="66"/>
      <c r="U544" s="66"/>
      <c r="V544" s="38"/>
      <c r="W544" s="39"/>
      <c r="X544" s="40"/>
      <c r="Y544" s="41"/>
      <c r="Z544" s="42"/>
      <c r="AA544" s="43"/>
      <c r="AB544" s="44"/>
      <c r="AC544" s="45"/>
      <c r="AD544" s="114" t="str">
        <f t="shared" si="22"/>
        <v/>
      </c>
    </row>
    <row r="545" spans="15:30" x14ac:dyDescent="0.35">
      <c r="O545" t="str">
        <f t="shared" si="23"/>
        <v/>
      </c>
      <c r="P545" s="18"/>
      <c r="Q545" s="61"/>
      <c r="R545" s="118"/>
      <c r="S545" s="61"/>
      <c r="T545" s="66"/>
      <c r="U545" s="66"/>
      <c r="V545" s="38"/>
      <c r="W545" s="39"/>
      <c r="X545" s="40"/>
      <c r="Y545" s="41"/>
      <c r="Z545" s="42"/>
      <c r="AA545" s="43"/>
      <c r="AB545" s="44"/>
      <c r="AC545" s="45"/>
      <c r="AD545" s="114" t="str">
        <f t="shared" si="22"/>
        <v/>
      </c>
    </row>
    <row r="546" spans="15:30" x14ac:dyDescent="0.35">
      <c r="O546" t="str">
        <f t="shared" si="23"/>
        <v/>
      </c>
      <c r="P546" s="18"/>
      <c r="Q546" s="61"/>
      <c r="R546" s="61"/>
      <c r="S546" s="61"/>
      <c r="T546" s="66"/>
      <c r="U546" s="66"/>
      <c r="V546" s="38"/>
      <c r="W546" s="39"/>
      <c r="X546" s="40"/>
      <c r="Y546" s="41"/>
      <c r="Z546" s="42"/>
      <c r="AA546" s="43"/>
      <c r="AB546" s="44"/>
      <c r="AC546" s="45"/>
      <c r="AD546" s="114" t="str">
        <f t="shared" si="22"/>
        <v/>
      </c>
    </row>
    <row r="547" spans="15:30" x14ac:dyDescent="0.35">
      <c r="O547" t="str">
        <f t="shared" si="23"/>
        <v/>
      </c>
      <c r="P547" s="18"/>
      <c r="Q547" s="61"/>
      <c r="R547" s="118"/>
      <c r="S547" s="61"/>
      <c r="T547" s="66"/>
      <c r="U547" s="66"/>
      <c r="V547" s="38"/>
      <c r="W547" s="39"/>
      <c r="X547" s="40"/>
      <c r="Y547" s="41"/>
      <c r="Z547" s="42"/>
      <c r="AA547" s="43"/>
      <c r="AB547" s="44"/>
      <c r="AC547" s="45"/>
      <c r="AD547" s="114" t="str">
        <f t="shared" si="22"/>
        <v/>
      </c>
    </row>
    <row r="548" spans="15:30" x14ac:dyDescent="0.35">
      <c r="O548" t="str">
        <f t="shared" si="23"/>
        <v/>
      </c>
      <c r="P548" s="18"/>
      <c r="Q548" s="61"/>
      <c r="R548" s="61"/>
      <c r="S548" s="61"/>
      <c r="T548" s="66"/>
      <c r="U548" s="66"/>
      <c r="V548" s="38"/>
      <c r="W548" s="39"/>
      <c r="X548" s="40"/>
      <c r="Y548" s="41"/>
      <c r="Z548" s="42"/>
      <c r="AA548" s="43"/>
      <c r="AB548" s="44"/>
      <c r="AC548" s="45"/>
      <c r="AD548" s="114" t="str">
        <f t="shared" si="22"/>
        <v/>
      </c>
    </row>
    <row r="549" spans="15:30" x14ac:dyDescent="0.35">
      <c r="O549" t="str">
        <f t="shared" si="23"/>
        <v/>
      </c>
      <c r="P549" s="18"/>
      <c r="Q549" s="61"/>
      <c r="R549" s="118"/>
      <c r="S549" s="61"/>
      <c r="T549" s="66"/>
      <c r="U549" s="66"/>
      <c r="V549" s="38"/>
      <c r="W549" s="39"/>
      <c r="X549" s="40"/>
      <c r="Y549" s="41"/>
      <c r="Z549" s="42"/>
      <c r="AA549" s="43"/>
      <c r="AB549" s="44"/>
      <c r="AC549" s="45"/>
      <c r="AD549" s="114" t="str">
        <f t="shared" si="22"/>
        <v/>
      </c>
    </row>
    <row r="550" spans="15:30" x14ac:dyDescent="0.35">
      <c r="O550" t="str">
        <f t="shared" si="23"/>
        <v/>
      </c>
      <c r="P550" s="18"/>
      <c r="Q550" s="61"/>
      <c r="R550" s="118"/>
      <c r="S550" s="61"/>
      <c r="T550" s="66"/>
      <c r="U550" s="66"/>
      <c r="V550" s="38"/>
      <c r="W550" s="39"/>
      <c r="X550" s="40"/>
      <c r="Y550" s="41"/>
      <c r="Z550" s="42"/>
      <c r="AA550" s="43"/>
      <c r="AB550" s="44"/>
      <c r="AC550" s="45"/>
      <c r="AD550" s="114" t="str">
        <f t="shared" si="22"/>
        <v/>
      </c>
    </row>
    <row r="551" spans="15:30" x14ac:dyDescent="0.35">
      <c r="O551" t="str">
        <f t="shared" si="23"/>
        <v/>
      </c>
      <c r="P551" s="18"/>
      <c r="Q551" s="61"/>
      <c r="R551" s="61"/>
      <c r="S551" s="61"/>
      <c r="T551" s="66"/>
      <c r="U551" s="66"/>
      <c r="V551" s="38"/>
      <c r="W551" s="39"/>
      <c r="X551" s="40"/>
      <c r="Y551" s="41"/>
      <c r="Z551" s="42"/>
      <c r="AA551" s="43"/>
      <c r="AB551" s="44"/>
      <c r="AC551" s="45"/>
      <c r="AD551" s="114" t="str">
        <f t="shared" si="22"/>
        <v/>
      </c>
    </row>
    <row r="552" spans="15:30" x14ac:dyDescent="0.35">
      <c r="O552" t="str">
        <f t="shared" si="23"/>
        <v/>
      </c>
      <c r="P552" s="18"/>
      <c r="Q552" s="61"/>
      <c r="R552" s="61"/>
      <c r="S552" s="61"/>
      <c r="T552" s="66"/>
      <c r="U552" s="66"/>
      <c r="V552" s="38"/>
      <c r="W552" s="39"/>
      <c r="X552" s="40"/>
      <c r="Y552" s="41"/>
      <c r="Z552" s="42"/>
      <c r="AA552" s="43"/>
      <c r="AB552" s="44"/>
      <c r="AC552" s="45"/>
      <c r="AD552" s="114" t="str">
        <f t="shared" si="22"/>
        <v/>
      </c>
    </row>
    <row r="553" spans="15:30" x14ac:dyDescent="0.35">
      <c r="O553" t="str">
        <f t="shared" si="23"/>
        <v/>
      </c>
      <c r="P553" s="18"/>
      <c r="Q553" s="61"/>
      <c r="R553" s="118"/>
      <c r="S553" s="61"/>
      <c r="T553" s="66"/>
      <c r="U553" s="66"/>
      <c r="V553" s="38"/>
      <c r="W553" s="39"/>
      <c r="X553" s="40"/>
      <c r="Y553" s="41"/>
      <c r="Z553" s="42"/>
      <c r="AA553" s="43"/>
      <c r="AB553" s="44"/>
      <c r="AC553" s="45"/>
      <c r="AD553" s="114" t="str">
        <f t="shared" si="22"/>
        <v/>
      </c>
    </row>
    <row r="554" spans="15:30" x14ac:dyDescent="0.35">
      <c r="O554" t="str">
        <f t="shared" si="23"/>
        <v/>
      </c>
      <c r="P554" s="18"/>
      <c r="Q554" s="61"/>
      <c r="R554" s="118"/>
      <c r="S554" s="61"/>
      <c r="T554" s="66"/>
      <c r="U554" s="66"/>
      <c r="V554" s="38"/>
      <c r="W554" s="39"/>
      <c r="X554" s="40"/>
      <c r="Y554" s="41"/>
      <c r="Z554" s="42"/>
      <c r="AA554" s="43"/>
      <c r="AB554" s="44"/>
      <c r="AC554" s="45"/>
      <c r="AD554" s="114" t="str">
        <f t="shared" si="22"/>
        <v/>
      </c>
    </row>
    <row r="555" spans="15:30" x14ac:dyDescent="0.35">
      <c r="O555" t="str">
        <f t="shared" si="23"/>
        <v/>
      </c>
      <c r="P555" s="18"/>
      <c r="Q555" s="61"/>
      <c r="R555" s="61"/>
      <c r="S555" s="61"/>
      <c r="T555" s="66"/>
      <c r="U555" s="66"/>
      <c r="V555" s="38"/>
      <c r="W555" s="39"/>
      <c r="X555" s="40"/>
      <c r="Y555" s="41"/>
      <c r="Z555" s="42"/>
      <c r="AA555" s="43"/>
      <c r="AB555" s="44"/>
      <c r="AC555" s="45"/>
      <c r="AD555" s="114" t="str">
        <f t="shared" si="22"/>
        <v/>
      </c>
    </row>
    <row r="556" spans="15:30" x14ac:dyDescent="0.35">
      <c r="O556" t="str">
        <f t="shared" si="23"/>
        <v/>
      </c>
      <c r="P556" s="18"/>
      <c r="Q556" s="61"/>
      <c r="R556" s="61"/>
      <c r="S556" s="61"/>
      <c r="T556" s="66"/>
      <c r="U556" s="66"/>
      <c r="V556" s="38"/>
      <c r="W556" s="39"/>
      <c r="X556" s="40"/>
      <c r="Y556" s="41"/>
      <c r="Z556" s="42"/>
      <c r="AA556" s="43"/>
      <c r="AB556" s="44"/>
      <c r="AC556" s="45"/>
      <c r="AD556" s="114" t="str">
        <f t="shared" si="22"/>
        <v/>
      </c>
    </row>
    <row r="557" spans="15:30" x14ac:dyDescent="0.35">
      <c r="O557" t="str">
        <f t="shared" si="23"/>
        <v/>
      </c>
      <c r="P557" s="18"/>
      <c r="Q557" s="61"/>
      <c r="R557" s="118"/>
      <c r="S557" s="61"/>
      <c r="T557" s="66"/>
      <c r="U557" s="66"/>
      <c r="V557" s="38"/>
      <c r="W557" s="39"/>
      <c r="X557" s="40"/>
      <c r="Y557" s="41"/>
      <c r="Z557" s="42"/>
      <c r="AA557" s="43"/>
      <c r="AB557" s="44"/>
      <c r="AC557" s="45"/>
      <c r="AD557" s="114" t="str">
        <f t="shared" si="22"/>
        <v/>
      </c>
    </row>
    <row r="558" spans="15:30" x14ac:dyDescent="0.35">
      <c r="O558" t="str">
        <f t="shared" si="23"/>
        <v/>
      </c>
      <c r="P558" s="62"/>
      <c r="Q558" s="118"/>
      <c r="R558" s="61"/>
      <c r="S558" s="61"/>
      <c r="T558" s="66"/>
      <c r="U558" s="66"/>
      <c r="V558" s="38"/>
      <c r="W558" s="39"/>
      <c r="X558" s="40"/>
      <c r="Y558" s="41"/>
      <c r="Z558" s="42"/>
      <c r="AA558" s="43"/>
      <c r="AB558" s="44"/>
      <c r="AC558" s="45"/>
      <c r="AD558" s="114" t="str">
        <f t="shared" si="22"/>
        <v/>
      </c>
    </row>
    <row r="559" spans="15:30" x14ac:dyDescent="0.35">
      <c r="O559" t="str">
        <f t="shared" si="23"/>
        <v/>
      </c>
      <c r="P559" s="18"/>
      <c r="Q559" s="61"/>
      <c r="R559" s="118"/>
      <c r="S559" s="61"/>
      <c r="T559" s="66"/>
      <c r="U559" s="66"/>
      <c r="V559" s="38"/>
      <c r="W559" s="39"/>
      <c r="X559" s="40"/>
      <c r="Y559" s="41"/>
      <c r="Z559" s="42"/>
      <c r="AA559" s="43"/>
      <c r="AB559" s="44"/>
      <c r="AC559" s="45"/>
      <c r="AD559" s="114" t="str">
        <f t="shared" si="22"/>
        <v/>
      </c>
    </row>
    <row r="560" spans="15:30" x14ac:dyDescent="0.35">
      <c r="O560" t="str">
        <f t="shared" si="23"/>
        <v/>
      </c>
      <c r="P560" s="18"/>
      <c r="Q560" s="61"/>
      <c r="R560" s="118"/>
      <c r="S560" s="61"/>
      <c r="T560" s="66"/>
      <c r="U560" s="66"/>
      <c r="V560" s="38"/>
      <c r="W560" s="39"/>
      <c r="X560" s="40"/>
      <c r="Y560" s="41"/>
      <c r="Z560" s="42"/>
      <c r="AA560" s="43"/>
      <c r="AB560" s="44"/>
      <c r="AC560" s="45"/>
      <c r="AD560" s="114" t="str">
        <f t="shared" si="22"/>
        <v/>
      </c>
    </row>
    <row r="561" spans="15:30" x14ac:dyDescent="0.35">
      <c r="O561" t="str">
        <f t="shared" si="23"/>
        <v/>
      </c>
      <c r="P561" s="18"/>
      <c r="Q561" s="61"/>
      <c r="R561" s="118"/>
      <c r="S561" s="61"/>
      <c r="T561" s="66"/>
      <c r="U561" s="66"/>
      <c r="V561" s="38"/>
      <c r="W561" s="39"/>
      <c r="X561" s="40"/>
      <c r="Y561" s="41"/>
      <c r="Z561" s="42"/>
      <c r="AA561" s="43"/>
      <c r="AB561" s="44"/>
      <c r="AC561" s="45"/>
      <c r="AD561" s="114" t="str">
        <f t="shared" si="22"/>
        <v/>
      </c>
    </row>
    <row r="562" spans="15:30" x14ac:dyDescent="0.35">
      <c r="O562" t="str">
        <f t="shared" si="23"/>
        <v/>
      </c>
      <c r="P562" s="18"/>
      <c r="Q562" s="61"/>
      <c r="R562" s="118"/>
      <c r="S562" s="61"/>
      <c r="T562" s="66"/>
      <c r="U562" s="66"/>
      <c r="V562" s="38"/>
      <c r="W562" s="39"/>
      <c r="X562" s="40"/>
      <c r="Y562" s="41"/>
      <c r="Z562" s="42"/>
      <c r="AA562" s="43"/>
      <c r="AB562" s="44"/>
      <c r="AC562" s="45"/>
      <c r="AD562" s="114" t="str">
        <f t="shared" si="22"/>
        <v/>
      </c>
    </row>
    <row r="563" spans="15:30" x14ac:dyDescent="0.35">
      <c r="O563" t="str">
        <f t="shared" si="23"/>
        <v/>
      </c>
      <c r="P563" s="18"/>
      <c r="Q563" s="61"/>
      <c r="R563" s="61"/>
      <c r="S563" s="61"/>
      <c r="T563" s="66"/>
      <c r="U563" s="66"/>
      <c r="V563" s="38"/>
      <c r="W563" s="39"/>
      <c r="X563" s="40"/>
      <c r="Y563" s="41"/>
      <c r="Z563" s="42"/>
      <c r="AA563" s="43"/>
      <c r="AB563" s="44"/>
      <c r="AC563" s="45"/>
      <c r="AD563" s="114" t="str">
        <f t="shared" si="22"/>
        <v/>
      </c>
    </row>
    <row r="564" spans="15:30" x14ac:dyDescent="0.35">
      <c r="O564" t="str">
        <f t="shared" si="23"/>
        <v/>
      </c>
      <c r="P564" s="18"/>
      <c r="Q564" s="61"/>
      <c r="R564" s="61"/>
      <c r="S564" s="61"/>
      <c r="T564" s="66"/>
      <c r="U564" s="66"/>
      <c r="V564" s="38"/>
      <c r="W564" s="39"/>
      <c r="X564" s="40"/>
      <c r="Y564" s="41"/>
      <c r="Z564" s="42"/>
      <c r="AA564" s="43"/>
      <c r="AB564" s="44"/>
      <c r="AC564" s="45"/>
      <c r="AD564" s="114" t="str">
        <f t="shared" si="22"/>
        <v/>
      </c>
    </row>
    <row r="565" spans="15:30" x14ac:dyDescent="0.35">
      <c r="O565" t="str">
        <f t="shared" si="23"/>
        <v/>
      </c>
      <c r="P565" s="18"/>
      <c r="Q565" s="61"/>
      <c r="R565" s="118"/>
      <c r="S565" s="61"/>
      <c r="T565" s="66"/>
      <c r="U565" s="66"/>
      <c r="V565" s="38"/>
      <c r="W565" s="39"/>
      <c r="X565" s="40"/>
      <c r="Y565" s="41"/>
      <c r="Z565" s="42"/>
      <c r="AA565" s="43"/>
      <c r="AB565" s="44"/>
      <c r="AC565" s="45"/>
      <c r="AD565" s="114" t="str">
        <f t="shared" si="22"/>
        <v/>
      </c>
    </row>
    <row r="566" spans="15:30" x14ac:dyDescent="0.35">
      <c r="O566" t="str">
        <f t="shared" si="23"/>
        <v/>
      </c>
      <c r="P566" s="18"/>
      <c r="Q566" s="61"/>
      <c r="R566" s="118"/>
      <c r="S566" s="61"/>
      <c r="T566" s="66"/>
      <c r="U566" s="66"/>
      <c r="V566" s="38"/>
      <c r="W566" s="39"/>
      <c r="X566" s="40"/>
      <c r="Y566" s="41"/>
      <c r="Z566" s="42"/>
      <c r="AA566" s="43"/>
      <c r="AB566" s="44"/>
      <c r="AC566" s="45"/>
      <c r="AD566" s="114" t="str">
        <f t="shared" si="22"/>
        <v/>
      </c>
    </row>
    <row r="567" spans="15:30" x14ac:dyDescent="0.35">
      <c r="O567" t="str">
        <f t="shared" si="23"/>
        <v/>
      </c>
      <c r="P567" s="18"/>
      <c r="Q567" s="61"/>
      <c r="R567" s="118"/>
      <c r="S567" s="61"/>
      <c r="T567" s="66"/>
      <c r="U567" s="66"/>
      <c r="V567" s="38"/>
      <c r="W567" s="39"/>
      <c r="X567" s="40"/>
      <c r="Y567" s="41"/>
      <c r="Z567" s="42"/>
      <c r="AA567" s="43"/>
      <c r="AB567" s="44"/>
      <c r="AC567" s="45"/>
      <c r="AD567" s="114" t="str">
        <f t="shared" si="22"/>
        <v/>
      </c>
    </row>
    <row r="568" spans="15:30" x14ac:dyDescent="0.35">
      <c r="O568" t="str">
        <f t="shared" si="23"/>
        <v/>
      </c>
      <c r="P568" s="62"/>
      <c r="Q568" s="118"/>
      <c r="R568" s="61"/>
      <c r="S568" s="61"/>
      <c r="T568" s="66"/>
      <c r="U568" s="66"/>
      <c r="V568" s="38"/>
      <c r="W568" s="39"/>
      <c r="X568" s="40"/>
      <c r="Y568" s="41"/>
      <c r="Z568" s="42"/>
      <c r="AA568" s="43"/>
      <c r="AB568" s="44"/>
      <c r="AC568" s="45"/>
      <c r="AD568" s="114" t="str">
        <f t="shared" si="22"/>
        <v/>
      </c>
    </row>
    <row r="569" spans="15:30" x14ac:dyDescent="0.35">
      <c r="O569" t="str">
        <f t="shared" si="23"/>
        <v/>
      </c>
      <c r="P569" s="18"/>
      <c r="Q569" s="61"/>
      <c r="R569" s="118"/>
      <c r="S569" s="61"/>
      <c r="T569" s="66"/>
      <c r="U569" s="66"/>
      <c r="V569" s="38"/>
      <c r="W569" s="39"/>
      <c r="X569" s="40"/>
      <c r="Y569" s="41"/>
      <c r="Z569" s="42"/>
      <c r="AA569" s="43"/>
      <c r="AB569" s="44"/>
      <c r="AC569" s="45"/>
      <c r="AD569" s="114" t="str">
        <f t="shared" si="22"/>
        <v/>
      </c>
    </row>
    <row r="570" spans="15:30" x14ac:dyDescent="0.35">
      <c r="O570" t="str">
        <f t="shared" si="23"/>
        <v/>
      </c>
      <c r="P570" s="18"/>
      <c r="Q570" s="61"/>
      <c r="R570" s="61"/>
      <c r="S570" s="61"/>
      <c r="T570" s="66"/>
      <c r="U570" s="66"/>
      <c r="V570" s="38"/>
      <c r="W570" s="39"/>
      <c r="X570" s="40"/>
      <c r="Y570" s="41"/>
      <c r="Z570" s="42"/>
      <c r="AA570" s="43"/>
      <c r="AB570" s="44"/>
      <c r="AC570" s="45"/>
      <c r="AD570" s="114" t="str">
        <f t="shared" si="22"/>
        <v/>
      </c>
    </row>
    <row r="571" spans="15:30" x14ac:dyDescent="0.35">
      <c r="O571" t="str">
        <f t="shared" si="23"/>
        <v/>
      </c>
      <c r="P571" s="18"/>
      <c r="Q571" s="61"/>
      <c r="R571" s="61"/>
      <c r="S571" s="61"/>
      <c r="T571" s="66"/>
      <c r="U571" s="66"/>
      <c r="V571" s="38"/>
      <c r="W571" s="39"/>
      <c r="X571" s="40"/>
      <c r="Y571" s="41"/>
      <c r="Z571" s="42"/>
      <c r="AA571" s="43"/>
      <c r="AB571" s="44"/>
      <c r="AC571" s="45"/>
      <c r="AD571" s="114" t="str">
        <f t="shared" si="22"/>
        <v/>
      </c>
    </row>
    <row r="572" spans="15:30" x14ac:dyDescent="0.35">
      <c r="O572" t="str">
        <f t="shared" si="23"/>
        <v/>
      </c>
      <c r="P572" s="18"/>
      <c r="Q572" s="61"/>
      <c r="R572" s="118"/>
      <c r="S572" s="61"/>
      <c r="T572" s="66"/>
      <c r="U572" s="66"/>
      <c r="V572" s="38"/>
      <c r="W572" s="39"/>
      <c r="X572" s="40"/>
      <c r="Y572" s="41"/>
      <c r="Z572" s="42"/>
      <c r="AA572" s="43"/>
      <c r="AB572" s="44"/>
      <c r="AC572" s="45"/>
      <c r="AD572" s="114" t="str">
        <f t="shared" si="22"/>
        <v/>
      </c>
    </row>
    <row r="573" spans="15:30" x14ac:dyDescent="0.35">
      <c r="O573" t="str">
        <f t="shared" si="23"/>
        <v/>
      </c>
      <c r="P573" s="18"/>
      <c r="Q573" s="61"/>
      <c r="R573" s="118"/>
      <c r="S573" s="61"/>
      <c r="T573" s="66"/>
      <c r="U573" s="66"/>
      <c r="V573" s="38"/>
      <c r="W573" s="39"/>
      <c r="X573" s="40"/>
      <c r="Y573" s="41"/>
      <c r="Z573" s="42"/>
      <c r="AA573" s="43"/>
      <c r="AB573" s="44"/>
      <c r="AC573" s="45"/>
      <c r="AD573" s="114" t="str">
        <f t="shared" si="22"/>
        <v/>
      </c>
    </row>
    <row r="574" spans="15:30" x14ac:dyDescent="0.35">
      <c r="O574" t="str">
        <f t="shared" si="23"/>
        <v/>
      </c>
      <c r="P574" s="18"/>
      <c r="Q574" s="61"/>
      <c r="R574" s="118"/>
      <c r="S574" s="61"/>
      <c r="T574" s="66"/>
      <c r="U574" s="66"/>
      <c r="V574" s="38"/>
      <c r="W574" s="39"/>
      <c r="X574" s="40"/>
      <c r="Y574" s="41"/>
      <c r="Z574" s="42"/>
      <c r="AA574" s="43"/>
      <c r="AB574" s="44"/>
      <c r="AC574" s="45"/>
      <c r="AD574" s="114" t="str">
        <f t="shared" si="22"/>
        <v/>
      </c>
    </row>
    <row r="575" spans="15:30" x14ac:dyDescent="0.35">
      <c r="O575" t="str">
        <f t="shared" si="23"/>
        <v/>
      </c>
      <c r="P575" s="18"/>
      <c r="Q575" s="61"/>
      <c r="R575" s="118"/>
      <c r="S575" s="61"/>
      <c r="T575" s="66"/>
      <c r="U575" s="66"/>
      <c r="V575" s="38"/>
      <c r="W575" s="39"/>
      <c r="X575" s="40"/>
      <c r="Y575" s="41"/>
      <c r="Z575" s="42"/>
      <c r="AA575" s="43"/>
      <c r="AB575" s="44"/>
      <c r="AC575" s="45"/>
      <c r="AD575" s="114" t="str">
        <f t="shared" si="22"/>
        <v/>
      </c>
    </row>
    <row r="576" spans="15:30" x14ac:dyDescent="0.35">
      <c r="O576" t="str">
        <f t="shared" si="23"/>
        <v/>
      </c>
      <c r="P576" s="18"/>
      <c r="Q576" s="61"/>
      <c r="R576" s="118"/>
      <c r="S576" s="61"/>
      <c r="T576" s="66"/>
      <c r="U576" s="66"/>
      <c r="V576" s="38"/>
      <c r="W576" s="39"/>
      <c r="X576" s="40"/>
      <c r="Y576" s="41"/>
      <c r="Z576" s="42"/>
      <c r="AA576" s="43"/>
      <c r="AB576" s="44"/>
      <c r="AC576" s="45"/>
      <c r="AD576" s="114" t="str">
        <f t="shared" si="22"/>
        <v/>
      </c>
    </row>
    <row r="577" spans="15:30" x14ac:dyDescent="0.35">
      <c r="O577" t="str">
        <f t="shared" si="23"/>
        <v/>
      </c>
      <c r="P577" s="18"/>
      <c r="Q577" s="61"/>
      <c r="R577" s="118"/>
      <c r="S577" s="61"/>
      <c r="T577" s="66"/>
      <c r="U577" s="66"/>
      <c r="V577" s="38"/>
      <c r="W577" s="39"/>
      <c r="X577" s="40"/>
      <c r="Y577" s="41"/>
      <c r="Z577" s="42"/>
      <c r="AA577" s="43"/>
      <c r="AB577" s="44"/>
      <c r="AC577" s="45"/>
      <c r="AD577" s="114" t="str">
        <f t="shared" si="22"/>
        <v/>
      </c>
    </row>
    <row r="578" spans="15:30" x14ac:dyDescent="0.35">
      <c r="O578" t="str">
        <f t="shared" si="23"/>
        <v/>
      </c>
      <c r="P578" s="18"/>
      <c r="Q578" s="61"/>
      <c r="R578" s="118"/>
      <c r="S578" s="61"/>
      <c r="T578" s="66"/>
      <c r="U578" s="66"/>
      <c r="V578" s="38"/>
      <c r="W578" s="39"/>
      <c r="X578" s="40"/>
      <c r="Y578" s="41"/>
      <c r="Z578" s="42"/>
      <c r="AA578" s="43"/>
      <c r="AB578" s="44"/>
      <c r="AC578" s="45"/>
      <c r="AD578" s="114" t="str">
        <f t="shared" ref="AD578:AD641" si="24">IF(P578="","",AC578/6)</f>
        <v/>
      </c>
    </row>
    <row r="579" spans="15:30" x14ac:dyDescent="0.35">
      <c r="O579" t="str">
        <f t="shared" si="23"/>
        <v/>
      </c>
      <c r="P579" s="18"/>
      <c r="Q579" s="61"/>
      <c r="R579" s="118"/>
      <c r="S579" s="61"/>
      <c r="T579" s="66"/>
      <c r="U579" s="66"/>
      <c r="V579" s="38"/>
      <c r="W579" s="39"/>
      <c r="X579" s="40"/>
      <c r="Y579" s="41"/>
      <c r="Z579" s="42"/>
      <c r="AA579" s="43"/>
      <c r="AB579" s="44"/>
      <c r="AC579" s="45"/>
      <c r="AD579" s="114" t="str">
        <f t="shared" si="24"/>
        <v/>
      </c>
    </row>
    <row r="580" spans="15:30" x14ac:dyDescent="0.35">
      <c r="O580" t="str">
        <f t="shared" ref="O580:O643" si="25">IF(P580="","",O579+1)</f>
        <v/>
      </c>
      <c r="P580" s="18"/>
      <c r="Q580" s="61"/>
      <c r="R580" s="118"/>
      <c r="S580" s="61"/>
      <c r="T580" s="66"/>
      <c r="U580" s="66"/>
      <c r="V580" s="38"/>
      <c r="W580" s="39"/>
      <c r="X580" s="40"/>
      <c r="Y580" s="41"/>
      <c r="Z580" s="42"/>
      <c r="AA580" s="43"/>
      <c r="AB580" s="44"/>
      <c r="AC580" s="45"/>
      <c r="AD580" s="114" t="str">
        <f t="shared" si="24"/>
        <v/>
      </c>
    </row>
    <row r="581" spans="15:30" x14ac:dyDescent="0.35">
      <c r="O581" t="str">
        <f t="shared" si="25"/>
        <v/>
      </c>
      <c r="P581" s="18"/>
      <c r="Q581" s="61"/>
      <c r="R581" s="118"/>
      <c r="S581" s="61"/>
      <c r="T581" s="66"/>
      <c r="U581" s="66"/>
      <c r="V581" s="38"/>
      <c r="W581" s="39"/>
      <c r="X581" s="40"/>
      <c r="Y581" s="41"/>
      <c r="Z581" s="42"/>
      <c r="AA581" s="43"/>
      <c r="AB581" s="44"/>
      <c r="AC581" s="45"/>
      <c r="AD581" s="114" t="str">
        <f t="shared" si="24"/>
        <v/>
      </c>
    </row>
    <row r="582" spans="15:30" x14ac:dyDescent="0.35">
      <c r="O582" t="str">
        <f t="shared" si="25"/>
        <v/>
      </c>
      <c r="P582" s="18"/>
      <c r="Q582" s="61"/>
      <c r="R582" s="118"/>
      <c r="S582" s="61"/>
      <c r="T582" s="66"/>
      <c r="U582" s="66"/>
      <c r="V582" s="38"/>
      <c r="W582" s="39"/>
      <c r="X582" s="40"/>
      <c r="Y582" s="41"/>
      <c r="Z582" s="42"/>
      <c r="AA582" s="43"/>
      <c r="AB582" s="44"/>
      <c r="AC582" s="45"/>
      <c r="AD582" s="114" t="str">
        <f t="shared" si="24"/>
        <v/>
      </c>
    </row>
    <row r="583" spans="15:30" x14ac:dyDescent="0.35">
      <c r="O583" t="str">
        <f t="shared" si="25"/>
        <v/>
      </c>
      <c r="P583" s="18"/>
      <c r="Q583" s="61"/>
      <c r="R583" s="118"/>
      <c r="S583" s="61"/>
      <c r="T583" s="66"/>
      <c r="U583" s="66"/>
      <c r="V583" s="38"/>
      <c r="W583" s="39"/>
      <c r="X583" s="40"/>
      <c r="Y583" s="41"/>
      <c r="Z583" s="42"/>
      <c r="AA583" s="43"/>
      <c r="AB583" s="44"/>
      <c r="AC583" s="45"/>
      <c r="AD583" s="114" t="str">
        <f t="shared" si="24"/>
        <v/>
      </c>
    </row>
    <row r="584" spans="15:30" x14ac:dyDescent="0.35">
      <c r="O584" t="str">
        <f t="shared" si="25"/>
        <v/>
      </c>
      <c r="P584" s="62"/>
      <c r="Q584" s="118"/>
      <c r="R584" s="61"/>
      <c r="S584" s="61"/>
      <c r="T584" s="66"/>
      <c r="U584" s="66"/>
      <c r="V584" s="38"/>
      <c r="W584" s="39"/>
      <c r="X584" s="40"/>
      <c r="Y584" s="41"/>
      <c r="Z584" s="42"/>
      <c r="AA584" s="43"/>
      <c r="AB584" s="44"/>
      <c r="AC584" s="45"/>
      <c r="AD584" s="114" t="str">
        <f t="shared" si="24"/>
        <v/>
      </c>
    </row>
    <row r="585" spans="15:30" x14ac:dyDescent="0.35">
      <c r="O585" t="str">
        <f t="shared" si="25"/>
        <v/>
      </c>
      <c r="P585" s="18"/>
      <c r="Q585" s="61"/>
      <c r="R585" s="118"/>
      <c r="S585" s="61"/>
      <c r="T585" s="66"/>
      <c r="U585" s="66"/>
      <c r="V585" s="38"/>
      <c r="W585" s="39"/>
      <c r="X585" s="40"/>
      <c r="Y585" s="41"/>
      <c r="Z585" s="42"/>
      <c r="AA585" s="43"/>
      <c r="AB585" s="44"/>
      <c r="AC585" s="45"/>
      <c r="AD585" s="114" t="str">
        <f t="shared" si="24"/>
        <v/>
      </c>
    </row>
    <row r="586" spans="15:30" x14ac:dyDescent="0.35">
      <c r="O586" t="str">
        <f t="shared" si="25"/>
        <v/>
      </c>
      <c r="P586" s="18"/>
      <c r="Q586" s="61"/>
      <c r="R586" s="61"/>
      <c r="S586" s="61"/>
      <c r="T586" s="66"/>
      <c r="U586" s="66"/>
      <c r="V586" s="38"/>
      <c r="W586" s="39"/>
      <c r="X586" s="40"/>
      <c r="Y586" s="41"/>
      <c r="Z586" s="42"/>
      <c r="AA586" s="43"/>
      <c r="AB586" s="44"/>
      <c r="AC586" s="45"/>
      <c r="AD586" s="114" t="str">
        <f t="shared" si="24"/>
        <v/>
      </c>
    </row>
    <row r="587" spans="15:30" x14ac:dyDescent="0.35">
      <c r="O587" t="str">
        <f t="shared" si="25"/>
        <v/>
      </c>
      <c r="P587" s="18"/>
      <c r="Q587" s="61"/>
      <c r="R587" s="61"/>
      <c r="S587" s="61"/>
      <c r="T587" s="66"/>
      <c r="U587" s="66"/>
      <c r="V587" s="38"/>
      <c r="W587" s="39"/>
      <c r="X587" s="40"/>
      <c r="Y587" s="41"/>
      <c r="Z587" s="42"/>
      <c r="AA587" s="43"/>
      <c r="AB587" s="44"/>
      <c r="AC587" s="45"/>
      <c r="AD587" s="114" t="str">
        <f t="shared" si="24"/>
        <v/>
      </c>
    </row>
    <row r="588" spans="15:30" x14ac:dyDescent="0.35">
      <c r="O588" t="str">
        <f t="shared" si="25"/>
        <v/>
      </c>
      <c r="P588" s="18"/>
      <c r="Q588" s="61"/>
      <c r="R588" s="118"/>
      <c r="S588" s="61"/>
      <c r="T588" s="66"/>
      <c r="U588" s="66"/>
      <c r="V588" s="38"/>
      <c r="W588" s="39"/>
      <c r="X588" s="40"/>
      <c r="Y588" s="41"/>
      <c r="Z588" s="42"/>
      <c r="AA588" s="43"/>
      <c r="AB588" s="44"/>
      <c r="AC588" s="45"/>
      <c r="AD588" s="114" t="str">
        <f t="shared" si="24"/>
        <v/>
      </c>
    </row>
    <row r="589" spans="15:30" x14ac:dyDescent="0.35">
      <c r="O589" t="str">
        <f t="shared" si="25"/>
        <v/>
      </c>
      <c r="P589" s="18"/>
      <c r="Q589" s="61"/>
      <c r="R589" s="118"/>
      <c r="S589" s="61"/>
      <c r="T589" s="66"/>
      <c r="U589" s="66"/>
      <c r="V589" s="38"/>
      <c r="W589" s="39"/>
      <c r="X589" s="40"/>
      <c r="Y589" s="41"/>
      <c r="Z589" s="42"/>
      <c r="AA589" s="43"/>
      <c r="AB589" s="44"/>
      <c r="AC589" s="45"/>
      <c r="AD589" s="114" t="str">
        <f t="shared" si="24"/>
        <v/>
      </c>
    </row>
    <row r="590" spans="15:30" x14ac:dyDescent="0.35">
      <c r="O590" t="str">
        <f t="shared" si="25"/>
        <v/>
      </c>
      <c r="P590" s="18"/>
      <c r="Q590" s="61"/>
      <c r="R590" s="118"/>
      <c r="S590" s="61"/>
      <c r="T590" s="66"/>
      <c r="U590" s="66"/>
      <c r="V590" s="38"/>
      <c r="W590" s="39"/>
      <c r="X590" s="40"/>
      <c r="Y590" s="41"/>
      <c r="Z590" s="42"/>
      <c r="AA590" s="43"/>
      <c r="AB590" s="44"/>
      <c r="AC590" s="45"/>
      <c r="AD590" s="114" t="str">
        <f t="shared" si="24"/>
        <v/>
      </c>
    </row>
    <row r="591" spans="15:30" x14ac:dyDescent="0.35">
      <c r="O591" t="str">
        <f t="shared" si="25"/>
        <v/>
      </c>
      <c r="P591" s="18"/>
      <c r="Q591" s="61"/>
      <c r="R591" s="61"/>
      <c r="S591" s="61"/>
      <c r="T591" s="66"/>
      <c r="U591" s="66"/>
      <c r="V591" s="38"/>
      <c r="W591" s="39"/>
      <c r="X591" s="40"/>
      <c r="Y591" s="41"/>
      <c r="Z591" s="42"/>
      <c r="AA591" s="43"/>
      <c r="AB591" s="44"/>
      <c r="AC591" s="45"/>
      <c r="AD591" s="114" t="str">
        <f t="shared" si="24"/>
        <v/>
      </c>
    </row>
    <row r="592" spans="15:30" x14ac:dyDescent="0.35">
      <c r="O592" t="str">
        <f t="shared" si="25"/>
        <v/>
      </c>
      <c r="P592" s="18"/>
      <c r="Q592" s="61"/>
      <c r="R592" s="61"/>
      <c r="S592" s="61"/>
      <c r="T592" s="66"/>
      <c r="U592" s="66"/>
      <c r="V592" s="38"/>
      <c r="W592" s="39"/>
      <c r="X592" s="40"/>
      <c r="Y592" s="41"/>
      <c r="Z592" s="42"/>
      <c r="AA592" s="43"/>
      <c r="AB592" s="44"/>
      <c r="AC592" s="45"/>
      <c r="AD592" s="114" t="str">
        <f t="shared" si="24"/>
        <v/>
      </c>
    </row>
    <row r="593" spans="15:30" x14ac:dyDescent="0.35">
      <c r="O593" t="str">
        <f t="shared" si="25"/>
        <v/>
      </c>
      <c r="P593" s="18"/>
      <c r="Q593" s="61"/>
      <c r="R593" s="118"/>
      <c r="S593" s="61"/>
      <c r="T593" s="66"/>
      <c r="U593" s="66"/>
      <c r="V593" s="38"/>
      <c r="W593" s="39"/>
      <c r="X593" s="40"/>
      <c r="Y593" s="41"/>
      <c r="Z593" s="42"/>
      <c r="AA593" s="43"/>
      <c r="AB593" s="44"/>
      <c r="AC593" s="45"/>
      <c r="AD593" s="114" t="str">
        <f t="shared" si="24"/>
        <v/>
      </c>
    </row>
    <row r="594" spans="15:30" x14ac:dyDescent="0.35">
      <c r="O594" t="str">
        <f t="shared" si="25"/>
        <v/>
      </c>
      <c r="P594" s="18"/>
      <c r="Q594" s="61"/>
      <c r="R594" s="61"/>
      <c r="S594" s="61"/>
      <c r="T594" s="66"/>
      <c r="U594" s="66"/>
      <c r="V594" s="38"/>
      <c r="W594" s="39"/>
      <c r="X594" s="40"/>
      <c r="Y594" s="41"/>
      <c r="Z594" s="42"/>
      <c r="AA594" s="43"/>
      <c r="AB594" s="44"/>
      <c r="AC594" s="45"/>
      <c r="AD594" s="114" t="str">
        <f t="shared" si="24"/>
        <v/>
      </c>
    </row>
    <row r="595" spans="15:30" x14ac:dyDescent="0.35">
      <c r="O595" t="str">
        <f t="shared" si="25"/>
        <v/>
      </c>
      <c r="P595" s="62"/>
      <c r="Q595" s="118"/>
      <c r="R595" s="61"/>
      <c r="S595" s="61"/>
      <c r="T595" s="66"/>
      <c r="U595" s="66"/>
      <c r="V595" s="38"/>
      <c r="W595" s="39"/>
      <c r="X595" s="40"/>
      <c r="Y595" s="41"/>
      <c r="Z595" s="42"/>
      <c r="AA595" s="43"/>
      <c r="AB595" s="44"/>
      <c r="AC595" s="45"/>
      <c r="AD595" s="114" t="str">
        <f t="shared" si="24"/>
        <v/>
      </c>
    </row>
    <row r="596" spans="15:30" x14ac:dyDescent="0.35">
      <c r="O596" t="str">
        <f t="shared" si="25"/>
        <v/>
      </c>
      <c r="P596" s="18"/>
      <c r="Q596" s="61"/>
      <c r="R596" s="118"/>
      <c r="S596" s="61"/>
      <c r="T596" s="66"/>
      <c r="U596" s="66"/>
      <c r="V596" s="38"/>
      <c r="W596" s="39"/>
      <c r="X596" s="40"/>
      <c r="Y596" s="41"/>
      <c r="Z596" s="42"/>
      <c r="AA596" s="43"/>
      <c r="AB596" s="44"/>
      <c r="AC596" s="45"/>
      <c r="AD596" s="114" t="str">
        <f t="shared" si="24"/>
        <v/>
      </c>
    </row>
    <row r="597" spans="15:30" x14ac:dyDescent="0.35">
      <c r="O597" t="str">
        <f t="shared" si="25"/>
        <v/>
      </c>
      <c r="P597" s="18"/>
      <c r="Q597" s="61"/>
      <c r="R597" s="118"/>
      <c r="S597" s="61"/>
      <c r="T597" s="66"/>
      <c r="U597" s="66"/>
      <c r="V597" s="38"/>
      <c r="W597" s="39"/>
      <c r="X597" s="40"/>
      <c r="Y597" s="41"/>
      <c r="Z597" s="42"/>
      <c r="AA597" s="43"/>
      <c r="AB597" s="44"/>
      <c r="AC597" s="45"/>
      <c r="AD597" s="114" t="str">
        <f t="shared" si="24"/>
        <v/>
      </c>
    </row>
    <row r="598" spans="15:30" x14ac:dyDescent="0.35">
      <c r="O598" t="str">
        <f t="shared" si="25"/>
        <v/>
      </c>
      <c r="P598" s="18"/>
      <c r="Q598" s="61"/>
      <c r="R598" s="61"/>
      <c r="S598" s="61"/>
      <c r="T598" s="66"/>
      <c r="U598" s="66"/>
      <c r="V598" s="38"/>
      <c r="W598" s="39"/>
      <c r="X598" s="40"/>
      <c r="Y598" s="41"/>
      <c r="Z598" s="42"/>
      <c r="AA598" s="43"/>
      <c r="AB598" s="44"/>
      <c r="AC598" s="45"/>
      <c r="AD598" s="114" t="str">
        <f t="shared" si="24"/>
        <v/>
      </c>
    </row>
    <row r="599" spans="15:30" x14ac:dyDescent="0.35">
      <c r="O599" t="str">
        <f t="shared" si="25"/>
        <v/>
      </c>
      <c r="P599" s="18"/>
      <c r="Q599" s="61"/>
      <c r="R599" s="118"/>
      <c r="S599" s="61"/>
      <c r="T599" s="66"/>
      <c r="U599" s="66"/>
      <c r="V599" s="38"/>
      <c r="W599" s="39"/>
      <c r="X599" s="40"/>
      <c r="Y599" s="41"/>
      <c r="Z599" s="42"/>
      <c r="AA599" s="43"/>
      <c r="AB599" s="44"/>
      <c r="AC599" s="45"/>
      <c r="AD599" s="114" t="str">
        <f t="shared" si="24"/>
        <v/>
      </c>
    </row>
    <row r="600" spans="15:30" x14ac:dyDescent="0.35">
      <c r="O600" t="str">
        <f t="shared" si="25"/>
        <v/>
      </c>
      <c r="P600" s="18"/>
      <c r="Q600" s="61"/>
      <c r="R600" s="118"/>
      <c r="S600" s="61"/>
      <c r="T600" s="66"/>
      <c r="U600" s="66"/>
      <c r="V600" s="38"/>
      <c r="W600" s="39"/>
      <c r="X600" s="40"/>
      <c r="Y600" s="41"/>
      <c r="Z600" s="42"/>
      <c r="AA600" s="43"/>
      <c r="AB600" s="44"/>
      <c r="AC600" s="45"/>
      <c r="AD600" s="114" t="str">
        <f t="shared" si="24"/>
        <v/>
      </c>
    </row>
    <row r="601" spans="15:30" x14ac:dyDescent="0.35">
      <c r="O601" t="str">
        <f t="shared" si="25"/>
        <v/>
      </c>
      <c r="P601" s="18"/>
      <c r="Q601" s="61"/>
      <c r="R601" s="118"/>
      <c r="S601" s="61"/>
      <c r="T601" s="66"/>
      <c r="U601" s="66"/>
      <c r="V601" s="38"/>
      <c r="W601" s="39"/>
      <c r="X601" s="40"/>
      <c r="Y601" s="41"/>
      <c r="Z601" s="42"/>
      <c r="AA601" s="43"/>
      <c r="AB601" s="44"/>
      <c r="AC601" s="45"/>
      <c r="AD601" s="114" t="str">
        <f t="shared" si="24"/>
        <v/>
      </c>
    </row>
    <row r="602" spans="15:30" x14ac:dyDescent="0.35">
      <c r="O602" t="str">
        <f t="shared" si="25"/>
        <v/>
      </c>
      <c r="P602" s="18"/>
      <c r="Q602" s="61"/>
      <c r="R602" s="61"/>
      <c r="S602" s="61"/>
      <c r="T602" s="66"/>
      <c r="U602" s="66"/>
      <c r="V602" s="38"/>
      <c r="W602" s="39"/>
      <c r="X602" s="40"/>
      <c r="Y602" s="41"/>
      <c r="Z602" s="42"/>
      <c r="AA602" s="43"/>
      <c r="AB602" s="44"/>
      <c r="AC602" s="45"/>
      <c r="AD602" s="114" t="str">
        <f t="shared" si="24"/>
        <v/>
      </c>
    </row>
    <row r="603" spans="15:30" x14ac:dyDescent="0.35">
      <c r="O603" t="str">
        <f t="shared" si="25"/>
        <v/>
      </c>
      <c r="P603" s="62"/>
      <c r="Q603" s="118"/>
      <c r="R603" s="61"/>
      <c r="S603" s="61"/>
      <c r="T603" s="66"/>
      <c r="U603" s="66"/>
      <c r="V603" s="38"/>
      <c r="W603" s="39"/>
      <c r="X603" s="40"/>
      <c r="Y603" s="41"/>
      <c r="Z603" s="42"/>
      <c r="AA603" s="43"/>
      <c r="AB603" s="44"/>
      <c r="AC603" s="45"/>
      <c r="AD603" s="114" t="str">
        <f t="shared" si="24"/>
        <v/>
      </c>
    </row>
    <row r="604" spans="15:30" x14ac:dyDescent="0.35">
      <c r="O604" t="str">
        <f t="shared" si="25"/>
        <v/>
      </c>
      <c r="P604" s="18"/>
      <c r="Q604" s="61"/>
      <c r="R604" s="118"/>
      <c r="S604" s="61"/>
      <c r="T604" s="66"/>
      <c r="U604" s="66"/>
      <c r="V604" s="38"/>
      <c r="W604" s="39"/>
      <c r="X604" s="40"/>
      <c r="Y604" s="41"/>
      <c r="Z604" s="42"/>
      <c r="AA604" s="43"/>
      <c r="AB604" s="44"/>
      <c r="AC604" s="45"/>
      <c r="AD604" s="114" t="str">
        <f t="shared" si="24"/>
        <v/>
      </c>
    </row>
    <row r="605" spans="15:30" x14ac:dyDescent="0.35">
      <c r="O605" t="str">
        <f t="shared" si="25"/>
        <v/>
      </c>
      <c r="P605" s="18"/>
      <c r="Q605" s="61"/>
      <c r="R605" s="118"/>
      <c r="S605" s="61"/>
      <c r="T605" s="66"/>
      <c r="U605" s="66"/>
      <c r="V605" s="38"/>
      <c r="W605" s="39"/>
      <c r="X605" s="40"/>
      <c r="Y605" s="41"/>
      <c r="Z605" s="42"/>
      <c r="AA605" s="43"/>
      <c r="AB605" s="44"/>
      <c r="AC605" s="45"/>
      <c r="AD605" s="114" t="str">
        <f t="shared" si="24"/>
        <v/>
      </c>
    </row>
    <row r="606" spans="15:30" x14ac:dyDescent="0.35">
      <c r="O606" t="str">
        <f t="shared" si="25"/>
        <v/>
      </c>
      <c r="P606" s="18"/>
      <c r="Q606" s="61"/>
      <c r="R606" s="61"/>
      <c r="S606" s="61"/>
      <c r="T606" s="66"/>
      <c r="U606" s="66"/>
      <c r="V606" s="38"/>
      <c r="W606" s="39"/>
      <c r="X606" s="40"/>
      <c r="Y606" s="41"/>
      <c r="Z606" s="42"/>
      <c r="AA606" s="43"/>
      <c r="AB606" s="44"/>
      <c r="AC606" s="45"/>
      <c r="AD606" s="114" t="str">
        <f t="shared" si="24"/>
        <v/>
      </c>
    </row>
    <row r="607" spans="15:30" x14ac:dyDescent="0.35">
      <c r="O607" t="str">
        <f t="shared" si="25"/>
        <v/>
      </c>
      <c r="P607" s="18"/>
      <c r="Q607" s="61"/>
      <c r="R607" s="118"/>
      <c r="S607" s="61"/>
      <c r="T607" s="66"/>
      <c r="U607" s="66"/>
      <c r="V607" s="38"/>
      <c r="W607" s="39"/>
      <c r="X607" s="40"/>
      <c r="Y607" s="41"/>
      <c r="Z607" s="42"/>
      <c r="AA607" s="43"/>
      <c r="AB607" s="44"/>
      <c r="AC607" s="45"/>
      <c r="AD607" s="114" t="str">
        <f t="shared" si="24"/>
        <v/>
      </c>
    </row>
    <row r="608" spans="15:30" x14ac:dyDescent="0.35">
      <c r="O608" t="str">
        <f t="shared" si="25"/>
        <v/>
      </c>
      <c r="P608" s="18"/>
      <c r="Q608" s="61"/>
      <c r="R608" s="61"/>
      <c r="S608" s="61"/>
      <c r="T608" s="66"/>
      <c r="U608" s="66"/>
      <c r="V608" s="38"/>
      <c r="W608" s="39"/>
      <c r="X608" s="40"/>
      <c r="Y608" s="41"/>
      <c r="Z608" s="42"/>
      <c r="AA608" s="43"/>
      <c r="AB608" s="44"/>
      <c r="AC608" s="45"/>
      <c r="AD608" s="114" t="str">
        <f t="shared" si="24"/>
        <v/>
      </c>
    </row>
    <row r="609" spans="15:30" x14ac:dyDescent="0.35">
      <c r="O609" t="str">
        <f t="shared" si="25"/>
        <v/>
      </c>
      <c r="P609" s="18"/>
      <c r="Q609" s="61"/>
      <c r="R609" s="61"/>
      <c r="S609" s="61"/>
      <c r="T609" s="66"/>
      <c r="U609" s="66"/>
      <c r="V609" s="38"/>
      <c r="W609" s="39"/>
      <c r="X609" s="40"/>
      <c r="Y609" s="41"/>
      <c r="Z609" s="42"/>
      <c r="AA609" s="43"/>
      <c r="AB609" s="44"/>
      <c r="AC609" s="45"/>
      <c r="AD609" s="114" t="str">
        <f t="shared" si="24"/>
        <v/>
      </c>
    </row>
    <row r="610" spans="15:30" x14ac:dyDescent="0.35">
      <c r="O610" t="str">
        <f t="shared" si="25"/>
        <v/>
      </c>
      <c r="P610" s="18"/>
      <c r="Q610" s="61"/>
      <c r="R610" s="61"/>
      <c r="S610" s="61"/>
      <c r="T610" s="66"/>
      <c r="U610" s="66"/>
      <c r="V610" s="38"/>
      <c r="W610" s="39"/>
      <c r="X610" s="40"/>
      <c r="Y610" s="41"/>
      <c r="Z610" s="42"/>
      <c r="AA610" s="43"/>
      <c r="AB610" s="44"/>
      <c r="AC610" s="45"/>
      <c r="AD610" s="114" t="str">
        <f t="shared" si="24"/>
        <v/>
      </c>
    </row>
    <row r="611" spans="15:30" x14ac:dyDescent="0.35">
      <c r="O611" t="str">
        <f t="shared" si="25"/>
        <v/>
      </c>
      <c r="P611" s="18"/>
      <c r="Q611" s="61"/>
      <c r="R611" s="118"/>
      <c r="S611" s="61"/>
      <c r="T611" s="66"/>
      <c r="U611" s="66"/>
      <c r="V611" s="38"/>
      <c r="W611" s="39"/>
      <c r="X611" s="40"/>
      <c r="Y611" s="41"/>
      <c r="Z611" s="42"/>
      <c r="AA611" s="43"/>
      <c r="AB611" s="44"/>
      <c r="AC611" s="45"/>
      <c r="AD611" s="114" t="str">
        <f t="shared" si="24"/>
        <v/>
      </c>
    </row>
    <row r="612" spans="15:30" x14ac:dyDescent="0.35">
      <c r="O612" t="str">
        <f t="shared" si="25"/>
        <v/>
      </c>
      <c r="P612" s="18"/>
      <c r="Q612" s="61"/>
      <c r="R612" s="61"/>
      <c r="S612" s="61"/>
      <c r="T612" s="66"/>
      <c r="U612" s="66"/>
      <c r="V612" s="38"/>
      <c r="W612" s="39"/>
      <c r="X612" s="40"/>
      <c r="Y612" s="41"/>
      <c r="Z612" s="42"/>
      <c r="AA612" s="43"/>
      <c r="AB612" s="44"/>
      <c r="AC612" s="45"/>
      <c r="AD612" s="114" t="str">
        <f t="shared" si="24"/>
        <v/>
      </c>
    </row>
    <row r="613" spans="15:30" x14ac:dyDescent="0.35">
      <c r="O613" t="str">
        <f t="shared" si="25"/>
        <v/>
      </c>
      <c r="P613" s="18"/>
      <c r="Q613" s="61"/>
      <c r="R613" s="118"/>
      <c r="S613" s="61"/>
      <c r="T613" s="66"/>
      <c r="U613" s="66"/>
      <c r="V613" s="38"/>
      <c r="W613" s="39"/>
      <c r="X613" s="40"/>
      <c r="Y613" s="41"/>
      <c r="Z613" s="42"/>
      <c r="AA613" s="43"/>
      <c r="AB613" s="44"/>
      <c r="AC613" s="45"/>
      <c r="AD613" s="114" t="str">
        <f t="shared" si="24"/>
        <v/>
      </c>
    </row>
    <row r="614" spans="15:30" x14ac:dyDescent="0.35">
      <c r="O614" t="str">
        <f t="shared" si="25"/>
        <v/>
      </c>
      <c r="P614" s="18"/>
      <c r="Q614" s="61"/>
      <c r="R614" s="118"/>
      <c r="S614" s="61"/>
      <c r="T614" s="66"/>
      <c r="U614" s="66"/>
      <c r="V614" s="38"/>
      <c r="W614" s="39"/>
      <c r="X614" s="40"/>
      <c r="Y614" s="41"/>
      <c r="Z614" s="42"/>
      <c r="AA614" s="43"/>
      <c r="AB614" s="44"/>
      <c r="AC614" s="45"/>
      <c r="AD614" s="114" t="str">
        <f t="shared" si="24"/>
        <v/>
      </c>
    </row>
    <row r="615" spans="15:30" x14ac:dyDescent="0.35">
      <c r="O615" t="str">
        <f t="shared" si="25"/>
        <v/>
      </c>
      <c r="P615" s="18"/>
      <c r="Q615" s="61"/>
      <c r="R615" s="61"/>
      <c r="S615" s="61"/>
      <c r="T615" s="66"/>
      <c r="U615" s="66"/>
      <c r="V615" s="38"/>
      <c r="W615" s="39"/>
      <c r="X615" s="40"/>
      <c r="Y615" s="41"/>
      <c r="Z615" s="42"/>
      <c r="AA615" s="43"/>
      <c r="AB615" s="44"/>
      <c r="AC615" s="45"/>
      <c r="AD615" s="114" t="str">
        <f t="shared" si="24"/>
        <v/>
      </c>
    </row>
    <row r="616" spans="15:30" x14ac:dyDescent="0.35">
      <c r="O616" t="str">
        <f t="shared" si="25"/>
        <v/>
      </c>
      <c r="P616" s="18"/>
      <c r="Q616" s="61"/>
      <c r="R616" s="61"/>
      <c r="S616" s="61"/>
      <c r="T616" s="66"/>
      <c r="U616" s="66"/>
      <c r="V616" s="38"/>
      <c r="W616" s="39"/>
      <c r="X616" s="40"/>
      <c r="Y616" s="41"/>
      <c r="Z616" s="42"/>
      <c r="AA616" s="43"/>
      <c r="AB616" s="44"/>
      <c r="AC616" s="45"/>
      <c r="AD616" s="114" t="str">
        <f t="shared" si="24"/>
        <v/>
      </c>
    </row>
    <row r="617" spans="15:30" x14ac:dyDescent="0.35">
      <c r="O617" t="str">
        <f t="shared" si="25"/>
        <v/>
      </c>
      <c r="P617" s="18"/>
      <c r="Q617" s="61"/>
      <c r="R617" s="61"/>
      <c r="S617" s="61"/>
      <c r="T617" s="66"/>
      <c r="U617" s="66"/>
      <c r="V617" s="38"/>
      <c r="W617" s="39"/>
      <c r="X617" s="40"/>
      <c r="Y617" s="41"/>
      <c r="Z617" s="42"/>
      <c r="AA617" s="43"/>
      <c r="AB617" s="44"/>
      <c r="AC617" s="45"/>
      <c r="AD617" s="114" t="str">
        <f t="shared" si="24"/>
        <v/>
      </c>
    </row>
    <row r="618" spans="15:30" x14ac:dyDescent="0.35">
      <c r="O618" t="str">
        <f t="shared" si="25"/>
        <v/>
      </c>
      <c r="P618" s="18"/>
      <c r="Q618" s="61"/>
      <c r="R618" s="61"/>
      <c r="S618" s="61"/>
      <c r="T618" s="66"/>
      <c r="U618" s="66"/>
      <c r="V618" s="38"/>
      <c r="W618" s="39"/>
      <c r="X618" s="40"/>
      <c r="Y618" s="41"/>
      <c r="Z618" s="42"/>
      <c r="AA618" s="43"/>
      <c r="AB618" s="44"/>
      <c r="AC618" s="45"/>
      <c r="AD618" s="114" t="str">
        <f t="shared" si="24"/>
        <v/>
      </c>
    </row>
    <row r="619" spans="15:30" x14ac:dyDescent="0.35">
      <c r="O619" t="str">
        <f t="shared" si="25"/>
        <v/>
      </c>
      <c r="P619" s="18"/>
      <c r="Q619" s="61"/>
      <c r="R619" s="61"/>
      <c r="S619" s="61"/>
      <c r="T619" s="66"/>
      <c r="U619" s="66"/>
      <c r="V619" s="38"/>
      <c r="W619" s="39"/>
      <c r="X619" s="40"/>
      <c r="Y619" s="41"/>
      <c r="Z619" s="42"/>
      <c r="AA619" s="43"/>
      <c r="AB619" s="44"/>
      <c r="AC619" s="45"/>
      <c r="AD619" s="114" t="str">
        <f t="shared" si="24"/>
        <v/>
      </c>
    </row>
    <row r="620" spans="15:30" x14ac:dyDescent="0.35">
      <c r="O620" t="str">
        <f t="shared" si="25"/>
        <v/>
      </c>
      <c r="P620" s="18"/>
      <c r="Q620" s="61"/>
      <c r="R620" s="118"/>
      <c r="S620" s="61"/>
      <c r="T620" s="66"/>
      <c r="U620" s="66"/>
      <c r="V620" s="38"/>
      <c r="W620" s="39"/>
      <c r="X620" s="40"/>
      <c r="Y620" s="41"/>
      <c r="Z620" s="42"/>
      <c r="AA620" s="43"/>
      <c r="AB620" s="44"/>
      <c r="AC620" s="45"/>
      <c r="AD620" s="114" t="str">
        <f t="shared" si="24"/>
        <v/>
      </c>
    </row>
    <row r="621" spans="15:30" x14ac:dyDescent="0.35">
      <c r="O621" t="str">
        <f t="shared" si="25"/>
        <v/>
      </c>
      <c r="P621" s="18"/>
      <c r="Q621" s="61"/>
      <c r="R621" s="61"/>
      <c r="S621" s="61"/>
      <c r="T621" s="66"/>
      <c r="U621" s="66"/>
      <c r="V621" s="38"/>
      <c r="W621" s="39"/>
      <c r="X621" s="40"/>
      <c r="Y621" s="41"/>
      <c r="Z621" s="42"/>
      <c r="AA621" s="43"/>
      <c r="AB621" s="44"/>
      <c r="AC621" s="45"/>
      <c r="AD621" s="114" t="str">
        <f t="shared" si="24"/>
        <v/>
      </c>
    </row>
    <row r="622" spans="15:30" x14ac:dyDescent="0.35">
      <c r="O622" t="str">
        <f t="shared" si="25"/>
        <v/>
      </c>
      <c r="P622" s="18"/>
      <c r="Q622" s="61"/>
      <c r="R622" s="61"/>
      <c r="S622" s="61"/>
      <c r="T622" s="66"/>
      <c r="U622" s="66"/>
      <c r="V622" s="38"/>
      <c r="W622" s="39"/>
      <c r="X622" s="40"/>
      <c r="Y622" s="41"/>
      <c r="Z622" s="42"/>
      <c r="AA622" s="43"/>
      <c r="AB622" s="44"/>
      <c r="AC622" s="45"/>
      <c r="AD622" s="114" t="str">
        <f t="shared" si="24"/>
        <v/>
      </c>
    </row>
    <row r="623" spans="15:30" x14ac:dyDescent="0.35">
      <c r="O623" t="str">
        <f t="shared" si="25"/>
        <v/>
      </c>
      <c r="P623" s="18"/>
      <c r="Q623" s="61"/>
      <c r="R623" s="118"/>
      <c r="S623" s="61"/>
      <c r="T623" s="66"/>
      <c r="U623" s="66"/>
      <c r="V623" s="38"/>
      <c r="W623" s="39"/>
      <c r="X623" s="40"/>
      <c r="Y623" s="41"/>
      <c r="Z623" s="42"/>
      <c r="AA623" s="43"/>
      <c r="AB623" s="44"/>
      <c r="AC623" s="45"/>
      <c r="AD623" s="114" t="str">
        <f t="shared" si="24"/>
        <v/>
      </c>
    </row>
    <row r="624" spans="15:30" x14ac:dyDescent="0.35">
      <c r="O624" t="str">
        <f t="shared" si="25"/>
        <v/>
      </c>
      <c r="P624" s="18"/>
      <c r="Q624" s="61"/>
      <c r="R624" s="61"/>
      <c r="S624" s="61"/>
      <c r="T624" s="66"/>
      <c r="U624" s="66"/>
      <c r="V624" s="38"/>
      <c r="W624" s="39"/>
      <c r="X624" s="40"/>
      <c r="Y624" s="41"/>
      <c r="Z624" s="42"/>
      <c r="AA624" s="43"/>
      <c r="AB624" s="44"/>
      <c r="AC624" s="45"/>
      <c r="AD624" s="114" t="str">
        <f t="shared" si="24"/>
        <v/>
      </c>
    </row>
    <row r="625" spans="15:30" x14ac:dyDescent="0.35">
      <c r="O625" t="str">
        <f t="shared" si="25"/>
        <v/>
      </c>
      <c r="P625" s="18"/>
      <c r="Q625" s="61"/>
      <c r="R625" s="118"/>
      <c r="S625" s="61"/>
      <c r="T625" s="66"/>
      <c r="U625" s="66"/>
      <c r="V625" s="38"/>
      <c r="W625" s="39"/>
      <c r="X625" s="40"/>
      <c r="Y625" s="41"/>
      <c r="Z625" s="42"/>
      <c r="AA625" s="43"/>
      <c r="AB625" s="44"/>
      <c r="AC625" s="45"/>
      <c r="AD625" s="114" t="str">
        <f t="shared" si="24"/>
        <v/>
      </c>
    </row>
    <row r="626" spans="15:30" x14ac:dyDescent="0.35">
      <c r="O626" t="str">
        <f t="shared" si="25"/>
        <v/>
      </c>
      <c r="P626" s="18"/>
      <c r="Q626" s="61"/>
      <c r="R626" s="118"/>
      <c r="S626" s="61"/>
      <c r="T626" s="66"/>
      <c r="U626" s="66"/>
      <c r="V626" s="38"/>
      <c r="W626" s="39"/>
      <c r="X626" s="40"/>
      <c r="Y626" s="41"/>
      <c r="Z626" s="42"/>
      <c r="AA626" s="43"/>
      <c r="AB626" s="44"/>
      <c r="AC626" s="45"/>
      <c r="AD626" s="114" t="str">
        <f t="shared" si="24"/>
        <v/>
      </c>
    </row>
    <row r="627" spans="15:30" x14ac:dyDescent="0.35">
      <c r="O627" t="str">
        <f t="shared" si="25"/>
        <v/>
      </c>
      <c r="P627" s="18"/>
      <c r="Q627" s="61"/>
      <c r="R627" s="118"/>
      <c r="S627" s="61"/>
      <c r="T627" s="66"/>
      <c r="U627" s="66"/>
      <c r="V627" s="38"/>
      <c r="W627" s="39"/>
      <c r="X627" s="40"/>
      <c r="Y627" s="41"/>
      <c r="Z627" s="42"/>
      <c r="AA627" s="43"/>
      <c r="AB627" s="44"/>
      <c r="AC627" s="45"/>
      <c r="AD627" s="114" t="str">
        <f t="shared" si="24"/>
        <v/>
      </c>
    </row>
    <row r="628" spans="15:30" x14ac:dyDescent="0.35">
      <c r="O628" t="str">
        <f t="shared" si="25"/>
        <v/>
      </c>
      <c r="P628" s="18"/>
      <c r="Q628" s="61"/>
      <c r="R628" s="118"/>
      <c r="S628" s="61"/>
      <c r="T628" s="66"/>
      <c r="U628" s="66"/>
      <c r="V628" s="38"/>
      <c r="W628" s="39"/>
      <c r="X628" s="40"/>
      <c r="Y628" s="41"/>
      <c r="Z628" s="42"/>
      <c r="AA628" s="43"/>
      <c r="AB628" s="44"/>
      <c r="AC628" s="45"/>
      <c r="AD628" s="114" t="str">
        <f t="shared" si="24"/>
        <v/>
      </c>
    </row>
    <row r="629" spans="15:30" x14ac:dyDescent="0.35">
      <c r="O629" t="str">
        <f t="shared" si="25"/>
        <v/>
      </c>
      <c r="P629" s="18"/>
      <c r="Q629" s="61"/>
      <c r="R629" s="118"/>
      <c r="S629" s="61"/>
      <c r="T629" s="66"/>
      <c r="U629" s="66"/>
      <c r="V629" s="38"/>
      <c r="W629" s="39"/>
      <c r="X629" s="40"/>
      <c r="Y629" s="41"/>
      <c r="Z629" s="42"/>
      <c r="AA629" s="43"/>
      <c r="AB629" s="44"/>
      <c r="AC629" s="45"/>
      <c r="AD629" s="114" t="str">
        <f t="shared" si="24"/>
        <v/>
      </c>
    </row>
    <row r="630" spans="15:30" x14ac:dyDescent="0.35">
      <c r="O630" t="str">
        <f t="shared" si="25"/>
        <v/>
      </c>
      <c r="P630" s="18"/>
      <c r="Q630" s="61"/>
      <c r="R630" s="118"/>
      <c r="S630" s="61"/>
      <c r="T630" s="66"/>
      <c r="U630" s="66"/>
      <c r="V630" s="38"/>
      <c r="W630" s="39"/>
      <c r="X630" s="40"/>
      <c r="Y630" s="41"/>
      <c r="Z630" s="42"/>
      <c r="AA630" s="43"/>
      <c r="AB630" s="44"/>
      <c r="AC630" s="45"/>
      <c r="AD630" s="114" t="str">
        <f t="shared" si="24"/>
        <v/>
      </c>
    </row>
    <row r="631" spans="15:30" x14ac:dyDescent="0.35">
      <c r="O631" t="str">
        <f t="shared" si="25"/>
        <v/>
      </c>
      <c r="P631" s="18"/>
      <c r="Q631" s="61"/>
      <c r="R631" s="118"/>
      <c r="S631" s="61"/>
      <c r="T631" s="66"/>
      <c r="U631" s="66"/>
      <c r="V631" s="38"/>
      <c r="W631" s="39"/>
      <c r="X631" s="40"/>
      <c r="Y631" s="41"/>
      <c r="Z631" s="42"/>
      <c r="AA631" s="43"/>
      <c r="AB631" s="44"/>
      <c r="AC631" s="45"/>
      <c r="AD631" s="114" t="str">
        <f t="shared" si="24"/>
        <v/>
      </c>
    </row>
    <row r="632" spans="15:30" x14ac:dyDescent="0.35">
      <c r="O632" t="str">
        <f t="shared" si="25"/>
        <v/>
      </c>
      <c r="P632" s="18"/>
      <c r="Q632" s="61"/>
      <c r="R632" s="61"/>
      <c r="S632" s="61"/>
      <c r="T632" s="66"/>
      <c r="U632" s="66"/>
      <c r="V632" s="38"/>
      <c r="W632" s="39"/>
      <c r="X632" s="40"/>
      <c r="Y632" s="41"/>
      <c r="Z632" s="42"/>
      <c r="AA632" s="43"/>
      <c r="AB632" s="44"/>
      <c r="AC632" s="45"/>
      <c r="AD632" s="114" t="str">
        <f t="shared" si="24"/>
        <v/>
      </c>
    </row>
    <row r="633" spans="15:30" x14ac:dyDescent="0.35">
      <c r="O633" t="str">
        <f t="shared" si="25"/>
        <v/>
      </c>
      <c r="P633" s="18"/>
      <c r="Q633" s="61"/>
      <c r="R633" s="61"/>
      <c r="S633" s="61"/>
      <c r="T633" s="66"/>
      <c r="U633" s="66"/>
      <c r="V633" s="38"/>
      <c r="W633" s="39"/>
      <c r="X633" s="40"/>
      <c r="Y633" s="41"/>
      <c r="Z633" s="42"/>
      <c r="AA633" s="43"/>
      <c r="AB633" s="44"/>
      <c r="AC633" s="45"/>
      <c r="AD633" s="114" t="str">
        <f t="shared" si="24"/>
        <v/>
      </c>
    </row>
    <row r="634" spans="15:30" x14ac:dyDescent="0.35">
      <c r="O634" t="str">
        <f t="shared" si="25"/>
        <v/>
      </c>
      <c r="P634" s="18"/>
      <c r="Q634" s="61"/>
      <c r="R634" s="61"/>
      <c r="S634" s="61"/>
      <c r="T634" s="66"/>
      <c r="U634" s="66"/>
      <c r="V634" s="38"/>
      <c r="W634" s="39"/>
      <c r="X634" s="40"/>
      <c r="Y634" s="41"/>
      <c r="Z634" s="42"/>
      <c r="AA634" s="43"/>
      <c r="AB634" s="44"/>
      <c r="AC634" s="45"/>
      <c r="AD634" s="114" t="str">
        <f t="shared" si="24"/>
        <v/>
      </c>
    </row>
    <row r="635" spans="15:30" x14ac:dyDescent="0.35">
      <c r="O635" t="str">
        <f t="shared" si="25"/>
        <v/>
      </c>
      <c r="P635" s="62"/>
      <c r="Q635" s="118"/>
      <c r="R635" s="61"/>
      <c r="S635" s="61"/>
      <c r="T635" s="66"/>
      <c r="U635" s="66"/>
      <c r="V635" s="38"/>
      <c r="W635" s="39"/>
      <c r="X635" s="40"/>
      <c r="Y635" s="41"/>
      <c r="Z635" s="42"/>
      <c r="AA635" s="43"/>
      <c r="AB635" s="44"/>
      <c r="AC635" s="45"/>
      <c r="AD635" s="114" t="str">
        <f t="shared" si="24"/>
        <v/>
      </c>
    </row>
    <row r="636" spans="15:30" x14ac:dyDescent="0.35">
      <c r="O636" t="str">
        <f t="shared" si="25"/>
        <v/>
      </c>
      <c r="P636" s="18"/>
      <c r="Q636" s="61"/>
      <c r="R636" s="61"/>
      <c r="S636" s="61"/>
      <c r="T636" s="66"/>
      <c r="U636" s="66"/>
      <c r="V636" s="38"/>
      <c r="W636" s="39"/>
      <c r="X636" s="40"/>
      <c r="Y636" s="41"/>
      <c r="Z636" s="42"/>
      <c r="AA636" s="43"/>
      <c r="AB636" s="44"/>
      <c r="AC636" s="45"/>
      <c r="AD636" s="114" t="str">
        <f t="shared" si="24"/>
        <v/>
      </c>
    </row>
    <row r="637" spans="15:30" x14ac:dyDescent="0.35">
      <c r="O637" t="str">
        <f t="shared" si="25"/>
        <v/>
      </c>
      <c r="P637" s="18"/>
      <c r="Q637" s="61"/>
      <c r="R637" s="118"/>
      <c r="S637" s="61"/>
      <c r="T637" s="66"/>
      <c r="U637" s="66"/>
      <c r="V637" s="38"/>
      <c r="W637" s="39"/>
      <c r="X637" s="40"/>
      <c r="Y637" s="41"/>
      <c r="Z637" s="42"/>
      <c r="AA637" s="43"/>
      <c r="AB637" s="44"/>
      <c r="AC637" s="45"/>
      <c r="AD637" s="114" t="str">
        <f t="shared" si="24"/>
        <v/>
      </c>
    </row>
    <row r="638" spans="15:30" x14ac:dyDescent="0.35">
      <c r="O638" t="str">
        <f t="shared" si="25"/>
        <v/>
      </c>
      <c r="P638" s="18"/>
      <c r="Q638" s="61"/>
      <c r="R638" s="118"/>
      <c r="S638" s="61"/>
      <c r="T638" s="66"/>
      <c r="U638" s="66"/>
      <c r="V638" s="38"/>
      <c r="W638" s="39"/>
      <c r="X638" s="40"/>
      <c r="Y638" s="41"/>
      <c r="Z638" s="42"/>
      <c r="AA638" s="43"/>
      <c r="AB638" s="44"/>
      <c r="AC638" s="45"/>
      <c r="AD638" s="114" t="str">
        <f t="shared" si="24"/>
        <v/>
      </c>
    </row>
    <row r="639" spans="15:30" x14ac:dyDescent="0.35">
      <c r="O639" t="str">
        <f t="shared" si="25"/>
        <v/>
      </c>
      <c r="P639" s="18"/>
      <c r="Q639" s="61"/>
      <c r="R639" s="61"/>
      <c r="S639" s="61"/>
      <c r="T639" s="66"/>
      <c r="U639" s="66"/>
      <c r="V639" s="38"/>
      <c r="W639" s="39"/>
      <c r="X639" s="40"/>
      <c r="Y639" s="41"/>
      <c r="Z639" s="42"/>
      <c r="AA639" s="43"/>
      <c r="AB639" s="44"/>
      <c r="AC639" s="45"/>
      <c r="AD639" s="114" t="str">
        <f t="shared" si="24"/>
        <v/>
      </c>
    </row>
    <row r="640" spans="15:30" x14ac:dyDescent="0.35">
      <c r="O640" t="str">
        <f t="shared" si="25"/>
        <v/>
      </c>
      <c r="P640" s="18"/>
      <c r="Q640" s="61"/>
      <c r="R640" s="61"/>
      <c r="S640" s="61"/>
      <c r="T640" s="66"/>
      <c r="U640" s="66"/>
      <c r="V640" s="38"/>
      <c r="W640" s="39"/>
      <c r="X640" s="40"/>
      <c r="Y640" s="41"/>
      <c r="Z640" s="42"/>
      <c r="AA640" s="43"/>
      <c r="AB640" s="44"/>
      <c r="AC640" s="45"/>
      <c r="AD640" s="114" t="str">
        <f t="shared" si="24"/>
        <v/>
      </c>
    </row>
    <row r="641" spans="15:30" x14ac:dyDescent="0.35">
      <c r="O641" t="str">
        <f t="shared" si="25"/>
        <v/>
      </c>
      <c r="P641" s="18"/>
      <c r="Q641" s="61"/>
      <c r="R641" s="61"/>
      <c r="S641" s="61"/>
      <c r="T641" s="66"/>
      <c r="U641" s="66"/>
      <c r="V641" s="38"/>
      <c r="W641" s="39"/>
      <c r="X641" s="40"/>
      <c r="Y641" s="41"/>
      <c r="Z641" s="42"/>
      <c r="AA641" s="43"/>
      <c r="AB641" s="44"/>
      <c r="AC641" s="45"/>
      <c r="AD641" s="114" t="str">
        <f t="shared" si="24"/>
        <v/>
      </c>
    </row>
    <row r="642" spans="15:30" x14ac:dyDescent="0.35">
      <c r="O642" t="str">
        <f t="shared" si="25"/>
        <v/>
      </c>
      <c r="P642" s="18"/>
      <c r="Q642" s="61"/>
      <c r="R642" s="118"/>
      <c r="S642" s="61"/>
      <c r="T642" s="66"/>
      <c r="U642" s="66"/>
      <c r="V642" s="38"/>
      <c r="W642" s="39"/>
      <c r="X642" s="40"/>
      <c r="Y642" s="41"/>
      <c r="Z642" s="42"/>
      <c r="AA642" s="43"/>
      <c r="AB642" s="44"/>
      <c r="AC642" s="45"/>
      <c r="AD642" s="114" t="str">
        <f t="shared" ref="AD642:AD705" si="26">IF(P642="","",AC642/6)</f>
        <v/>
      </c>
    </row>
    <row r="643" spans="15:30" x14ac:dyDescent="0.35">
      <c r="O643" t="str">
        <f t="shared" si="25"/>
        <v/>
      </c>
      <c r="P643" s="18"/>
      <c r="Q643" s="61"/>
      <c r="R643" s="118"/>
      <c r="S643" s="61"/>
      <c r="T643" s="66"/>
      <c r="U643" s="66"/>
      <c r="V643" s="38"/>
      <c r="W643" s="39"/>
      <c r="X643" s="40"/>
      <c r="Y643" s="41"/>
      <c r="Z643" s="42"/>
      <c r="AA643" s="43"/>
      <c r="AB643" s="44"/>
      <c r="AC643" s="45"/>
      <c r="AD643" s="114" t="str">
        <f t="shared" si="26"/>
        <v/>
      </c>
    </row>
    <row r="644" spans="15:30" x14ac:dyDescent="0.35">
      <c r="O644" t="str">
        <f t="shared" ref="O644:O707" si="27">IF(P644="","",O643+1)</f>
        <v/>
      </c>
      <c r="P644" s="18"/>
      <c r="Q644" s="61"/>
      <c r="R644" s="61"/>
      <c r="S644" s="61"/>
      <c r="T644" s="66"/>
      <c r="U644" s="66"/>
      <c r="V644" s="38"/>
      <c r="W644" s="39"/>
      <c r="X644" s="40"/>
      <c r="Y644" s="41"/>
      <c r="Z644" s="42"/>
      <c r="AA644" s="43"/>
      <c r="AB644" s="44"/>
      <c r="AC644" s="45"/>
      <c r="AD644" s="114" t="str">
        <f t="shared" si="26"/>
        <v/>
      </c>
    </row>
    <row r="645" spans="15:30" x14ac:dyDescent="0.35">
      <c r="O645" t="str">
        <f t="shared" si="27"/>
        <v/>
      </c>
      <c r="P645" s="18"/>
      <c r="Q645" s="61"/>
      <c r="R645" s="61"/>
      <c r="S645" s="61"/>
      <c r="T645" s="66"/>
      <c r="U645" s="66"/>
      <c r="V645" s="38"/>
      <c r="W645" s="39"/>
      <c r="X645" s="40"/>
      <c r="Y645" s="41"/>
      <c r="Z645" s="42"/>
      <c r="AA645" s="43"/>
      <c r="AB645" s="44"/>
      <c r="AC645" s="45"/>
      <c r="AD645" s="114" t="str">
        <f t="shared" si="26"/>
        <v/>
      </c>
    </row>
    <row r="646" spans="15:30" x14ac:dyDescent="0.35">
      <c r="O646" t="str">
        <f t="shared" si="27"/>
        <v/>
      </c>
      <c r="P646" s="18"/>
      <c r="Q646" s="61"/>
      <c r="R646" s="118"/>
      <c r="S646" s="61"/>
      <c r="T646" s="66"/>
      <c r="U646" s="66"/>
      <c r="V646" s="38"/>
      <c r="W646" s="39"/>
      <c r="X646" s="40"/>
      <c r="Y646" s="41"/>
      <c r="Z646" s="42"/>
      <c r="AA646" s="43"/>
      <c r="AB646" s="44"/>
      <c r="AC646" s="45"/>
      <c r="AD646" s="114" t="str">
        <f t="shared" si="26"/>
        <v/>
      </c>
    </row>
    <row r="647" spans="15:30" x14ac:dyDescent="0.35">
      <c r="O647" t="str">
        <f t="shared" si="27"/>
        <v/>
      </c>
      <c r="P647" s="18"/>
      <c r="Q647" s="61"/>
      <c r="R647" s="118"/>
      <c r="S647" s="61"/>
      <c r="T647" s="66"/>
      <c r="U647" s="66"/>
      <c r="V647" s="38"/>
      <c r="W647" s="39"/>
      <c r="X647" s="40"/>
      <c r="Y647" s="41"/>
      <c r="Z647" s="42"/>
      <c r="AA647" s="43"/>
      <c r="AB647" s="44"/>
      <c r="AC647" s="45"/>
      <c r="AD647" s="114" t="str">
        <f t="shared" si="26"/>
        <v/>
      </c>
    </row>
    <row r="648" spans="15:30" x14ac:dyDescent="0.35">
      <c r="O648" t="str">
        <f t="shared" si="27"/>
        <v/>
      </c>
      <c r="P648" s="18"/>
      <c r="Q648" s="61"/>
      <c r="R648" s="61"/>
      <c r="S648" s="61"/>
      <c r="T648" s="66"/>
      <c r="U648" s="66"/>
      <c r="V648" s="38"/>
      <c r="W648" s="39"/>
      <c r="X648" s="40"/>
      <c r="Y648" s="41"/>
      <c r="Z648" s="42"/>
      <c r="AA648" s="43"/>
      <c r="AB648" s="44"/>
      <c r="AC648" s="45"/>
      <c r="AD648" s="114" t="str">
        <f t="shared" si="26"/>
        <v/>
      </c>
    </row>
    <row r="649" spans="15:30" x14ac:dyDescent="0.35">
      <c r="O649" t="str">
        <f t="shared" si="27"/>
        <v/>
      </c>
      <c r="P649" s="18"/>
      <c r="Q649" s="61"/>
      <c r="R649" s="61"/>
      <c r="S649" s="61"/>
      <c r="T649" s="66"/>
      <c r="U649" s="66"/>
      <c r="V649" s="38"/>
      <c r="W649" s="39"/>
      <c r="X649" s="40"/>
      <c r="Y649" s="41"/>
      <c r="Z649" s="42"/>
      <c r="AA649" s="43"/>
      <c r="AB649" s="44"/>
      <c r="AC649" s="45"/>
      <c r="AD649" s="114" t="str">
        <f t="shared" si="26"/>
        <v/>
      </c>
    </row>
    <row r="650" spans="15:30" x14ac:dyDescent="0.35">
      <c r="O650" t="str">
        <f t="shared" si="27"/>
        <v/>
      </c>
      <c r="P650" s="18"/>
      <c r="Q650" s="61"/>
      <c r="R650" s="61"/>
      <c r="S650" s="61"/>
      <c r="T650" s="66"/>
      <c r="U650" s="66"/>
      <c r="V650" s="38"/>
      <c r="W650" s="39"/>
      <c r="X650" s="40"/>
      <c r="Y650" s="41"/>
      <c r="Z650" s="42"/>
      <c r="AA650" s="43"/>
      <c r="AB650" s="44"/>
      <c r="AC650" s="45"/>
      <c r="AD650" s="114" t="str">
        <f t="shared" si="26"/>
        <v/>
      </c>
    </row>
    <row r="651" spans="15:30" x14ac:dyDescent="0.35">
      <c r="O651" t="str">
        <f t="shared" si="27"/>
        <v/>
      </c>
      <c r="P651" s="18"/>
      <c r="Q651" s="61"/>
      <c r="R651" s="118"/>
      <c r="S651" s="61"/>
      <c r="T651" s="66"/>
      <c r="U651" s="66"/>
      <c r="V651" s="38"/>
      <c r="W651" s="39"/>
      <c r="X651" s="40"/>
      <c r="Y651" s="41"/>
      <c r="Z651" s="42"/>
      <c r="AA651" s="43"/>
      <c r="AB651" s="44"/>
      <c r="AC651" s="45"/>
      <c r="AD651" s="114" t="str">
        <f t="shared" si="26"/>
        <v/>
      </c>
    </row>
    <row r="652" spans="15:30" x14ac:dyDescent="0.35">
      <c r="O652" t="str">
        <f t="shared" si="27"/>
        <v/>
      </c>
      <c r="P652" s="18"/>
      <c r="Q652" s="61"/>
      <c r="R652" s="118"/>
      <c r="S652" s="61"/>
      <c r="T652" s="66"/>
      <c r="U652" s="66"/>
      <c r="V652" s="38"/>
      <c r="W652" s="39"/>
      <c r="X652" s="40"/>
      <c r="Y652" s="41"/>
      <c r="Z652" s="42"/>
      <c r="AA652" s="43"/>
      <c r="AB652" s="44"/>
      <c r="AC652" s="45"/>
      <c r="AD652" s="114" t="str">
        <f t="shared" si="26"/>
        <v/>
      </c>
    </row>
    <row r="653" spans="15:30" x14ac:dyDescent="0.35">
      <c r="O653" t="str">
        <f t="shared" si="27"/>
        <v/>
      </c>
      <c r="P653" s="18"/>
      <c r="Q653" s="61"/>
      <c r="R653" s="61"/>
      <c r="S653" s="61"/>
      <c r="T653" s="66"/>
      <c r="U653" s="66"/>
      <c r="V653" s="38"/>
      <c r="W653" s="39"/>
      <c r="X653" s="40"/>
      <c r="Y653" s="41"/>
      <c r="Z653" s="42"/>
      <c r="AA653" s="43"/>
      <c r="AB653" s="44"/>
      <c r="AC653" s="45"/>
      <c r="AD653" s="114" t="str">
        <f t="shared" si="26"/>
        <v/>
      </c>
    </row>
    <row r="654" spans="15:30" x14ac:dyDescent="0.35">
      <c r="O654" t="str">
        <f t="shared" si="27"/>
        <v/>
      </c>
      <c r="P654" s="18"/>
      <c r="Q654" s="61"/>
      <c r="R654" s="118"/>
      <c r="S654" s="61"/>
      <c r="T654" s="66"/>
      <c r="U654" s="66"/>
      <c r="V654" s="38"/>
      <c r="W654" s="39"/>
      <c r="X654" s="40"/>
      <c r="Y654" s="41"/>
      <c r="Z654" s="42"/>
      <c r="AA654" s="43"/>
      <c r="AB654" s="44"/>
      <c r="AC654" s="45"/>
      <c r="AD654" s="114" t="str">
        <f t="shared" si="26"/>
        <v/>
      </c>
    </row>
    <row r="655" spans="15:30" x14ac:dyDescent="0.35">
      <c r="O655" t="str">
        <f t="shared" si="27"/>
        <v/>
      </c>
      <c r="P655" s="18"/>
      <c r="Q655" s="61"/>
      <c r="R655" s="61"/>
      <c r="S655" s="61"/>
      <c r="T655" s="66"/>
      <c r="U655" s="66"/>
      <c r="V655" s="38"/>
      <c r="W655" s="39"/>
      <c r="X655" s="40"/>
      <c r="Y655" s="41"/>
      <c r="Z655" s="42"/>
      <c r="AA655" s="43"/>
      <c r="AB655" s="44"/>
      <c r="AC655" s="45"/>
      <c r="AD655" s="114" t="str">
        <f t="shared" si="26"/>
        <v/>
      </c>
    </row>
    <row r="656" spans="15:30" x14ac:dyDescent="0.35">
      <c r="O656" t="str">
        <f t="shared" si="27"/>
        <v/>
      </c>
      <c r="P656" s="18"/>
      <c r="Q656" s="61"/>
      <c r="R656" s="118"/>
      <c r="S656" s="61"/>
      <c r="T656" s="66"/>
      <c r="U656" s="66"/>
      <c r="V656" s="38"/>
      <c r="W656" s="39"/>
      <c r="X656" s="40"/>
      <c r="Y656" s="41"/>
      <c r="Z656" s="42"/>
      <c r="AA656" s="43"/>
      <c r="AB656" s="44"/>
      <c r="AC656" s="45"/>
      <c r="AD656" s="114" t="str">
        <f t="shared" si="26"/>
        <v/>
      </c>
    </row>
    <row r="657" spans="15:30" x14ac:dyDescent="0.35">
      <c r="O657" t="str">
        <f t="shared" si="27"/>
        <v/>
      </c>
      <c r="P657" s="18"/>
      <c r="Q657" s="61"/>
      <c r="R657" s="118"/>
      <c r="S657" s="61"/>
      <c r="T657" s="66"/>
      <c r="U657" s="66"/>
      <c r="V657" s="38"/>
      <c r="W657" s="39"/>
      <c r="X657" s="40"/>
      <c r="Y657" s="41"/>
      <c r="Z657" s="42"/>
      <c r="AA657" s="43"/>
      <c r="AB657" s="44"/>
      <c r="AC657" s="45"/>
      <c r="AD657" s="114" t="str">
        <f t="shared" si="26"/>
        <v/>
      </c>
    </row>
    <row r="658" spans="15:30" x14ac:dyDescent="0.35">
      <c r="O658" t="str">
        <f t="shared" si="27"/>
        <v/>
      </c>
      <c r="P658" s="18"/>
      <c r="Q658" s="61"/>
      <c r="R658" s="61"/>
      <c r="S658" s="61"/>
      <c r="T658" s="66"/>
      <c r="U658" s="66"/>
      <c r="V658" s="38"/>
      <c r="W658" s="39"/>
      <c r="X658" s="40"/>
      <c r="Y658" s="41"/>
      <c r="Z658" s="42"/>
      <c r="AA658" s="43"/>
      <c r="AB658" s="44"/>
      <c r="AC658" s="45"/>
      <c r="AD658" s="114" t="str">
        <f t="shared" si="26"/>
        <v/>
      </c>
    </row>
    <row r="659" spans="15:30" x14ac:dyDescent="0.35">
      <c r="O659" t="str">
        <f t="shared" si="27"/>
        <v/>
      </c>
      <c r="P659" s="18"/>
      <c r="Q659" s="61"/>
      <c r="R659" s="61"/>
      <c r="S659" s="61"/>
      <c r="T659" s="66"/>
      <c r="U659" s="66"/>
      <c r="V659" s="38"/>
      <c r="W659" s="39"/>
      <c r="X659" s="40"/>
      <c r="Y659" s="41"/>
      <c r="Z659" s="42"/>
      <c r="AA659" s="43"/>
      <c r="AB659" s="44"/>
      <c r="AC659" s="45"/>
      <c r="AD659" s="114" t="str">
        <f t="shared" si="26"/>
        <v/>
      </c>
    </row>
    <row r="660" spans="15:30" x14ac:dyDescent="0.35">
      <c r="O660" t="str">
        <f t="shared" si="27"/>
        <v/>
      </c>
      <c r="P660" s="18"/>
      <c r="Q660" s="61"/>
      <c r="R660" s="118"/>
      <c r="S660" s="61"/>
      <c r="T660" s="66"/>
      <c r="U660" s="66"/>
      <c r="V660" s="38"/>
      <c r="W660" s="39"/>
      <c r="X660" s="40"/>
      <c r="Y660" s="41"/>
      <c r="Z660" s="42"/>
      <c r="AA660" s="43"/>
      <c r="AB660" s="44"/>
      <c r="AC660" s="45"/>
      <c r="AD660" s="114" t="str">
        <f t="shared" si="26"/>
        <v/>
      </c>
    </row>
    <row r="661" spans="15:30" x14ac:dyDescent="0.35">
      <c r="O661" t="str">
        <f t="shared" si="27"/>
        <v/>
      </c>
      <c r="P661" s="18"/>
      <c r="Q661" s="61"/>
      <c r="R661" s="118"/>
      <c r="S661" s="61"/>
      <c r="T661" s="66"/>
      <c r="U661" s="66"/>
      <c r="V661" s="38"/>
      <c r="W661" s="39"/>
      <c r="X661" s="40"/>
      <c r="Y661" s="41"/>
      <c r="Z661" s="42"/>
      <c r="AA661" s="43"/>
      <c r="AB661" s="44"/>
      <c r="AC661" s="45"/>
      <c r="AD661" s="114" t="str">
        <f t="shared" si="26"/>
        <v/>
      </c>
    </row>
    <row r="662" spans="15:30" x14ac:dyDescent="0.35">
      <c r="O662" t="str">
        <f t="shared" si="27"/>
        <v/>
      </c>
      <c r="P662" s="18"/>
      <c r="Q662" s="61"/>
      <c r="R662" s="118"/>
      <c r="S662" s="61"/>
      <c r="T662" s="66"/>
      <c r="U662" s="66"/>
      <c r="V662" s="38"/>
      <c r="W662" s="39"/>
      <c r="X662" s="40"/>
      <c r="Y662" s="41"/>
      <c r="Z662" s="42"/>
      <c r="AA662" s="43"/>
      <c r="AB662" s="44"/>
      <c r="AC662" s="45"/>
      <c r="AD662" s="114" t="str">
        <f t="shared" si="26"/>
        <v/>
      </c>
    </row>
    <row r="663" spans="15:30" x14ac:dyDescent="0.35">
      <c r="O663" t="str">
        <f t="shared" si="27"/>
        <v/>
      </c>
      <c r="P663" s="18"/>
      <c r="Q663" s="61"/>
      <c r="R663" s="61"/>
      <c r="S663" s="61"/>
      <c r="T663" s="66"/>
      <c r="U663" s="66"/>
      <c r="V663" s="38"/>
      <c r="W663" s="39"/>
      <c r="X663" s="40"/>
      <c r="Y663" s="41"/>
      <c r="Z663" s="42"/>
      <c r="AA663" s="43"/>
      <c r="AB663" s="44"/>
      <c r="AC663" s="45"/>
      <c r="AD663" s="114" t="str">
        <f t="shared" si="26"/>
        <v/>
      </c>
    </row>
    <row r="664" spans="15:30" x14ac:dyDescent="0.35">
      <c r="O664" t="str">
        <f t="shared" si="27"/>
        <v/>
      </c>
      <c r="P664" s="18"/>
      <c r="Q664" s="61"/>
      <c r="R664" s="61"/>
      <c r="S664" s="61"/>
      <c r="T664" s="66"/>
      <c r="U664" s="66"/>
      <c r="V664" s="38"/>
      <c r="W664" s="39"/>
      <c r="X664" s="40"/>
      <c r="Y664" s="41"/>
      <c r="Z664" s="42"/>
      <c r="AA664" s="43"/>
      <c r="AB664" s="44"/>
      <c r="AC664" s="45"/>
      <c r="AD664" s="114" t="str">
        <f t="shared" si="26"/>
        <v/>
      </c>
    </row>
    <row r="665" spans="15:30" x14ac:dyDescent="0.35">
      <c r="O665" t="str">
        <f t="shared" si="27"/>
        <v/>
      </c>
      <c r="P665" s="18"/>
      <c r="Q665" s="61"/>
      <c r="R665" s="118"/>
      <c r="S665" s="61"/>
      <c r="T665" s="66"/>
      <c r="U665" s="66"/>
      <c r="V665" s="38"/>
      <c r="W665" s="39"/>
      <c r="X665" s="40"/>
      <c r="Y665" s="41"/>
      <c r="Z665" s="42"/>
      <c r="AA665" s="43"/>
      <c r="AB665" s="44"/>
      <c r="AC665" s="45"/>
      <c r="AD665" s="114" t="str">
        <f t="shared" si="26"/>
        <v/>
      </c>
    </row>
    <row r="666" spans="15:30" x14ac:dyDescent="0.35">
      <c r="O666" t="str">
        <f t="shared" si="27"/>
        <v/>
      </c>
      <c r="P666" s="18"/>
      <c r="Q666" s="61"/>
      <c r="R666" s="61"/>
      <c r="S666" s="61"/>
      <c r="T666" s="66"/>
      <c r="U666" s="66"/>
      <c r="V666" s="38"/>
      <c r="W666" s="39"/>
      <c r="X666" s="40"/>
      <c r="Y666" s="41"/>
      <c r="Z666" s="42"/>
      <c r="AA666" s="43"/>
      <c r="AB666" s="44"/>
      <c r="AC666" s="45"/>
      <c r="AD666" s="114" t="str">
        <f t="shared" si="26"/>
        <v/>
      </c>
    </row>
    <row r="667" spans="15:30" x14ac:dyDescent="0.35">
      <c r="O667" t="str">
        <f t="shared" si="27"/>
        <v/>
      </c>
      <c r="P667" s="18"/>
      <c r="Q667" s="61"/>
      <c r="R667" s="118"/>
      <c r="S667" s="61"/>
      <c r="T667" s="66"/>
      <c r="U667" s="66"/>
      <c r="V667" s="38"/>
      <c r="W667" s="39"/>
      <c r="X667" s="40"/>
      <c r="Y667" s="41"/>
      <c r="Z667" s="42"/>
      <c r="AA667" s="43"/>
      <c r="AB667" s="44"/>
      <c r="AC667" s="45"/>
      <c r="AD667" s="114" t="str">
        <f t="shared" si="26"/>
        <v/>
      </c>
    </row>
    <row r="668" spans="15:30" x14ac:dyDescent="0.35">
      <c r="O668" t="str">
        <f t="shared" si="27"/>
        <v/>
      </c>
      <c r="P668" s="18"/>
      <c r="Q668" s="61"/>
      <c r="R668" s="61"/>
      <c r="S668" s="61"/>
      <c r="T668" s="66"/>
      <c r="U668" s="66"/>
      <c r="V668" s="38"/>
      <c r="W668" s="39"/>
      <c r="X668" s="40"/>
      <c r="Y668" s="41"/>
      <c r="Z668" s="42"/>
      <c r="AA668" s="43"/>
      <c r="AB668" s="44"/>
      <c r="AC668" s="45"/>
      <c r="AD668" s="114" t="str">
        <f t="shared" si="26"/>
        <v/>
      </c>
    </row>
    <row r="669" spans="15:30" x14ac:dyDescent="0.35">
      <c r="O669" t="str">
        <f t="shared" si="27"/>
        <v/>
      </c>
      <c r="P669" s="18"/>
      <c r="Q669" s="61"/>
      <c r="R669" s="61"/>
      <c r="S669" s="61"/>
      <c r="T669" s="66"/>
      <c r="U669" s="66"/>
      <c r="V669" s="38"/>
      <c r="W669" s="39"/>
      <c r="X669" s="40"/>
      <c r="Y669" s="41"/>
      <c r="Z669" s="42"/>
      <c r="AA669" s="43"/>
      <c r="AB669" s="44"/>
      <c r="AC669" s="45"/>
      <c r="AD669" s="114" t="str">
        <f t="shared" si="26"/>
        <v/>
      </c>
    </row>
    <row r="670" spans="15:30" x14ac:dyDescent="0.35">
      <c r="O670" t="str">
        <f t="shared" si="27"/>
        <v/>
      </c>
      <c r="P670" s="18"/>
      <c r="Q670" s="61"/>
      <c r="R670" s="61"/>
      <c r="S670" s="61"/>
      <c r="T670" s="66"/>
      <c r="U670" s="66"/>
      <c r="V670" s="38"/>
      <c r="W670" s="39"/>
      <c r="X670" s="40"/>
      <c r="Y670" s="41"/>
      <c r="Z670" s="42"/>
      <c r="AA670" s="43"/>
      <c r="AB670" s="44"/>
      <c r="AC670" s="45"/>
      <c r="AD670" s="114" t="str">
        <f t="shared" si="26"/>
        <v/>
      </c>
    </row>
    <row r="671" spans="15:30" x14ac:dyDescent="0.35">
      <c r="O671" t="str">
        <f t="shared" si="27"/>
        <v/>
      </c>
      <c r="P671" s="18"/>
      <c r="Q671" s="61"/>
      <c r="R671" s="61"/>
      <c r="S671" s="61"/>
      <c r="T671" s="66"/>
      <c r="U671" s="66"/>
      <c r="V671" s="38"/>
      <c r="W671" s="39"/>
      <c r="X671" s="40"/>
      <c r="Y671" s="41"/>
      <c r="Z671" s="42"/>
      <c r="AA671" s="43"/>
      <c r="AB671" s="44"/>
      <c r="AC671" s="45"/>
      <c r="AD671" s="114" t="str">
        <f t="shared" si="26"/>
        <v/>
      </c>
    </row>
    <row r="672" spans="15:30" x14ac:dyDescent="0.35">
      <c r="O672" t="str">
        <f t="shared" si="27"/>
        <v/>
      </c>
      <c r="P672" s="18"/>
      <c r="Q672" s="61"/>
      <c r="R672" s="61"/>
      <c r="S672" s="61"/>
      <c r="T672" s="66"/>
      <c r="U672" s="66"/>
      <c r="V672" s="38"/>
      <c r="W672" s="39"/>
      <c r="X672" s="40"/>
      <c r="Y672" s="41"/>
      <c r="Z672" s="42"/>
      <c r="AA672" s="43"/>
      <c r="AB672" s="44"/>
      <c r="AC672" s="45"/>
      <c r="AD672" s="114" t="str">
        <f t="shared" si="26"/>
        <v/>
      </c>
    </row>
    <row r="673" spans="15:30" x14ac:dyDescent="0.35">
      <c r="O673" t="str">
        <f t="shared" si="27"/>
        <v/>
      </c>
      <c r="P673" s="18"/>
      <c r="Q673" s="61"/>
      <c r="R673" s="118"/>
      <c r="S673" s="61"/>
      <c r="T673" s="66"/>
      <c r="U673" s="66"/>
      <c r="V673" s="38"/>
      <c r="W673" s="39"/>
      <c r="X673" s="40"/>
      <c r="Y673" s="41"/>
      <c r="Z673" s="42"/>
      <c r="AA673" s="43"/>
      <c r="AB673" s="44"/>
      <c r="AC673" s="45"/>
      <c r="AD673" s="114" t="str">
        <f t="shared" si="26"/>
        <v/>
      </c>
    </row>
    <row r="674" spans="15:30" x14ac:dyDescent="0.35">
      <c r="O674" t="str">
        <f t="shared" si="27"/>
        <v/>
      </c>
      <c r="P674" s="18"/>
      <c r="Q674" s="61"/>
      <c r="R674" s="118"/>
      <c r="S674" s="61"/>
      <c r="T674" s="66"/>
      <c r="U674" s="66"/>
      <c r="V674" s="38"/>
      <c r="W674" s="39"/>
      <c r="X674" s="40"/>
      <c r="Y674" s="41"/>
      <c r="Z674" s="42"/>
      <c r="AA674" s="43"/>
      <c r="AB674" s="44"/>
      <c r="AC674" s="45"/>
      <c r="AD674" s="114" t="str">
        <f t="shared" si="26"/>
        <v/>
      </c>
    </row>
    <row r="675" spans="15:30" x14ac:dyDescent="0.35">
      <c r="O675" t="str">
        <f t="shared" si="27"/>
        <v/>
      </c>
      <c r="P675" s="18"/>
      <c r="Q675" s="61"/>
      <c r="R675" s="118"/>
      <c r="S675" s="61"/>
      <c r="T675" s="66"/>
      <c r="U675" s="66"/>
      <c r="V675" s="38"/>
      <c r="W675" s="39"/>
      <c r="X675" s="40"/>
      <c r="Y675" s="41"/>
      <c r="Z675" s="42"/>
      <c r="AA675" s="43"/>
      <c r="AB675" s="44"/>
      <c r="AC675" s="45"/>
      <c r="AD675" s="114" t="str">
        <f t="shared" si="26"/>
        <v/>
      </c>
    </row>
    <row r="676" spans="15:30" x14ac:dyDescent="0.35">
      <c r="O676" t="str">
        <f t="shared" si="27"/>
        <v/>
      </c>
      <c r="P676" s="18"/>
      <c r="Q676" s="61"/>
      <c r="R676" s="61"/>
      <c r="S676" s="61"/>
      <c r="T676" s="66"/>
      <c r="U676" s="66"/>
      <c r="V676" s="38"/>
      <c r="W676" s="39"/>
      <c r="X676" s="40"/>
      <c r="Y676" s="41"/>
      <c r="Z676" s="42"/>
      <c r="AA676" s="43"/>
      <c r="AB676" s="44"/>
      <c r="AC676" s="45"/>
      <c r="AD676" s="114" t="str">
        <f t="shared" si="26"/>
        <v/>
      </c>
    </row>
    <row r="677" spans="15:30" x14ac:dyDescent="0.35">
      <c r="O677" t="str">
        <f t="shared" si="27"/>
        <v/>
      </c>
      <c r="P677" s="18"/>
      <c r="Q677" s="61"/>
      <c r="R677" s="118"/>
      <c r="S677" s="61"/>
      <c r="T677" s="66"/>
      <c r="U677" s="66"/>
      <c r="V677" s="38"/>
      <c r="W677" s="39"/>
      <c r="X677" s="40"/>
      <c r="Y677" s="41"/>
      <c r="Z677" s="42"/>
      <c r="AA677" s="43"/>
      <c r="AB677" s="44"/>
      <c r="AC677" s="45"/>
      <c r="AD677" s="114" t="str">
        <f t="shared" si="26"/>
        <v/>
      </c>
    </row>
    <row r="678" spans="15:30" x14ac:dyDescent="0.35">
      <c r="O678" t="str">
        <f t="shared" si="27"/>
        <v/>
      </c>
      <c r="P678" s="18"/>
      <c r="Q678" s="61"/>
      <c r="R678" s="61"/>
      <c r="S678" s="61"/>
      <c r="T678" s="66"/>
      <c r="U678" s="66"/>
      <c r="V678" s="38"/>
      <c r="W678" s="39"/>
      <c r="X678" s="40"/>
      <c r="Y678" s="41"/>
      <c r="Z678" s="42"/>
      <c r="AA678" s="43"/>
      <c r="AB678" s="44"/>
      <c r="AC678" s="45"/>
      <c r="AD678" s="114" t="str">
        <f t="shared" si="26"/>
        <v/>
      </c>
    </row>
    <row r="679" spans="15:30" x14ac:dyDescent="0.35">
      <c r="O679" t="str">
        <f t="shared" si="27"/>
        <v/>
      </c>
      <c r="P679" s="18"/>
      <c r="Q679" s="61"/>
      <c r="R679" s="61"/>
      <c r="S679" s="61"/>
      <c r="T679" s="66"/>
      <c r="U679" s="66"/>
      <c r="V679" s="38"/>
      <c r="W679" s="39"/>
      <c r="X679" s="40"/>
      <c r="Y679" s="41"/>
      <c r="Z679" s="42"/>
      <c r="AA679" s="43"/>
      <c r="AB679" s="44"/>
      <c r="AC679" s="45"/>
      <c r="AD679" s="114" t="str">
        <f t="shared" si="26"/>
        <v/>
      </c>
    </row>
    <row r="680" spans="15:30" x14ac:dyDescent="0.35">
      <c r="O680" t="str">
        <f t="shared" si="27"/>
        <v/>
      </c>
      <c r="P680" s="62"/>
      <c r="Q680" s="118"/>
      <c r="R680" s="118"/>
      <c r="S680" s="61"/>
      <c r="T680" s="66"/>
      <c r="U680" s="66"/>
      <c r="V680" s="38"/>
      <c r="W680" s="39"/>
      <c r="X680" s="40"/>
      <c r="Y680" s="41"/>
      <c r="Z680" s="42"/>
      <c r="AA680" s="43"/>
      <c r="AB680" s="44"/>
      <c r="AC680" s="45"/>
      <c r="AD680" s="114" t="str">
        <f t="shared" si="26"/>
        <v/>
      </c>
    </row>
    <row r="681" spans="15:30" x14ac:dyDescent="0.35">
      <c r="O681" t="str">
        <f t="shared" si="27"/>
        <v/>
      </c>
      <c r="P681" s="18"/>
      <c r="Q681" s="61"/>
      <c r="R681" s="118"/>
      <c r="S681" s="61"/>
      <c r="T681" s="66"/>
      <c r="U681" s="66"/>
      <c r="V681" s="38"/>
      <c r="W681" s="39"/>
      <c r="X681" s="40"/>
      <c r="Y681" s="41"/>
      <c r="Z681" s="42"/>
      <c r="AA681" s="43"/>
      <c r="AB681" s="44"/>
      <c r="AC681" s="45"/>
      <c r="AD681" s="114" t="str">
        <f t="shared" si="26"/>
        <v/>
      </c>
    </row>
    <row r="682" spans="15:30" x14ac:dyDescent="0.35">
      <c r="O682" t="str">
        <f t="shared" si="27"/>
        <v/>
      </c>
      <c r="P682" s="18"/>
      <c r="Q682" s="61"/>
      <c r="R682" s="61"/>
      <c r="S682" s="61"/>
      <c r="T682" s="66"/>
      <c r="U682" s="66"/>
      <c r="V682" s="38"/>
      <c r="W682" s="39"/>
      <c r="X682" s="40"/>
      <c r="Y682" s="41"/>
      <c r="Z682" s="42"/>
      <c r="AA682" s="43"/>
      <c r="AB682" s="44"/>
      <c r="AC682" s="45"/>
      <c r="AD682" s="114" t="str">
        <f t="shared" si="26"/>
        <v/>
      </c>
    </row>
    <row r="683" spans="15:30" x14ac:dyDescent="0.35">
      <c r="O683" t="str">
        <f t="shared" si="27"/>
        <v/>
      </c>
      <c r="P683" s="18"/>
      <c r="Q683" s="61"/>
      <c r="R683" s="61"/>
      <c r="S683" s="61"/>
      <c r="T683" s="66"/>
      <c r="U683" s="66"/>
      <c r="V683" s="38"/>
      <c r="W683" s="39"/>
      <c r="X683" s="40"/>
      <c r="Y683" s="41"/>
      <c r="Z683" s="42"/>
      <c r="AA683" s="43"/>
      <c r="AB683" s="44"/>
      <c r="AC683" s="45"/>
      <c r="AD683" s="114" t="str">
        <f t="shared" si="26"/>
        <v/>
      </c>
    </row>
    <row r="684" spans="15:30" x14ac:dyDescent="0.35">
      <c r="O684" t="str">
        <f t="shared" si="27"/>
        <v/>
      </c>
      <c r="P684" s="18"/>
      <c r="Q684" s="61"/>
      <c r="R684" s="118"/>
      <c r="S684" s="61"/>
      <c r="T684" s="66"/>
      <c r="U684" s="66"/>
      <c r="V684" s="38"/>
      <c r="W684" s="39"/>
      <c r="X684" s="40"/>
      <c r="Y684" s="41"/>
      <c r="Z684" s="42"/>
      <c r="AA684" s="43"/>
      <c r="AB684" s="44"/>
      <c r="AC684" s="45"/>
      <c r="AD684" s="114" t="str">
        <f t="shared" si="26"/>
        <v/>
      </c>
    </row>
    <row r="685" spans="15:30" x14ac:dyDescent="0.35">
      <c r="O685" t="str">
        <f t="shared" si="27"/>
        <v/>
      </c>
      <c r="P685" s="18"/>
      <c r="Q685" s="61"/>
      <c r="R685" s="61"/>
      <c r="S685" s="61"/>
      <c r="T685" s="66"/>
      <c r="U685" s="66"/>
      <c r="V685" s="38"/>
      <c r="W685" s="39"/>
      <c r="X685" s="40"/>
      <c r="Y685" s="41"/>
      <c r="Z685" s="42"/>
      <c r="AA685" s="43"/>
      <c r="AB685" s="44"/>
      <c r="AC685" s="45"/>
      <c r="AD685" s="114" t="str">
        <f t="shared" si="26"/>
        <v/>
      </c>
    </row>
    <row r="686" spans="15:30" x14ac:dyDescent="0.35">
      <c r="O686" t="str">
        <f t="shared" si="27"/>
        <v/>
      </c>
      <c r="P686" s="18"/>
      <c r="Q686" s="61"/>
      <c r="R686" s="61"/>
      <c r="S686" s="61"/>
      <c r="T686" s="66"/>
      <c r="U686" s="66"/>
      <c r="V686" s="38"/>
      <c r="W686" s="39"/>
      <c r="X686" s="40"/>
      <c r="Y686" s="41"/>
      <c r="Z686" s="42"/>
      <c r="AA686" s="43"/>
      <c r="AB686" s="44"/>
      <c r="AC686" s="45"/>
      <c r="AD686" s="114" t="str">
        <f t="shared" si="26"/>
        <v/>
      </c>
    </row>
    <row r="687" spans="15:30" x14ac:dyDescent="0.35">
      <c r="O687" t="str">
        <f t="shared" si="27"/>
        <v/>
      </c>
      <c r="P687" s="18"/>
      <c r="Q687" s="61"/>
      <c r="R687" s="118"/>
      <c r="S687" s="61"/>
      <c r="T687" s="66"/>
      <c r="U687" s="66"/>
      <c r="V687" s="38"/>
      <c r="W687" s="39"/>
      <c r="X687" s="40"/>
      <c r="Y687" s="41"/>
      <c r="Z687" s="42"/>
      <c r="AA687" s="43"/>
      <c r="AB687" s="44"/>
      <c r="AC687" s="45"/>
      <c r="AD687" s="114" t="str">
        <f t="shared" si="26"/>
        <v/>
      </c>
    </row>
    <row r="688" spans="15:30" x14ac:dyDescent="0.35">
      <c r="O688" t="str">
        <f t="shared" si="27"/>
        <v/>
      </c>
      <c r="P688" s="18"/>
      <c r="Q688" s="61"/>
      <c r="R688" s="61"/>
      <c r="S688" s="61"/>
      <c r="T688" s="66"/>
      <c r="U688" s="66"/>
      <c r="V688" s="38"/>
      <c r="W688" s="39"/>
      <c r="X688" s="40"/>
      <c r="Y688" s="41"/>
      <c r="Z688" s="42"/>
      <c r="AA688" s="43"/>
      <c r="AB688" s="44"/>
      <c r="AC688" s="45"/>
      <c r="AD688" s="114" t="str">
        <f t="shared" si="26"/>
        <v/>
      </c>
    </row>
    <row r="689" spans="15:30" x14ac:dyDescent="0.35">
      <c r="O689" t="str">
        <f t="shared" si="27"/>
        <v/>
      </c>
      <c r="P689" s="18"/>
      <c r="Q689" s="61"/>
      <c r="R689" s="118"/>
      <c r="S689" s="61"/>
      <c r="T689" s="66"/>
      <c r="U689" s="66"/>
      <c r="V689" s="38"/>
      <c r="W689" s="39"/>
      <c r="X689" s="40"/>
      <c r="Y689" s="41"/>
      <c r="Z689" s="42"/>
      <c r="AA689" s="43"/>
      <c r="AB689" s="44"/>
      <c r="AC689" s="45"/>
      <c r="AD689" s="114" t="str">
        <f t="shared" si="26"/>
        <v/>
      </c>
    </row>
    <row r="690" spans="15:30" x14ac:dyDescent="0.35">
      <c r="O690" t="str">
        <f t="shared" si="27"/>
        <v/>
      </c>
      <c r="P690" s="18"/>
      <c r="Q690" s="61"/>
      <c r="R690" s="61"/>
      <c r="S690" s="61"/>
      <c r="T690" s="66"/>
      <c r="U690" s="66"/>
      <c r="V690" s="38"/>
      <c r="W690" s="39"/>
      <c r="X690" s="40"/>
      <c r="Y690" s="41"/>
      <c r="Z690" s="42"/>
      <c r="AA690" s="43"/>
      <c r="AB690" s="44"/>
      <c r="AC690" s="45"/>
      <c r="AD690" s="114" t="str">
        <f t="shared" si="26"/>
        <v/>
      </c>
    </row>
    <row r="691" spans="15:30" x14ac:dyDescent="0.35">
      <c r="O691" t="str">
        <f t="shared" si="27"/>
        <v/>
      </c>
      <c r="P691" s="18"/>
      <c r="Q691" s="61"/>
      <c r="R691" s="118"/>
      <c r="S691" s="61"/>
      <c r="T691" s="66"/>
      <c r="U691" s="66"/>
      <c r="V691" s="38"/>
      <c r="W691" s="39"/>
      <c r="X691" s="40"/>
      <c r="Y691" s="41"/>
      <c r="Z691" s="42"/>
      <c r="AA691" s="43"/>
      <c r="AB691" s="44"/>
      <c r="AC691" s="45"/>
      <c r="AD691" s="114" t="str">
        <f t="shared" si="26"/>
        <v/>
      </c>
    </row>
    <row r="692" spans="15:30" x14ac:dyDescent="0.35">
      <c r="O692" t="str">
        <f t="shared" si="27"/>
        <v/>
      </c>
      <c r="P692" s="18"/>
      <c r="Q692" s="61"/>
      <c r="R692" s="118"/>
      <c r="S692" s="61"/>
      <c r="T692" s="66"/>
      <c r="U692" s="66"/>
      <c r="V692" s="38"/>
      <c r="W692" s="39"/>
      <c r="X692" s="40"/>
      <c r="Y692" s="41"/>
      <c r="Z692" s="42"/>
      <c r="AA692" s="43"/>
      <c r="AB692" s="44"/>
      <c r="AC692" s="45"/>
      <c r="AD692" s="114" t="str">
        <f t="shared" si="26"/>
        <v/>
      </c>
    </row>
    <row r="693" spans="15:30" x14ac:dyDescent="0.35">
      <c r="O693" t="str">
        <f t="shared" si="27"/>
        <v/>
      </c>
      <c r="P693" s="18"/>
      <c r="Q693" s="61"/>
      <c r="R693" s="118"/>
      <c r="S693" s="61"/>
      <c r="T693" s="66"/>
      <c r="U693" s="66"/>
      <c r="V693" s="38"/>
      <c r="W693" s="39"/>
      <c r="X693" s="40"/>
      <c r="Y693" s="41"/>
      <c r="Z693" s="42"/>
      <c r="AA693" s="43"/>
      <c r="AB693" s="44"/>
      <c r="AC693" s="45"/>
      <c r="AD693" s="114" t="str">
        <f t="shared" si="26"/>
        <v/>
      </c>
    </row>
    <row r="694" spans="15:30" x14ac:dyDescent="0.35">
      <c r="O694" t="str">
        <f t="shared" si="27"/>
        <v/>
      </c>
      <c r="P694" s="18"/>
      <c r="Q694" s="61"/>
      <c r="R694" s="118"/>
      <c r="S694" s="61"/>
      <c r="T694" s="66"/>
      <c r="U694" s="66"/>
      <c r="V694" s="38"/>
      <c r="W694" s="39"/>
      <c r="X694" s="40"/>
      <c r="Y694" s="41"/>
      <c r="Z694" s="42"/>
      <c r="AA694" s="43"/>
      <c r="AB694" s="44"/>
      <c r="AC694" s="45"/>
      <c r="AD694" s="114" t="str">
        <f t="shared" si="26"/>
        <v/>
      </c>
    </row>
    <row r="695" spans="15:30" x14ac:dyDescent="0.35">
      <c r="O695" t="str">
        <f t="shared" si="27"/>
        <v/>
      </c>
      <c r="P695" s="18"/>
      <c r="Q695" s="61"/>
      <c r="R695" s="61"/>
      <c r="S695" s="61"/>
      <c r="T695" s="66"/>
      <c r="U695" s="66"/>
      <c r="V695" s="38"/>
      <c r="W695" s="39"/>
      <c r="X695" s="40"/>
      <c r="Y695" s="41"/>
      <c r="Z695" s="42"/>
      <c r="AA695" s="43"/>
      <c r="AB695" s="44"/>
      <c r="AC695" s="45"/>
      <c r="AD695" s="114" t="str">
        <f t="shared" si="26"/>
        <v/>
      </c>
    </row>
    <row r="696" spans="15:30" x14ac:dyDescent="0.35">
      <c r="O696" t="str">
        <f t="shared" si="27"/>
        <v/>
      </c>
      <c r="P696" s="18"/>
      <c r="Q696" s="61"/>
      <c r="R696" s="118"/>
      <c r="S696" s="61"/>
      <c r="T696" s="66"/>
      <c r="U696" s="66"/>
      <c r="V696" s="38"/>
      <c r="W696" s="39"/>
      <c r="X696" s="40"/>
      <c r="Y696" s="41"/>
      <c r="Z696" s="42"/>
      <c r="AA696" s="43"/>
      <c r="AB696" s="44"/>
      <c r="AC696" s="45"/>
      <c r="AD696" s="114" t="str">
        <f t="shared" si="26"/>
        <v/>
      </c>
    </row>
    <row r="697" spans="15:30" x14ac:dyDescent="0.35">
      <c r="O697" t="str">
        <f t="shared" si="27"/>
        <v/>
      </c>
      <c r="P697" s="18"/>
      <c r="Q697" s="61"/>
      <c r="R697" s="118"/>
      <c r="S697" s="61"/>
      <c r="T697" s="66"/>
      <c r="U697" s="66"/>
      <c r="V697" s="38"/>
      <c r="W697" s="39"/>
      <c r="X697" s="40"/>
      <c r="Y697" s="41"/>
      <c r="Z697" s="42"/>
      <c r="AA697" s="43"/>
      <c r="AB697" s="44"/>
      <c r="AC697" s="45"/>
      <c r="AD697" s="114" t="str">
        <f t="shared" si="26"/>
        <v/>
      </c>
    </row>
    <row r="698" spans="15:30" x14ac:dyDescent="0.35">
      <c r="O698" t="str">
        <f t="shared" si="27"/>
        <v/>
      </c>
      <c r="P698" s="62"/>
      <c r="Q698" s="118"/>
      <c r="R698" s="61"/>
      <c r="S698" s="61"/>
      <c r="T698" s="66"/>
      <c r="U698" s="66"/>
      <c r="V698" s="38"/>
      <c r="W698" s="39"/>
      <c r="X698" s="40"/>
      <c r="Y698" s="41"/>
      <c r="Z698" s="42"/>
      <c r="AA698" s="43"/>
      <c r="AB698" s="44"/>
      <c r="AC698" s="45"/>
      <c r="AD698" s="114" t="str">
        <f t="shared" si="26"/>
        <v/>
      </c>
    </row>
    <row r="699" spans="15:30" x14ac:dyDescent="0.35">
      <c r="O699" t="str">
        <f t="shared" si="27"/>
        <v/>
      </c>
      <c r="P699" s="18"/>
      <c r="Q699" s="61"/>
      <c r="R699" s="118"/>
      <c r="S699" s="61"/>
      <c r="T699" s="66"/>
      <c r="U699" s="66"/>
      <c r="V699" s="38"/>
      <c r="W699" s="39"/>
      <c r="X699" s="40"/>
      <c r="Y699" s="41"/>
      <c r="Z699" s="42"/>
      <c r="AA699" s="43"/>
      <c r="AB699" s="44"/>
      <c r="AC699" s="45"/>
      <c r="AD699" s="114" t="str">
        <f t="shared" si="26"/>
        <v/>
      </c>
    </row>
    <row r="700" spans="15:30" x14ac:dyDescent="0.35">
      <c r="O700" t="str">
        <f t="shared" si="27"/>
        <v/>
      </c>
      <c r="P700" s="18"/>
      <c r="Q700" s="61"/>
      <c r="R700" s="61"/>
      <c r="S700" s="61"/>
      <c r="T700" s="66"/>
      <c r="U700" s="66"/>
      <c r="V700" s="38"/>
      <c r="W700" s="39"/>
      <c r="X700" s="40"/>
      <c r="Y700" s="41"/>
      <c r="Z700" s="42"/>
      <c r="AA700" s="43"/>
      <c r="AB700" s="44"/>
      <c r="AC700" s="45"/>
      <c r="AD700" s="114" t="str">
        <f t="shared" si="26"/>
        <v/>
      </c>
    </row>
    <row r="701" spans="15:30" x14ac:dyDescent="0.35">
      <c r="O701" t="str">
        <f t="shared" si="27"/>
        <v/>
      </c>
      <c r="P701" s="62"/>
      <c r="Q701" s="118"/>
      <c r="R701" s="61"/>
      <c r="S701" s="61"/>
      <c r="T701" s="66"/>
      <c r="U701" s="66"/>
      <c r="V701" s="38"/>
      <c r="W701" s="39"/>
      <c r="X701" s="40"/>
      <c r="Y701" s="41"/>
      <c r="Z701" s="42"/>
      <c r="AA701" s="43"/>
      <c r="AB701" s="44"/>
      <c r="AC701" s="45"/>
      <c r="AD701" s="114" t="str">
        <f t="shared" si="26"/>
        <v/>
      </c>
    </row>
    <row r="702" spans="15:30" x14ac:dyDescent="0.35">
      <c r="O702" t="str">
        <f t="shared" si="27"/>
        <v/>
      </c>
      <c r="P702" s="18"/>
      <c r="Q702" s="61"/>
      <c r="R702" s="118"/>
      <c r="S702" s="61"/>
      <c r="T702" s="66"/>
      <c r="U702" s="66"/>
      <c r="V702" s="38"/>
      <c r="W702" s="39"/>
      <c r="X702" s="40"/>
      <c r="Y702" s="41"/>
      <c r="Z702" s="42"/>
      <c r="AA702" s="43"/>
      <c r="AB702" s="44"/>
      <c r="AC702" s="45"/>
      <c r="AD702" s="114" t="str">
        <f t="shared" si="26"/>
        <v/>
      </c>
    </row>
    <row r="703" spans="15:30" x14ac:dyDescent="0.35">
      <c r="O703" t="str">
        <f t="shared" si="27"/>
        <v/>
      </c>
      <c r="P703" s="18"/>
      <c r="Q703" s="61"/>
      <c r="R703" s="118"/>
      <c r="S703" s="61"/>
      <c r="T703" s="66"/>
      <c r="U703" s="66"/>
      <c r="V703" s="38"/>
      <c r="W703" s="39"/>
      <c r="X703" s="40"/>
      <c r="Y703" s="41"/>
      <c r="Z703" s="42"/>
      <c r="AA703" s="43"/>
      <c r="AB703" s="44"/>
      <c r="AC703" s="45"/>
      <c r="AD703" s="114" t="str">
        <f t="shared" si="26"/>
        <v/>
      </c>
    </row>
    <row r="704" spans="15:30" x14ac:dyDescent="0.35">
      <c r="O704" t="str">
        <f t="shared" si="27"/>
        <v/>
      </c>
      <c r="P704" s="18"/>
      <c r="Q704" s="61"/>
      <c r="R704" s="118"/>
      <c r="S704" s="61"/>
      <c r="T704" s="66"/>
      <c r="U704" s="66"/>
      <c r="V704" s="38"/>
      <c r="W704" s="39"/>
      <c r="X704" s="40"/>
      <c r="Y704" s="41"/>
      <c r="Z704" s="42"/>
      <c r="AA704" s="43"/>
      <c r="AB704" s="44"/>
      <c r="AC704" s="45"/>
      <c r="AD704" s="114" t="str">
        <f t="shared" si="26"/>
        <v/>
      </c>
    </row>
    <row r="705" spans="15:30" x14ac:dyDescent="0.35">
      <c r="O705" t="str">
        <f t="shared" si="27"/>
        <v/>
      </c>
      <c r="P705" s="18"/>
      <c r="Q705" s="61"/>
      <c r="R705" s="118"/>
      <c r="S705" s="61"/>
      <c r="T705" s="66"/>
      <c r="U705" s="66"/>
      <c r="V705" s="38"/>
      <c r="W705" s="39"/>
      <c r="X705" s="40"/>
      <c r="Y705" s="41"/>
      <c r="Z705" s="42"/>
      <c r="AA705" s="43"/>
      <c r="AB705" s="44"/>
      <c r="AC705" s="45"/>
      <c r="AD705" s="114" t="str">
        <f t="shared" si="26"/>
        <v/>
      </c>
    </row>
    <row r="706" spans="15:30" x14ac:dyDescent="0.35">
      <c r="O706" t="str">
        <f t="shared" si="27"/>
        <v/>
      </c>
      <c r="P706" s="18"/>
      <c r="Q706" s="61"/>
      <c r="R706" s="61"/>
      <c r="S706" s="61"/>
      <c r="T706" s="66"/>
      <c r="U706" s="66"/>
      <c r="V706" s="38"/>
      <c r="W706" s="39"/>
      <c r="X706" s="40"/>
      <c r="Y706" s="41"/>
      <c r="Z706" s="42"/>
      <c r="AA706" s="43"/>
      <c r="AB706" s="44"/>
      <c r="AC706" s="45"/>
      <c r="AD706" s="114" t="str">
        <f t="shared" ref="AD706:AD769" si="28">IF(P706="","",AC706/6)</f>
        <v/>
      </c>
    </row>
    <row r="707" spans="15:30" x14ac:dyDescent="0.35">
      <c r="O707" t="str">
        <f t="shared" si="27"/>
        <v/>
      </c>
      <c r="P707" s="18"/>
      <c r="Q707" s="61"/>
      <c r="R707" s="61"/>
      <c r="S707" s="61"/>
      <c r="T707" s="66"/>
      <c r="U707" s="66"/>
      <c r="V707" s="38"/>
      <c r="W707" s="39"/>
      <c r="X707" s="40"/>
      <c r="Y707" s="41"/>
      <c r="Z707" s="42"/>
      <c r="AA707" s="43"/>
      <c r="AB707" s="44"/>
      <c r="AC707" s="45"/>
      <c r="AD707" s="114" t="str">
        <f t="shared" si="28"/>
        <v/>
      </c>
    </row>
    <row r="708" spans="15:30" x14ac:dyDescent="0.35">
      <c r="O708" t="str">
        <f t="shared" ref="O708:O771" si="29">IF(P708="","",O707+1)</f>
        <v/>
      </c>
      <c r="P708" s="18"/>
      <c r="Q708" s="61"/>
      <c r="R708" s="118"/>
      <c r="S708" s="61"/>
      <c r="T708" s="66"/>
      <c r="U708" s="66"/>
      <c r="V708" s="38"/>
      <c r="W708" s="39"/>
      <c r="X708" s="40"/>
      <c r="Y708" s="41"/>
      <c r="Z708" s="42"/>
      <c r="AA708" s="43"/>
      <c r="AB708" s="44"/>
      <c r="AC708" s="45"/>
      <c r="AD708" s="114" t="str">
        <f t="shared" si="28"/>
        <v/>
      </c>
    </row>
    <row r="709" spans="15:30" x14ac:dyDescent="0.35">
      <c r="O709" t="str">
        <f t="shared" si="29"/>
        <v/>
      </c>
      <c r="P709" s="18"/>
      <c r="Q709" s="61"/>
      <c r="R709" s="61"/>
      <c r="S709" s="61"/>
      <c r="T709" s="66"/>
      <c r="U709" s="66"/>
      <c r="V709" s="38"/>
      <c r="W709" s="39"/>
      <c r="X709" s="40"/>
      <c r="Y709" s="41"/>
      <c r="Z709" s="42"/>
      <c r="AA709" s="43"/>
      <c r="AB709" s="44"/>
      <c r="AC709" s="45"/>
      <c r="AD709" s="114" t="str">
        <f t="shared" si="28"/>
        <v/>
      </c>
    </row>
    <row r="710" spans="15:30" x14ac:dyDescent="0.35">
      <c r="O710" t="str">
        <f t="shared" si="29"/>
        <v/>
      </c>
      <c r="P710" s="18"/>
      <c r="Q710" s="61"/>
      <c r="R710" s="61"/>
      <c r="S710" s="61"/>
      <c r="T710" s="66"/>
      <c r="U710" s="66"/>
      <c r="V710" s="38"/>
      <c r="W710" s="39"/>
      <c r="X710" s="40"/>
      <c r="Y710" s="41"/>
      <c r="Z710" s="42"/>
      <c r="AA710" s="43"/>
      <c r="AB710" s="44"/>
      <c r="AC710" s="45"/>
      <c r="AD710" s="114" t="str">
        <f t="shared" si="28"/>
        <v/>
      </c>
    </row>
    <row r="711" spans="15:30" x14ac:dyDescent="0.35">
      <c r="O711" t="str">
        <f t="shared" si="29"/>
        <v/>
      </c>
      <c r="P711" s="18"/>
      <c r="Q711" s="61"/>
      <c r="R711" s="118"/>
      <c r="S711" s="61"/>
      <c r="T711" s="66"/>
      <c r="U711" s="66"/>
      <c r="V711" s="38"/>
      <c r="W711" s="39"/>
      <c r="X711" s="40"/>
      <c r="Y711" s="41"/>
      <c r="Z711" s="42"/>
      <c r="AA711" s="43"/>
      <c r="AB711" s="44"/>
      <c r="AC711" s="45"/>
      <c r="AD711" s="114" t="str">
        <f t="shared" si="28"/>
        <v/>
      </c>
    </row>
    <row r="712" spans="15:30" x14ac:dyDescent="0.35">
      <c r="O712" t="str">
        <f t="shared" si="29"/>
        <v/>
      </c>
      <c r="P712" s="18"/>
      <c r="Q712" s="61"/>
      <c r="R712" s="61"/>
      <c r="S712" s="61"/>
      <c r="T712" s="66"/>
      <c r="U712" s="66"/>
      <c r="V712" s="38"/>
      <c r="W712" s="39"/>
      <c r="X712" s="40"/>
      <c r="Y712" s="41"/>
      <c r="Z712" s="42"/>
      <c r="AA712" s="43"/>
      <c r="AB712" s="44"/>
      <c r="AC712" s="45"/>
      <c r="AD712" s="114" t="str">
        <f t="shared" si="28"/>
        <v/>
      </c>
    </row>
    <row r="713" spans="15:30" x14ac:dyDescent="0.35">
      <c r="O713" t="str">
        <f t="shared" si="29"/>
        <v/>
      </c>
      <c r="P713" s="18"/>
      <c r="Q713" s="61"/>
      <c r="R713" s="118"/>
      <c r="S713" s="61"/>
      <c r="T713" s="66"/>
      <c r="U713" s="66"/>
      <c r="V713" s="38"/>
      <c r="W713" s="39"/>
      <c r="X713" s="40"/>
      <c r="Y713" s="41"/>
      <c r="Z713" s="42"/>
      <c r="AA713" s="43"/>
      <c r="AB713" s="44"/>
      <c r="AC713" s="45"/>
      <c r="AD713" s="114" t="str">
        <f t="shared" si="28"/>
        <v/>
      </c>
    </row>
    <row r="714" spans="15:30" x14ac:dyDescent="0.35">
      <c r="O714" t="str">
        <f t="shared" si="29"/>
        <v/>
      </c>
      <c r="P714" s="18"/>
      <c r="Q714" s="61"/>
      <c r="R714" s="118"/>
      <c r="S714" s="61"/>
      <c r="T714" s="66"/>
      <c r="U714" s="66"/>
      <c r="V714" s="38"/>
      <c r="W714" s="39"/>
      <c r="X714" s="40"/>
      <c r="Y714" s="41"/>
      <c r="Z714" s="42"/>
      <c r="AA714" s="43"/>
      <c r="AB714" s="44"/>
      <c r="AC714" s="45"/>
      <c r="AD714" s="114" t="str">
        <f t="shared" si="28"/>
        <v/>
      </c>
    </row>
    <row r="715" spans="15:30" x14ac:dyDescent="0.35">
      <c r="O715" t="str">
        <f t="shared" si="29"/>
        <v/>
      </c>
      <c r="P715" s="18"/>
      <c r="Q715" s="61"/>
      <c r="R715" s="118"/>
      <c r="S715" s="61"/>
      <c r="T715" s="66"/>
      <c r="U715" s="66"/>
      <c r="V715" s="38"/>
      <c r="W715" s="39"/>
      <c r="X715" s="40"/>
      <c r="Y715" s="41"/>
      <c r="Z715" s="42"/>
      <c r="AA715" s="43"/>
      <c r="AB715" s="44"/>
      <c r="AC715" s="45"/>
      <c r="AD715" s="114" t="str">
        <f t="shared" si="28"/>
        <v/>
      </c>
    </row>
    <row r="716" spans="15:30" x14ac:dyDescent="0.35">
      <c r="O716" t="str">
        <f t="shared" si="29"/>
        <v/>
      </c>
      <c r="P716" s="18"/>
      <c r="Q716" s="61"/>
      <c r="R716" s="61"/>
      <c r="S716" s="61"/>
      <c r="T716" s="66"/>
      <c r="U716" s="66"/>
      <c r="V716" s="38"/>
      <c r="W716" s="39"/>
      <c r="X716" s="40"/>
      <c r="Y716" s="41"/>
      <c r="Z716" s="42"/>
      <c r="AA716" s="43"/>
      <c r="AB716" s="44"/>
      <c r="AC716" s="45"/>
      <c r="AD716" s="114" t="str">
        <f t="shared" si="28"/>
        <v/>
      </c>
    </row>
    <row r="717" spans="15:30" x14ac:dyDescent="0.35">
      <c r="O717" t="str">
        <f t="shared" si="29"/>
        <v/>
      </c>
      <c r="P717" s="62"/>
      <c r="Q717" s="118"/>
      <c r="R717" s="118"/>
      <c r="S717" s="61"/>
      <c r="T717" s="66"/>
      <c r="U717" s="66"/>
      <c r="V717" s="38"/>
      <c r="W717" s="39"/>
      <c r="X717" s="40"/>
      <c r="Y717" s="41"/>
      <c r="Z717" s="42"/>
      <c r="AA717" s="43"/>
      <c r="AB717" s="44"/>
      <c r="AC717" s="45"/>
      <c r="AD717" s="114" t="str">
        <f t="shared" si="28"/>
        <v/>
      </c>
    </row>
    <row r="718" spans="15:30" x14ac:dyDescent="0.35">
      <c r="O718" t="str">
        <f t="shared" si="29"/>
        <v/>
      </c>
      <c r="P718" s="18"/>
      <c r="Q718" s="61"/>
      <c r="R718" s="61"/>
      <c r="S718" s="61"/>
      <c r="T718" s="66"/>
      <c r="U718" s="66"/>
      <c r="V718" s="38"/>
      <c r="W718" s="39"/>
      <c r="X718" s="40"/>
      <c r="Y718" s="41"/>
      <c r="Z718" s="42"/>
      <c r="AA718" s="43"/>
      <c r="AB718" s="44"/>
      <c r="AC718" s="45"/>
      <c r="AD718" s="114" t="str">
        <f t="shared" si="28"/>
        <v/>
      </c>
    </row>
    <row r="719" spans="15:30" x14ac:dyDescent="0.35">
      <c r="O719" t="str">
        <f t="shared" si="29"/>
        <v/>
      </c>
      <c r="P719" s="18"/>
      <c r="Q719" s="61"/>
      <c r="R719" s="61"/>
      <c r="S719" s="61"/>
      <c r="T719" s="66"/>
      <c r="U719" s="66"/>
      <c r="V719" s="38"/>
      <c r="W719" s="39"/>
      <c r="X719" s="40"/>
      <c r="Y719" s="41"/>
      <c r="Z719" s="42"/>
      <c r="AA719" s="43"/>
      <c r="AB719" s="44"/>
      <c r="AC719" s="45"/>
      <c r="AD719" s="114" t="str">
        <f t="shared" si="28"/>
        <v/>
      </c>
    </row>
    <row r="720" spans="15:30" x14ac:dyDescent="0.35">
      <c r="O720" t="str">
        <f t="shared" si="29"/>
        <v/>
      </c>
      <c r="P720" s="18"/>
      <c r="Q720" s="61"/>
      <c r="R720" s="118"/>
      <c r="S720" s="61"/>
      <c r="T720" s="66"/>
      <c r="U720" s="66"/>
      <c r="V720" s="38"/>
      <c r="W720" s="39"/>
      <c r="X720" s="40"/>
      <c r="Y720" s="41"/>
      <c r="Z720" s="42"/>
      <c r="AA720" s="43"/>
      <c r="AB720" s="44"/>
      <c r="AC720" s="45"/>
      <c r="AD720" s="114" t="str">
        <f t="shared" si="28"/>
        <v/>
      </c>
    </row>
    <row r="721" spans="15:30" x14ac:dyDescent="0.35">
      <c r="O721" t="str">
        <f t="shared" si="29"/>
        <v/>
      </c>
      <c r="P721" s="18"/>
      <c r="Q721" s="61"/>
      <c r="R721" s="118"/>
      <c r="S721" s="61"/>
      <c r="T721" s="66"/>
      <c r="U721" s="66"/>
      <c r="V721" s="38"/>
      <c r="W721" s="39"/>
      <c r="X721" s="40"/>
      <c r="Y721" s="41"/>
      <c r="Z721" s="42"/>
      <c r="AA721" s="43"/>
      <c r="AB721" s="44"/>
      <c r="AC721" s="45"/>
      <c r="AD721" s="114" t="str">
        <f t="shared" si="28"/>
        <v/>
      </c>
    </row>
    <row r="722" spans="15:30" x14ac:dyDescent="0.35">
      <c r="O722" t="str">
        <f t="shared" si="29"/>
        <v/>
      </c>
      <c r="P722" s="18"/>
      <c r="Q722" s="61"/>
      <c r="R722" s="61"/>
      <c r="S722" s="61"/>
      <c r="T722" s="66"/>
      <c r="U722" s="66"/>
      <c r="V722" s="38"/>
      <c r="W722" s="39"/>
      <c r="X722" s="40"/>
      <c r="Y722" s="41"/>
      <c r="Z722" s="42"/>
      <c r="AA722" s="43"/>
      <c r="AB722" s="44"/>
      <c r="AC722" s="45"/>
      <c r="AD722" s="114" t="str">
        <f t="shared" si="28"/>
        <v/>
      </c>
    </row>
    <row r="723" spans="15:30" x14ac:dyDescent="0.35">
      <c r="O723" t="str">
        <f t="shared" si="29"/>
        <v/>
      </c>
      <c r="P723" s="62"/>
      <c r="Q723" s="118"/>
      <c r="R723" s="61"/>
      <c r="S723" s="61"/>
      <c r="T723" s="66"/>
      <c r="U723" s="66"/>
      <c r="V723" s="38"/>
      <c r="W723" s="39"/>
      <c r="X723" s="40"/>
      <c r="Y723" s="41"/>
      <c r="Z723" s="42"/>
      <c r="AA723" s="43"/>
      <c r="AB723" s="44"/>
      <c r="AC723" s="45"/>
      <c r="AD723" s="114" t="str">
        <f t="shared" si="28"/>
        <v/>
      </c>
    </row>
    <row r="724" spans="15:30" x14ac:dyDescent="0.35">
      <c r="O724" t="str">
        <f t="shared" si="29"/>
        <v/>
      </c>
      <c r="P724" s="18"/>
      <c r="Q724" s="61"/>
      <c r="R724" s="61"/>
      <c r="S724" s="61"/>
      <c r="T724" s="66"/>
      <c r="U724" s="66"/>
      <c r="V724" s="38"/>
      <c r="W724" s="39"/>
      <c r="X724" s="40"/>
      <c r="Y724" s="41"/>
      <c r="Z724" s="42"/>
      <c r="AA724" s="43"/>
      <c r="AB724" s="44"/>
      <c r="AC724" s="45"/>
      <c r="AD724" s="114" t="str">
        <f t="shared" si="28"/>
        <v/>
      </c>
    </row>
    <row r="725" spans="15:30" x14ac:dyDescent="0.35">
      <c r="O725" t="str">
        <f t="shared" si="29"/>
        <v/>
      </c>
      <c r="P725" s="18"/>
      <c r="Q725" s="61"/>
      <c r="R725" s="61"/>
      <c r="S725" s="61"/>
      <c r="T725" s="66"/>
      <c r="U725" s="66"/>
      <c r="V725" s="38"/>
      <c r="W725" s="39"/>
      <c r="X725" s="40"/>
      <c r="Y725" s="41"/>
      <c r="Z725" s="42"/>
      <c r="AA725" s="43"/>
      <c r="AB725" s="44"/>
      <c r="AC725" s="45"/>
      <c r="AD725" s="114" t="str">
        <f t="shared" si="28"/>
        <v/>
      </c>
    </row>
    <row r="726" spans="15:30" x14ac:dyDescent="0.35">
      <c r="O726" t="str">
        <f t="shared" si="29"/>
        <v/>
      </c>
      <c r="P726" s="18"/>
      <c r="Q726" s="61"/>
      <c r="R726" s="61"/>
      <c r="S726" s="61"/>
      <c r="T726" s="66"/>
      <c r="U726" s="66"/>
      <c r="V726" s="38"/>
      <c r="W726" s="39"/>
      <c r="X726" s="40"/>
      <c r="Y726" s="41"/>
      <c r="Z726" s="42"/>
      <c r="AA726" s="43"/>
      <c r="AB726" s="44"/>
      <c r="AC726" s="45"/>
      <c r="AD726" s="114" t="str">
        <f t="shared" si="28"/>
        <v/>
      </c>
    </row>
    <row r="727" spans="15:30" x14ac:dyDescent="0.35">
      <c r="O727" t="str">
        <f t="shared" si="29"/>
        <v/>
      </c>
      <c r="P727" s="18"/>
      <c r="Q727" s="61"/>
      <c r="R727" s="61"/>
      <c r="S727" s="61"/>
      <c r="T727" s="66"/>
      <c r="U727" s="66"/>
      <c r="V727" s="38"/>
      <c r="W727" s="39"/>
      <c r="X727" s="40"/>
      <c r="Y727" s="41"/>
      <c r="Z727" s="42"/>
      <c r="AA727" s="43"/>
      <c r="AB727" s="44"/>
      <c r="AC727" s="45"/>
      <c r="AD727" s="114" t="str">
        <f t="shared" si="28"/>
        <v/>
      </c>
    </row>
    <row r="728" spans="15:30" x14ac:dyDescent="0.35">
      <c r="O728" t="str">
        <f t="shared" si="29"/>
        <v/>
      </c>
      <c r="P728" s="18"/>
      <c r="Q728" s="61"/>
      <c r="R728" s="61"/>
      <c r="S728" s="61"/>
      <c r="T728" s="66"/>
      <c r="U728" s="66"/>
      <c r="V728" s="38"/>
      <c r="W728" s="39"/>
      <c r="X728" s="40"/>
      <c r="Y728" s="41"/>
      <c r="Z728" s="42"/>
      <c r="AA728" s="43"/>
      <c r="AB728" s="44"/>
      <c r="AC728" s="45"/>
      <c r="AD728" s="114" t="str">
        <f t="shared" si="28"/>
        <v/>
      </c>
    </row>
    <row r="729" spans="15:30" x14ac:dyDescent="0.35">
      <c r="O729" t="str">
        <f t="shared" si="29"/>
        <v/>
      </c>
      <c r="P729" s="18"/>
      <c r="Q729" s="61"/>
      <c r="R729" s="118"/>
      <c r="S729" s="61"/>
      <c r="T729" s="66"/>
      <c r="U729" s="66"/>
      <c r="V729" s="38"/>
      <c r="W729" s="39"/>
      <c r="X729" s="40"/>
      <c r="Y729" s="41"/>
      <c r="Z729" s="42"/>
      <c r="AA729" s="43"/>
      <c r="AB729" s="44"/>
      <c r="AC729" s="45"/>
      <c r="AD729" s="114" t="str">
        <f t="shared" si="28"/>
        <v/>
      </c>
    </row>
    <row r="730" spans="15:30" x14ac:dyDescent="0.35">
      <c r="O730" t="str">
        <f t="shared" si="29"/>
        <v/>
      </c>
      <c r="P730" s="18"/>
      <c r="Q730" s="61"/>
      <c r="R730" s="118"/>
      <c r="S730" s="61"/>
      <c r="T730" s="66"/>
      <c r="U730" s="66"/>
      <c r="V730" s="38"/>
      <c r="W730" s="39"/>
      <c r="X730" s="40"/>
      <c r="Y730" s="41"/>
      <c r="Z730" s="42"/>
      <c r="AA730" s="43"/>
      <c r="AB730" s="44"/>
      <c r="AC730" s="45"/>
      <c r="AD730" s="114" t="str">
        <f t="shared" si="28"/>
        <v/>
      </c>
    </row>
    <row r="731" spans="15:30" x14ac:dyDescent="0.35">
      <c r="O731" t="str">
        <f t="shared" si="29"/>
        <v/>
      </c>
      <c r="P731" s="18"/>
      <c r="Q731" s="61"/>
      <c r="R731" s="61"/>
      <c r="S731" s="61"/>
      <c r="T731" s="66"/>
      <c r="U731" s="66"/>
      <c r="V731" s="38"/>
      <c r="W731" s="39"/>
      <c r="X731" s="40"/>
      <c r="Y731" s="41"/>
      <c r="Z731" s="42"/>
      <c r="AA731" s="43"/>
      <c r="AB731" s="44"/>
      <c r="AC731" s="45"/>
      <c r="AD731" s="114" t="str">
        <f t="shared" si="28"/>
        <v/>
      </c>
    </row>
    <row r="732" spans="15:30" x14ac:dyDescent="0.35">
      <c r="O732" t="str">
        <f t="shared" si="29"/>
        <v/>
      </c>
      <c r="P732" s="18"/>
      <c r="Q732" s="61"/>
      <c r="R732" s="61"/>
      <c r="S732" s="61"/>
      <c r="T732" s="66"/>
      <c r="U732" s="66"/>
      <c r="V732" s="38"/>
      <c r="W732" s="39"/>
      <c r="X732" s="40"/>
      <c r="Y732" s="41"/>
      <c r="Z732" s="42"/>
      <c r="AA732" s="43"/>
      <c r="AB732" s="44"/>
      <c r="AC732" s="45"/>
      <c r="AD732" s="114" t="str">
        <f t="shared" si="28"/>
        <v/>
      </c>
    </row>
    <row r="733" spans="15:30" x14ac:dyDescent="0.35">
      <c r="O733" t="str">
        <f t="shared" si="29"/>
        <v/>
      </c>
      <c r="P733" s="18"/>
      <c r="Q733" s="61"/>
      <c r="R733" s="118"/>
      <c r="S733" s="61"/>
      <c r="T733" s="66"/>
      <c r="U733" s="66"/>
      <c r="V733" s="38"/>
      <c r="W733" s="39"/>
      <c r="X733" s="40"/>
      <c r="Y733" s="41"/>
      <c r="Z733" s="42"/>
      <c r="AA733" s="43"/>
      <c r="AB733" s="44"/>
      <c r="AC733" s="45"/>
      <c r="AD733" s="114" t="str">
        <f t="shared" si="28"/>
        <v/>
      </c>
    </row>
    <row r="734" spans="15:30" x14ac:dyDescent="0.35">
      <c r="O734" t="str">
        <f t="shared" si="29"/>
        <v/>
      </c>
      <c r="P734" s="18"/>
      <c r="Q734" s="61"/>
      <c r="R734" s="118"/>
      <c r="S734" s="61"/>
      <c r="T734" s="66"/>
      <c r="U734" s="66"/>
      <c r="V734" s="38"/>
      <c r="W734" s="39"/>
      <c r="X734" s="40"/>
      <c r="Y734" s="41"/>
      <c r="Z734" s="42"/>
      <c r="AA734" s="43"/>
      <c r="AB734" s="44"/>
      <c r="AC734" s="45"/>
      <c r="AD734" s="114" t="str">
        <f t="shared" si="28"/>
        <v/>
      </c>
    </row>
    <row r="735" spans="15:30" x14ac:dyDescent="0.35">
      <c r="O735" t="str">
        <f t="shared" si="29"/>
        <v/>
      </c>
      <c r="P735" s="18"/>
      <c r="Q735" s="61"/>
      <c r="R735" s="118"/>
      <c r="S735" s="61"/>
      <c r="T735" s="66"/>
      <c r="U735" s="66"/>
      <c r="V735" s="38"/>
      <c r="W735" s="39"/>
      <c r="X735" s="40"/>
      <c r="Y735" s="41"/>
      <c r="Z735" s="42"/>
      <c r="AA735" s="43"/>
      <c r="AB735" s="44"/>
      <c r="AC735" s="45"/>
      <c r="AD735" s="114" t="str">
        <f t="shared" si="28"/>
        <v/>
      </c>
    </row>
    <row r="736" spans="15:30" x14ac:dyDescent="0.35">
      <c r="O736" t="str">
        <f t="shared" si="29"/>
        <v/>
      </c>
      <c r="P736" s="18"/>
      <c r="Q736" s="61"/>
      <c r="R736" s="61"/>
      <c r="S736" s="61"/>
      <c r="T736" s="66"/>
      <c r="U736" s="66"/>
      <c r="V736" s="38"/>
      <c r="W736" s="39"/>
      <c r="X736" s="40"/>
      <c r="Y736" s="41"/>
      <c r="Z736" s="42"/>
      <c r="AA736" s="43"/>
      <c r="AB736" s="44"/>
      <c r="AC736" s="45"/>
      <c r="AD736" s="114" t="str">
        <f t="shared" si="28"/>
        <v/>
      </c>
    </row>
    <row r="737" spans="15:30" x14ac:dyDescent="0.35">
      <c r="O737" t="str">
        <f t="shared" si="29"/>
        <v/>
      </c>
      <c r="P737" s="18"/>
      <c r="Q737" s="61"/>
      <c r="R737" s="118"/>
      <c r="S737" s="61"/>
      <c r="T737" s="66"/>
      <c r="U737" s="66"/>
      <c r="V737" s="38"/>
      <c r="W737" s="39"/>
      <c r="X737" s="40"/>
      <c r="Y737" s="41"/>
      <c r="Z737" s="42"/>
      <c r="AA737" s="43"/>
      <c r="AB737" s="44"/>
      <c r="AC737" s="45"/>
      <c r="AD737" s="114" t="str">
        <f t="shared" si="28"/>
        <v/>
      </c>
    </row>
    <row r="738" spans="15:30" x14ac:dyDescent="0.35">
      <c r="O738" t="str">
        <f t="shared" si="29"/>
        <v/>
      </c>
      <c r="P738" s="18"/>
      <c r="Q738" s="61"/>
      <c r="R738" s="61"/>
      <c r="S738" s="61"/>
      <c r="T738" s="66"/>
      <c r="U738" s="66"/>
      <c r="V738" s="38"/>
      <c r="W738" s="39"/>
      <c r="X738" s="40"/>
      <c r="Y738" s="41"/>
      <c r="Z738" s="42"/>
      <c r="AA738" s="43"/>
      <c r="AB738" s="44"/>
      <c r="AC738" s="45"/>
      <c r="AD738" s="114" t="str">
        <f t="shared" si="28"/>
        <v/>
      </c>
    </row>
    <row r="739" spans="15:30" x14ac:dyDescent="0.35">
      <c r="O739" t="str">
        <f t="shared" si="29"/>
        <v/>
      </c>
      <c r="P739" s="18"/>
      <c r="Q739" s="61"/>
      <c r="R739" s="61"/>
      <c r="S739" s="61"/>
      <c r="T739" s="66"/>
      <c r="U739" s="66"/>
      <c r="V739" s="38"/>
      <c r="W739" s="39"/>
      <c r="X739" s="40"/>
      <c r="Y739" s="41"/>
      <c r="Z739" s="42"/>
      <c r="AA739" s="43"/>
      <c r="AB739" s="44"/>
      <c r="AC739" s="45"/>
      <c r="AD739" s="114" t="str">
        <f t="shared" si="28"/>
        <v/>
      </c>
    </row>
    <row r="740" spans="15:30" x14ac:dyDescent="0.35">
      <c r="O740" t="str">
        <f t="shared" si="29"/>
        <v/>
      </c>
      <c r="P740" s="18"/>
      <c r="Q740" s="61"/>
      <c r="R740" s="118"/>
      <c r="S740" s="61"/>
      <c r="T740" s="66"/>
      <c r="U740" s="66"/>
      <c r="V740" s="38"/>
      <c r="W740" s="39"/>
      <c r="X740" s="40"/>
      <c r="Y740" s="41"/>
      <c r="Z740" s="42"/>
      <c r="AA740" s="43"/>
      <c r="AB740" s="44"/>
      <c r="AC740" s="45"/>
      <c r="AD740" s="114" t="str">
        <f t="shared" si="28"/>
        <v/>
      </c>
    </row>
    <row r="741" spans="15:30" x14ac:dyDescent="0.35">
      <c r="O741" t="str">
        <f t="shared" si="29"/>
        <v/>
      </c>
      <c r="P741" s="18"/>
      <c r="Q741" s="61"/>
      <c r="R741" s="118"/>
      <c r="S741" s="61"/>
      <c r="T741" s="66"/>
      <c r="U741" s="66"/>
      <c r="V741" s="38"/>
      <c r="W741" s="39"/>
      <c r="X741" s="40"/>
      <c r="Y741" s="41"/>
      <c r="Z741" s="42"/>
      <c r="AA741" s="43"/>
      <c r="AB741" s="44"/>
      <c r="AC741" s="45"/>
      <c r="AD741" s="114" t="str">
        <f t="shared" si="28"/>
        <v/>
      </c>
    </row>
    <row r="742" spans="15:30" x14ac:dyDescent="0.35">
      <c r="O742" t="str">
        <f t="shared" si="29"/>
        <v/>
      </c>
      <c r="P742" s="62"/>
      <c r="Q742" s="118"/>
      <c r="R742" s="61"/>
      <c r="S742" s="61"/>
      <c r="T742" s="66"/>
      <c r="U742" s="66"/>
      <c r="V742" s="38"/>
      <c r="W742" s="39"/>
      <c r="X742" s="40"/>
      <c r="Y742" s="41"/>
      <c r="Z742" s="42"/>
      <c r="AA742" s="43"/>
      <c r="AB742" s="44"/>
      <c r="AC742" s="45"/>
      <c r="AD742" s="114" t="str">
        <f t="shared" si="28"/>
        <v/>
      </c>
    </row>
    <row r="743" spans="15:30" x14ac:dyDescent="0.35">
      <c r="O743" t="str">
        <f t="shared" si="29"/>
        <v/>
      </c>
      <c r="P743" s="18"/>
      <c r="Q743" s="61"/>
      <c r="R743" s="61"/>
      <c r="S743" s="61"/>
      <c r="T743" s="66"/>
      <c r="U743" s="66"/>
      <c r="V743" s="38"/>
      <c r="W743" s="39"/>
      <c r="X743" s="40"/>
      <c r="Y743" s="41"/>
      <c r="Z743" s="42"/>
      <c r="AA743" s="43"/>
      <c r="AB743" s="44"/>
      <c r="AC743" s="45"/>
      <c r="AD743" s="114" t="str">
        <f t="shared" si="28"/>
        <v/>
      </c>
    </row>
    <row r="744" spans="15:30" x14ac:dyDescent="0.35">
      <c r="O744" t="str">
        <f t="shared" si="29"/>
        <v/>
      </c>
      <c r="P744" s="18"/>
      <c r="Q744" s="61"/>
      <c r="R744" s="61"/>
      <c r="S744" s="61"/>
      <c r="T744" s="66"/>
      <c r="U744" s="66"/>
      <c r="V744" s="38"/>
      <c r="W744" s="39"/>
      <c r="X744" s="40"/>
      <c r="Y744" s="41"/>
      <c r="Z744" s="42"/>
      <c r="AA744" s="43"/>
      <c r="AB744" s="44"/>
      <c r="AC744" s="45"/>
      <c r="AD744" s="114" t="str">
        <f t="shared" si="28"/>
        <v/>
      </c>
    </row>
    <row r="745" spans="15:30" x14ac:dyDescent="0.35">
      <c r="O745" t="str">
        <f t="shared" si="29"/>
        <v/>
      </c>
      <c r="P745" s="18"/>
      <c r="Q745" s="61"/>
      <c r="R745" s="61"/>
      <c r="S745" s="61"/>
      <c r="T745" s="66"/>
      <c r="U745" s="66"/>
      <c r="V745" s="38"/>
      <c r="W745" s="39"/>
      <c r="X745" s="40"/>
      <c r="Y745" s="41"/>
      <c r="Z745" s="42"/>
      <c r="AA745" s="43"/>
      <c r="AB745" s="44"/>
      <c r="AC745" s="45"/>
      <c r="AD745" s="114" t="str">
        <f t="shared" si="28"/>
        <v/>
      </c>
    </row>
    <row r="746" spans="15:30" x14ac:dyDescent="0.35">
      <c r="O746" t="str">
        <f t="shared" si="29"/>
        <v/>
      </c>
      <c r="P746" s="18"/>
      <c r="Q746" s="61"/>
      <c r="R746" s="118"/>
      <c r="S746" s="61"/>
      <c r="T746" s="66"/>
      <c r="U746" s="66"/>
      <c r="V746" s="38"/>
      <c r="W746" s="39"/>
      <c r="X746" s="40"/>
      <c r="Y746" s="41"/>
      <c r="Z746" s="42"/>
      <c r="AA746" s="43"/>
      <c r="AB746" s="44"/>
      <c r="AC746" s="45"/>
      <c r="AD746" s="114" t="str">
        <f t="shared" si="28"/>
        <v/>
      </c>
    </row>
    <row r="747" spans="15:30" x14ac:dyDescent="0.35">
      <c r="O747" t="str">
        <f t="shared" si="29"/>
        <v/>
      </c>
      <c r="P747" s="18"/>
      <c r="Q747" s="61"/>
      <c r="R747" s="118"/>
      <c r="S747" s="61"/>
      <c r="T747" s="66"/>
      <c r="U747" s="66"/>
      <c r="V747" s="38"/>
      <c r="W747" s="39"/>
      <c r="X747" s="40"/>
      <c r="Y747" s="41"/>
      <c r="Z747" s="42"/>
      <c r="AA747" s="43"/>
      <c r="AB747" s="44"/>
      <c r="AC747" s="45"/>
      <c r="AD747" s="114" t="str">
        <f t="shared" si="28"/>
        <v/>
      </c>
    </row>
    <row r="748" spans="15:30" x14ac:dyDescent="0.35">
      <c r="O748" t="str">
        <f t="shared" si="29"/>
        <v/>
      </c>
      <c r="P748" s="62"/>
      <c r="Q748" s="118"/>
      <c r="R748" s="61"/>
      <c r="S748" s="61"/>
      <c r="T748" s="66"/>
      <c r="U748" s="66"/>
      <c r="V748" s="38"/>
      <c r="W748" s="39"/>
      <c r="X748" s="40"/>
      <c r="Y748" s="41"/>
      <c r="Z748" s="42"/>
      <c r="AA748" s="43"/>
      <c r="AB748" s="44"/>
      <c r="AC748" s="45"/>
      <c r="AD748" s="114" t="str">
        <f t="shared" si="28"/>
        <v/>
      </c>
    </row>
    <row r="749" spans="15:30" x14ac:dyDescent="0.35">
      <c r="O749" t="str">
        <f t="shared" si="29"/>
        <v/>
      </c>
      <c r="P749" s="18"/>
      <c r="Q749" s="61"/>
      <c r="R749" s="118"/>
      <c r="S749" s="61"/>
      <c r="T749" s="66"/>
      <c r="U749" s="66"/>
      <c r="V749" s="38"/>
      <c r="W749" s="39"/>
      <c r="X749" s="40"/>
      <c r="Y749" s="41"/>
      <c r="Z749" s="42"/>
      <c r="AA749" s="43"/>
      <c r="AB749" s="44"/>
      <c r="AC749" s="45"/>
      <c r="AD749" s="114" t="str">
        <f t="shared" si="28"/>
        <v/>
      </c>
    </row>
    <row r="750" spans="15:30" x14ac:dyDescent="0.35">
      <c r="O750" t="str">
        <f t="shared" si="29"/>
        <v/>
      </c>
      <c r="P750" s="18"/>
      <c r="Q750" s="61"/>
      <c r="R750" s="61"/>
      <c r="S750" s="61"/>
      <c r="T750" s="66"/>
      <c r="U750" s="66"/>
      <c r="V750" s="38"/>
      <c r="W750" s="39"/>
      <c r="X750" s="40"/>
      <c r="Y750" s="41"/>
      <c r="Z750" s="42"/>
      <c r="AA750" s="43"/>
      <c r="AB750" s="44"/>
      <c r="AC750" s="45"/>
      <c r="AD750" s="114" t="str">
        <f t="shared" si="28"/>
        <v/>
      </c>
    </row>
    <row r="751" spans="15:30" x14ac:dyDescent="0.35">
      <c r="O751" t="str">
        <f t="shared" si="29"/>
        <v/>
      </c>
      <c r="P751" s="18"/>
      <c r="Q751" s="61"/>
      <c r="R751" s="118"/>
      <c r="S751" s="61"/>
      <c r="T751" s="66"/>
      <c r="U751" s="66"/>
      <c r="V751" s="38"/>
      <c r="W751" s="39"/>
      <c r="X751" s="40"/>
      <c r="Y751" s="41"/>
      <c r="Z751" s="42"/>
      <c r="AA751" s="43"/>
      <c r="AB751" s="44"/>
      <c r="AC751" s="45"/>
      <c r="AD751" s="114" t="str">
        <f t="shared" si="28"/>
        <v/>
      </c>
    </row>
    <row r="752" spans="15:30" x14ac:dyDescent="0.35">
      <c r="O752" t="str">
        <f t="shared" si="29"/>
        <v/>
      </c>
      <c r="P752" s="18"/>
      <c r="Q752" s="61"/>
      <c r="R752" s="61"/>
      <c r="S752" s="61"/>
      <c r="T752" s="66"/>
      <c r="U752" s="66"/>
      <c r="V752" s="38"/>
      <c r="W752" s="39"/>
      <c r="X752" s="40"/>
      <c r="Y752" s="41"/>
      <c r="Z752" s="42"/>
      <c r="AA752" s="43"/>
      <c r="AB752" s="44"/>
      <c r="AC752" s="45"/>
      <c r="AD752" s="114" t="str">
        <f t="shared" si="28"/>
        <v/>
      </c>
    </row>
    <row r="753" spans="15:30" x14ac:dyDescent="0.35">
      <c r="O753" t="str">
        <f t="shared" si="29"/>
        <v/>
      </c>
      <c r="P753" s="18"/>
      <c r="Q753" s="61"/>
      <c r="R753" s="118"/>
      <c r="S753" s="61"/>
      <c r="T753" s="66"/>
      <c r="U753" s="66"/>
      <c r="V753" s="38"/>
      <c r="W753" s="39"/>
      <c r="X753" s="40"/>
      <c r="Y753" s="41"/>
      <c r="Z753" s="42"/>
      <c r="AA753" s="43"/>
      <c r="AB753" s="44"/>
      <c r="AC753" s="45"/>
      <c r="AD753" s="114" t="str">
        <f t="shared" si="28"/>
        <v/>
      </c>
    </row>
    <row r="754" spans="15:30" x14ac:dyDescent="0.35">
      <c r="O754" t="str">
        <f t="shared" si="29"/>
        <v/>
      </c>
      <c r="P754" s="18"/>
      <c r="Q754" s="61"/>
      <c r="R754" s="118"/>
      <c r="S754" s="61"/>
      <c r="T754" s="66"/>
      <c r="U754" s="66"/>
      <c r="V754" s="38"/>
      <c r="W754" s="39"/>
      <c r="X754" s="40"/>
      <c r="Y754" s="41"/>
      <c r="Z754" s="42"/>
      <c r="AA754" s="43"/>
      <c r="AB754" s="44"/>
      <c r="AC754" s="45"/>
      <c r="AD754" s="114" t="str">
        <f t="shared" si="28"/>
        <v/>
      </c>
    </row>
    <row r="755" spans="15:30" x14ac:dyDescent="0.35">
      <c r="O755" t="str">
        <f t="shared" si="29"/>
        <v/>
      </c>
      <c r="P755" s="18"/>
      <c r="Q755" s="61"/>
      <c r="R755" s="118"/>
      <c r="S755" s="61"/>
      <c r="T755" s="66"/>
      <c r="U755" s="66"/>
      <c r="V755" s="38"/>
      <c r="W755" s="39"/>
      <c r="X755" s="40"/>
      <c r="Y755" s="41"/>
      <c r="Z755" s="42"/>
      <c r="AA755" s="43"/>
      <c r="AB755" s="44"/>
      <c r="AC755" s="45"/>
      <c r="AD755" s="114" t="str">
        <f t="shared" si="28"/>
        <v/>
      </c>
    </row>
    <row r="756" spans="15:30" x14ac:dyDescent="0.35">
      <c r="O756" t="str">
        <f t="shared" si="29"/>
        <v/>
      </c>
      <c r="P756" s="18"/>
      <c r="Q756" s="61"/>
      <c r="R756" s="118"/>
      <c r="S756" s="61"/>
      <c r="T756" s="66"/>
      <c r="U756" s="66"/>
      <c r="V756" s="38"/>
      <c r="W756" s="39"/>
      <c r="X756" s="40"/>
      <c r="Y756" s="41"/>
      <c r="Z756" s="42"/>
      <c r="AA756" s="43"/>
      <c r="AB756" s="44"/>
      <c r="AC756" s="45"/>
      <c r="AD756" s="114" t="str">
        <f t="shared" si="28"/>
        <v/>
      </c>
    </row>
    <row r="757" spans="15:30" x14ac:dyDescent="0.35">
      <c r="O757" t="str">
        <f t="shared" si="29"/>
        <v/>
      </c>
      <c r="P757" s="18"/>
      <c r="Q757" s="61"/>
      <c r="R757" s="118"/>
      <c r="S757" s="61"/>
      <c r="T757" s="66"/>
      <c r="U757" s="66"/>
      <c r="V757" s="38"/>
      <c r="W757" s="39"/>
      <c r="X757" s="40"/>
      <c r="Y757" s="41"/>
      <c r="Z757" s="42"/>
      <c r="AA757" s="43"/>
      <c r="AB757" s="44"/>
      <c r="AC757" s="45"/>
      <c r="AD757" s="114" t="str">
        <f t="shared" si="28"/>
        <v/>
      </c>
    </row>
    <row r="758" spans="15:30" x14ac:dyDescent="0.35">
      <c r="O758" t="str">
        <f t="shared" si="29"/>
        <v/>
      </c>
      <c r="P758" s="18"/>
      <c r="Q758" s="61"/>
      <c r="R758" s="61"/>
      <c r="S758" s="61"/>
      <c r="T758" s="66"/>
      <c r="U758" s="66"/>
      <c r="V758" s="38"/>
      <c r="W758" s="39"/>
      <c r="X758" s="40"/>
      <c r="Y758" s="41"/>
      <c r="Z758" s="42"/>
      <c r="AA758" s="43"/>
      <c r="AB758" s="44"/>
      <c r="AC758" s="45"/>
      <c r="AD758" s="114" t="str">
        <f t="shared" si="28"/>
        <v/>
      </c>
    </row>
    <row r="759" spans="15:30" x14ac:dyDescent="0.35">
      <c r="O759" t="str">
        <f t="shared" si="29"/>
        <v/>
      </c>
      <c r="P759" s="18"/>
      <c r="Q759" s="61"/>
      <c r="R759" s="61"/>
      <c r="S759" s="61"/>
      <c r="T759" s="66"/>
      <c r="U759" s="66"/>
      <c r="V759" s="38"/>
      <c r="W759" s="39"/>
      <c r="X759" s="40"/>
      <c r="Y759" s="41"/>
      <c r="Z759" s="42"/>
      <c r="AA759" s="43"/>
      <c r="AB759" s="44"/>
      <c r="AC759" s="45"/>
      <c r="AD759" s="114" t="str">
        <f t="shared" si="28"/>
        <v/>
      </c>
    </row>
    <row r="760" spans="15:30" x14ac:dyDescent="0.35">
      <c r="O760" t="str">
        <f t="shared" si="29"/>
        <v/>
      </c>
      <c r="P760" s="18"/>
      <c r="Q760" s="61"/>
      <c r="R760" s="118"/>
      <c r="S760" s="61"/>
      <c r="T760" s="66"/>
      <c r="U760" s="66"/>
      <c r="V760" s="38"/>
      <c r="W760" s="39"/>
      <c r="X760" s="40"/>
      <c r="Y760" s="41"/>
      <c r="Z760" s="42"/>
      <c r="AA760" s="43"/>
      <c r="AB760" s="44"/>
      <c r="AC760" s="45"/>
      <c r="AD760" s="114" t="str">
        <f t="shared" si="28"/>
        <v/>
      </c>
    </row>
    <row r="761" spans="15:30" x14ac:dyDescent="0.35">
      <c r="O761" t="str">
        <f t="shared" si="29"/>
        <v/>
      </c>
      <c r="P761" s="62"/>
      <c r="Q761" s="118"/>
      <c r="R761" s="118"/>
      <c r="S761" s="61"/>
      <c r="T761" s="66"/>
      <c r="U761" s="66"/>
      <c r="V761" s="38"/>
      <c r="W761" s="39"/>
      <c r="X761" s="40"/>
      <c r="Y761" s="41"/>
      <c r="Z761" s="42"/>
      <c r="AA761" s="43"/>
      <c r="AB761" s="44"/>
      <c r="AC761" s="45"/>
      <c r="AD761" s="114" t="str">
        <f t="shared" si="28"/>
        <v/>
      </c>
    </row>
    <row r="762" spans="15:30" x14ac:dyDescent="0.35">
      <c r="O762" t="str">
        <f t="shared" si="29"/>
        <v/>
      </c>
      <c r="P762" s="18"/>
      <c r="Q762" s="61"/>
      <c r="R762" s="61"/>
      <c r="S762" s="61"/>
      <c r="T762" s="66"/>
      <c r="U762" s="66"/>
      <c r="V762" s="38"/>
      <c r="W762" s="39"/>
      <c r="X762" s="40"/>
      <c r="Y762" s="41"/>
      <c r="Z762" s="42"/>
      <c r="AA762" s="43"/>
      <c r="AB762" s="44"/>
      <c r="AC762" s="45"/>
      <c r="AD762" s="114" t="str">
        <f t="shared" si="28"/>
        <v/>
      </c>
    </row>
    <row r="763" spans="15:30" x14ac:dyDescent="0.35">
      <c r="O763" t="str">
        <f t="shared" si="29"/>
        <v/>
      </c>
      <c r="P763" s="18"/>
      <c r="Q763" s="61"/>
      <c r="R763" s="61"/>
      <c r="S763" s="61"/>
      <c r="T763" s="66"/>
      <c r="U763" s="66"/>
      <c r="V763" s="38"/>
      <c r="W763" s="39"/>
      <c r="X763" s="40"/>
      <c r="Y763" s="41"/>
      <c r="Z763" s="42"/>
      <c r="AA763" s="43"/>
      <c r="AB763" s="44"/>
      <c r="AC763" s="45"/>
      <c r="AD763" s="114" t="str">
        <f t="shared" si="28"/>
        <v/>
      </c>
    </row>
    <row r="764" spans="15:30" x14ac:dyDescent="0.35">
      <c r="O764" t="str">
        <f t="shared" si="29"/>
        <v/>
      </c>
      <c r="P764" s="18"/>
      <c r="Q764" s="61"/>
      <c r="R764" s="118"/>
      <c r="S764" s="61"/>
      <c r="T764" s="66"/>
      <c r="U764" s="66"/>
      <c r="V764" s="38"/>
      <c r="W764" s="39"/>
      <c r="X764" s="40"/>
      <c r="Y764" s="41"/>
      <c r="Z764" s="42"/>
      <c r="AA764" s="43"/>
      <c r="AB764" s="44"/>
      <c r="AC764" s="45"/>
      <c r="AD764" s="114" t="str">
        <f t="shared" si="28"/>
        <v/>
      </c>
    </row>
    <row r="765" spans="15:30" x14ac:dyDescent="0.35">
      <c r="O765" t="str">
        <f t="shared" si="29"/>
        <v/>
      </c>
      <c r="P765" s="18"/>
      <c r="Q765" s="61"/>
      <c r="R765" s="118"/>
      <c r="S765" s="61"/>
      <c r="T765" s="66"/>
      <c r="U765" s="66"/>
      <c r="V765" s="38"/>
      <c r="W765" s="39"/>
      <c r="X765" s="40"/>
      <c r="Y765" s="41"/>
      <c r="Z765" s="42"/>
      <c r="AA765" s="43"/>
      <c r="AB765" s="44"/>
      <c r="AC765" s="45"/>
      <c r="AD765" s="114" t="str">
        <f t="shared" si="28"/>
        <v/>
      </c>
    </row>
    <row r="766" spans="15:30" x14ac:dyDescent="0.35">
      <c r="O766" t="str">
        <f t="shared" si="29"/>
        <v/>
      </c>
      <c r="P766" s="18"/>
      <c r="Q766" s="61"/>
      <c r="R766" s="118"/>
      <c r="S766" s="61"/>
      <c r="T766" s="66"/>
      <c r="U766" s="66"/>
      <c r="V766" s="38"/>
      <c r="W766" s="39"/>
      <c r="X766" s="40"/>
      <c r="Y766" s="41"/>
      <c r="Z766" s="42"/>
      <c r="AA766" s="43"/>
      <c r="AB766" s="44"/>
      <c r="AC766" s="45"/>
      <c r="AD766" s="114" t="str">
        <f t="shared" si="28"/>
        <v/>
      </c>
    </row>
    <row r="767" spans="15:30" x14ac:dyDescent="0.35">
      <c r="O767" t="str">
        <f t="shared" si="29"/>
        <v/>
      </c>
      <c r="P767" s="18"/>
      <c r="Q767" s="61"/>
      <c r="R767" s="61"/>
      <c r="S767" s="61"/>
      <c r="T767" s="66"/>
      <c r="U767" s="66"/>
      <c r="V767" s="38"/>
      <c r="W767" s="39"/>
      <c r="X767" s="40"/>
      <c r="Y767" s="41"/>
      <c r="Z767" s="42"/>
      <c r="AA767" s="43"/>
      <c r="AB767" s="44"/>
      <c r="AC767" s="45"/>
      <c r="AD767" s="114" t="str">
        <f t="shared" si="28"/>
        <v/>
      </c>
    </row>
    <row r="768" spans="15:30" x14ac:dyDescent="0.35">
      <c r="O768" t="str">
        <f t="shared" si="29"/>
        <v/>
      </c>
      <c r="P768" s="18"/>
      <c r="Q768" s="61"/>
      <c r="R768" s="61"/>
      <c r="S768" s="61"/>
      <c r="T768" s="66"/>
      <c r="U768" s="66"/>
      <c r="V768" s="38"/>
      <c r="W768" s="39"/>
      <c r="X768" s="40"/>
      <c r="Y768" s="41"/>
      <c r="Z768" s="42"/>
      <c r="AA768" s="43"/>
      <c r="AB768" s="44"/>
      <c r="AC768" s="45"/>
      <c r="AD768" s="114" t="str">
        <f t="shared" si="28"/>
        <v/>
      </c>
    </row>
    <row r="769" spans="15:30" x14ac:dyDescent="0.35">
      <c r="O769" t="str">
        <f t="shared" si="29"/>
        <v/>
      </c>
      <c r="P769" s="18"/>
      <c r="Q769" s="61"/>
      <c r="R769" s="118"/>
      <c r="S769" s="61"/>
      <c r="T769" s="66"/>
      <c r="U769" s="66"/>
      <c r="V769" s="38"/>
      <c r="W769" s="39"/>
      <c r="X769" s="40"/>
      <c r="Y769" s="41"/>
      <c r="Z769" s="42"/>
      <c r="AA769" s="43"/>
      <c r="AB769" s="44"/>
      <c r="AC769" s="45"/>
      <c r="AD769" s="114" t="str">
        <f t="shared" si="28"/>
        <v/>
      </c>
    </row>
    <row r="770" spans="15:30" x14ac:dyDescent="0.35">
      <c r="O770" t="str">
        <f t="shared" si="29"/>
        <v/>
      </c>
      <c r="P770" s="18"/>
      <c r="Q770" s="61"/>
      <c r="R770" s="118"/>
      <c r="S770" s="61"/>
      <c r="T770" s="66"/>
      <c r="U770" s="66"/>
      <c r="V770" s="38"/>
      <c r="W770" s="39"/>
      <c r="X770" s="40"/>
      <c r="Y770" s="41"/>
      <c r="Z770" s="42"/>
      <c r="AA770" s="43"/>
      <c r="AB770" s="44"/>
      <c r="AC770" s="45"/>
      <c r="AD770" s="114" t="str">
        <f t="shared" ref="AD770:AD833" si="30">IF(P770="","",AC770/6)</f>
        <v/>
      </c>
    </row>
    <row r="771" spans="15:30" x14ac:dyDescent="0.35">
      <c r="O771" t="str">
        <f t="shared" si="29"/>
        <v/>
      </c>
      <c r="P771" s="18"/>
      <c r="Q771" s="61"/>
      <c r="R771" s="61"/>
      <c r="S771" s="61"/>
      <c r="T771" s="66"/>
      <c r="U771" s="66"/>
      <c r="V771" s="38"/>
      <c r="W771" s="39"/>
      <c r="X771" s="40"/>
      <c r="Y771" s="41"/>
      <c r="Z771" s="42"/>
      <c r="AA771" s="43"/>
      <c r="AB771" s="44"/>
      <c r="AC771" s="45"/>
      <c r="AD771" s="114" t="str">
        <f t="shared" si="30"/>
        <v/>
      </c>
    </row>
    <row r="772" spans="15:30" x14ac:dyDescent="0.35">
      <c r="O772" t="str">
        <f t="shared" ref="O772:O835" si="31">IF(P772="","",O771+1)</f>
        <v/>
      </c>
      <c r="P772" s="18"/>
      <c r="Q772" s="61"/>
      <c r="R772" s="61"/>
      <c r="S772" s="61"/>
      <c r="T772" s="66"/>
      <c r="U772" s="66"/>
      <c r="V772" s="38"/>
      <c r="W772" s="39"/>
      <c r="X772" s="40"/>
      <c r="Y772" s="41"/>
      <c r="Z772" s="42"/>
      <c r="AA772" s="43"/>
      <c r="AB772" s="44"/>
      <c r="AC772" s="45"/>
      <c r="AD772" s="114" t="str">
        <f t="shared" si="30"/>
        <v/>
      </c>
    </row>
    <row r="773" spans="15:30" x14ac:dyDescent="0.35">
      <c r="O773" t="str">
        <f t="shared" si="31"/>
        <v/>
      </c>
      <c r="P773" s="18"/>
      <c r="Q773" s="61"/>
      <c r="R773" s="61"/>
      <c r="S773" s="61"/>
      <c r="T773" s="66"/>
      <c r="U773" s="66"/>
      <c r="V773" s="38"/>
      <c r="W773" s="39"/>
      <c r="X773" s="40"/>
      <c r="Y773" s="41"/>
      <c r="Z773" s="42"/>
      <c r="AA773" s="43"/>
      <c r="AB773" s="44"/>
      <c r="AC773" s="45"/>
      <c r="AD773" s="114" t="str">
        <f t="shared" si="30"/>
        <v/>
      </c>
    </row>
    <row r="774" spans="15:30" x14ac:dyDescent="0.35">
      <c r="O774" t="str">
        <f t="shared" si="31"/>
        <v/>
      </c>
      <c r="P774" s="18"/>
      <c r="Q774" s="61"/>
      <c r="R774" s="61"/>
      <c r="S774" s="61"/>
      <c r="T774" s="66"/>
      <c r="U774" s="66"/>
      <c r="V774" s="38"/>
      <c r="W774" s="39"/>
      <c r="X774" s="40"/>
      <c r="Y774" s="41"/>
      <c r="Z774" s="42"/>
      <c r="AA774" s="43"/>
      <c r="AB774" s="44"/>
      <c r="AC774" s="45"/>
      <c r="AD774" s="114" t="str">
        <f t="shared" si="30"/>
        <v/>
      </c>
    </row>
    <row r="775" spans="15:30" x14ac:dyDescent="0.35">
      <c r="O775" t="str">
        <f t="shared" si="31"/>
        <v/>
      </c>
      <c r="P775" s="18"/>
      <c r="Q775" s="61"/>
      <c r="R775" s="61"/>
      <c r="S775" s="61"/>
      <c r="T775" s="66"/>
      <c r="U775" s="66"/>
      <c r="V775" s="38"/>
      <c r="W775" s="39"/>
      <c r="X775" s="40"/>
      <c r="Y775" s="41"/>
      <c r="Z775" s="42"/>
      <c r="AA775" s="43"/>
      <c r="AB775" s="44"/>
      <c r="AC775" s="45"/>
      <c r="AD775" s="114" t="str">
        <f t="shared" si="30"/>
        <v/>
      </c>
    </row>
    <row r="776" spans="15:30" x14ac:dyDescent="0.35">
      <c r="O776" t="str">
        <f t="shared" si="31"/>
        <v/>
      </c>
      <c r="P776" s="18"/>
      <c r="Q776" s="61"/>
      <c r="R776" s="118"/>
      <c r="S776" s="61"/>
      <c r="T776" s="66"/>
      <c r="U776" s="66"/>
      <c r="V776" s="38"/>
      <c r="W776" s="39"/>
      <c r="X776" s="40"/>
      <c r="Y776" s="41"/>
      <c r="Z776" s="42"/>
      <c r="AA776" s="43"/>
      <c r="AB776" s="44"/>
      <c r="AC776" s="45"/>
      <c r="AD776" s="114" t="str">
        <f t="shared" si="30"/>
        <v/>
      </c>
    </row>
    <row r="777" spans="15:30" x14ac:dyDescent="0.35">
      <c r="O777" t="str">
        <f t="shared" si="31"/>
        <v/>
      </c>
      <c r="P777" s="18"/>
      <c r="Q777" s="61"/>
      <c r="R777" s="61"/>
      <c r="S777" s="61"/>
      <c r="T777" s="66"/>
      <c r="U777" s="66"/>
      <c r="V777" s="38"/>
      <c r="W777" s="39"/>
      <c r="X777" s="40"/>
      <c r="Y777" s="41"/>
      <c r="Z777" s="42"/>
      <c r="AA777" s="43"/>
      <c r="AB777" s="44"/>
      <c r="AC777" s="45"/>
      <c r="AD777" s="114" t="str">
        <f t="shared" si="30"/>
        <v/>
      </c>
    </row>
    <row r="778" spans="15:30" x14ac:dyDescent="0.35">
      <c r="O778" t="str">
        <f t="shared" si="31"/>
        <v/>
      </c>
      <c r="P778" s="18"/>
      <c r="Q778" s="61"/>
      <c r="R778" s="118"/>
      <c r="S778" s="61"/>
      <c r="T778" s="66"/>
      <c r="U778" s="66"/>
      <c r="V778" s="38"/>
      <c r="W778" s="39"/>
      <c r="X778" s="40"/>
      <c r="Y778" s="41"/>
      <c r="Z778" s="42"/>
      <c r="AA778" s="43"/>
      <c r="AB778" s="44"/>
      <c r="AC778" s="45"/>
      <c r="AD778" s="114" t="str">
        <f t="shared" si="30"/>
        <v/>
      </c>
    </row>
    <row r="779" spans="15:30" x14ac:dyDescent="0.35">
      <c r="O779" t="str">
        <f t="shared" si="31"/>
        <v/>
      </c>
      <c r="P779" s="18"/>
      <c r="Q779" s="61"/>
      <c r="R779" s="118"/>
      <c r="S779" s="61"/>
      <c r="T779" s="66"/>
      <c r="U779" s="66"/>
      <c r="V779" s="38"/>
      <c r="W779" s="39"/>
      <c r="X779" s="40"/>
      <c r="Y779" s="41"/>
      <c r="Z779" s="42"/>
      <c r="AA779" s="43"/>
      <c r="AB779" s="44"/>
      <c r="AC779" s="45"/>
      <c r="AD779" s="114" t="str">
        <f t="shared" si="30"/>
        <v/>
      </c>
    </row>
    <row r="780" spans="15:30" x14ac:dyDescent="0.35">
      <c r="O780" t="str">
        <f t="shared" si="31"/>
        <v/>
      </c>
      <c r="P780" s="18"/>
      <c r="Q780" s="61"/>
      <c r="R780" s="118"/>
      <c r="S780" s="61"/>
      <c r="T780" s="66"/>
      <c r="U780" s="66"/>
      <c r="V780" s="38"/>
      <c r="W780" s="39"/>
      <c r="X780" s="40"/>
      <c r="Y780" s="41"/>
      <c r="Z780" s="42"/>
      <c r="AA780" s="43"/>
      <c r="AB780" s="44"/>
      <c r="AC780" s="45"/>
      <c r="AD780" s="114" t="str">
        <f t="shared" si="30"/>
        <v/>
      </c>
    </row>
    <row r="781" spans="15:30" x14ac:dyDescent="0.35">
      <c r="O781" t="str">
        <f t="shared" si="31"/>
        <v/>
      </c>
      <c r="P781" s="18"/>
      <c r="Q781" s="61"/>
      <c r="R781" s="118"/>
      <c r="S781" s="61"/>
      <c r="T781" s="66"/>
      <c r="U781" s="66"/>
      <c r="V781" s="38"/>
      <c r="W781" s="39"/>
      <c r="X781" s="40"/>
      <c r="Y781" s="41"/>
      <c r="Z781" s="42"/>
      <c r="AA781" s="43"/>
      <c r="AB781" s="44"/>
      <c r="AC781" s="45"/>
      <c r="AD781" s="114" t="str">
        <f t="shared" si="30"/>
        <v/>
      </c>
    </row>
    <row r="782" spans="15:30" x14ac:dyDescent="0.35">
      <c r="O782" t="str">
        <f t="shared" si="31"/>
        <v/>
      </c>
      <c r="P782" s="18"/>
      <c r="Q782" s="61"/>
      <c r="R782" s="118"/>
      <c r="S782" s="61"/>
      <c r="T782" s="66"/>
      <c r="U782" s="66"/>
      <c r="V782" s="38"/>
      <c r="W782" s="39"/>
      <c r="X782" s="40"/>
      <c r="Y782" s="41"/>
      <c r="Z782" s="42"/>
      <c r="AA782" s="43"/>
      <c r="AB782" s="44"/>
      <c r="AC782" s="45"/>
      <c r="AD782" s="114" t="str">
        <f t="shared" si="30"/>
        <v/>
      </c>
    </row>
    <row r="783" spans="15:30" x14ac:dyDescent="0.35">
      <c r="O783" t="str">
        <f t="shared" si="31"/>
        <v/>
      </c>
      <c r="P783" s="18"/>
      <c r="Q783" s="61"/>
      <c r="R783" s="61"/>
      <c r="S783" s="61"/>
      <c r="T783" s="66"/>
      <c r="U783" s="66"/>
      <c r="V783" s="38"/>
      <c r="W783" s="39"/>
      <c r="X783" s="40"/>
      <c r="Y783" s="41"/>
      <c r="Z783" s="42"/>
      <c r="AA783" s="43"/>
      <c r="AB783" s="44"/>
      <c r="AC783" s="45"/>
      <c r="AD783" s="114" t="str">
        <f t="shared" si="30"/>
        <v/>
      </c>
    </row>
    <row r="784" spans="15:30" x14ac:dyDescent="0.35">
      <c r="O784" t="str">
        <f t="shared" si="31"/>
        <v/>
      </c>
      <c r="P784" s="18"/>
      <c r="Q784" s="61"/>
      <c r="R784" s="118"/>
      <c r="S784" s="61"/>
      <c r="T784" s="66"/>
      <c r="U784" s="66"/>
      <c r="V784" s="38"/>
      <c r="W784" s="39"/>
      <c r="X784" s="40"/>
      <c r="Y784" s="41"/>
      <c r="Z784" s="42"/>
      <c r="AA784" s="43"/>
      <c r="AB784" s="44"/>
      <c r="AC784" s="45"/>
      <c r="AD784" s="114" t="str">
        <f t="shared" si="30"/>
        <v/>
      </c>
    </row>
    <row r="785" spans="15:30" x14ac:dyDescent="0.35">
      <c r="O785" t="str">
        <f t="shared" si="31"/>
        <v/>
      </c>
      <c r="P785" s="18"/>
      <c r="Q785" s="61"/>
      <c r="R785" s="118"/>
      <c r="S785" s="61"/>
      <c r="T785" s="66"/>
      <c r="U785" s="66"/>
      <c r="V785" s="38"/>
      <c r="W785" s="39"/>
      <c r="X785" s="40"/>
      <c r="Y785" s="41"/>
      <c r="Z785" s="42"/>
      <c r="AA785" s="43"/>
      <c r="AB785" s="44"/>
      <c r="AC785" s="45"/>
      <c r="AD785" s="114" t="str">
        <f t="shared" si="30"/>
        <v/>
      </c>
    </row>
    <row r="786" spans="15:30" x14ac:dyDescent="0.35">
      <c r="O786" t="str">
        <f t="shared" si="31"/>
        <v/>
      </c>
      <c r="P786" s="18"/>
      <c r="Q786" s="61"/>
      <c r="R786" s="118"/>
      <c r="S786" s="61"/>
      <c r="T786" s="66"/>
      <c r="U786" s="66"/>
      <c r="V786" s="38"/>
      <c r="W786" s="39"/>
      <c r="X786" s="40"/>
      <c r="Y786" s="41"/>
      <c r="Z786" s="42"/>
      <c r="AA786" s="43"/>
      <c r="AB786" s="44"/>
      <c r="AC786" s="45"/>
      <c r="AD786" s="114" t="str">
        <f t="shared" si="30"/>
        <v/>
      </c>
    </row>
    <row r="787" spans="15:30" x14ac:dyDescent="0.35">
      <c r="O787" t="str">
        <f t="shared" si="31"/>
        <v/>
      </c>
      <c r="P787" s="62"/>
      <c r="Q787" s="118"/>
      <c r="R787" s="61"/>
      <c r="S787" s="61"/>
      <c r="T787" s="66"/>
      <c r="U787" s="66"/>
      <c r="V787" s="38"/>
      <c r="W787" s="39"/>
      <c r="X787" s="40"/>
      <c r="Y787" s="41"/>
      <c r="Z787" s="42"/>
      <c r="AA787" s="43"/>
      <c r="AB787" s="44"/>
      <c r="AC787" s="45"/>
      <c r="AD787" s="114" t="str">
        <f t="shared" si="30"/>
        <v/>
      </c>
    </row>
    <row r="788" spans="15:30" x14ac:dyDescent="0.35">
      <c r="O788" t="str">
        <f t="shared" si="31"/>
        <v/>
      </c>
      <c r="P788" s="18"/>
      <c r="Q788" s="61"/>
      <c r="R788" s="118"/>
      <c r="S788" s="61"/>
      <c r="T788" s="66"/>
      <c r="U788" s="66"/>
      <c r="V788" s="38"/>
      <c r="W788" s="39"/>
      <c r="X788" s="40"/>
      <c r="Y788" s="41"/>
      <c r="Z788" s="42"/>
      <c r="AA788" s="43"/>
      <c r="AB788" s="44"/>
      <c r="AC788" s="45"/>
      <c r="AD788" s="114" t="str">
        <f t="shared" si="30"/>
        <v/>
      </c>
    </row>
    <row r="789" spans="15:30" x14ac:dyDescent="0.35">
      <c r="O789" t="str">
        <f t="shared" si="31"/>
        <v/>
      </c>
      <c r="P789" s="18"/>
      <c r="Q789" s="61"/>
      <c r="R789" s="118"/>
      <c r="S789" s="61"/>
      <c r="T789" s="66"/>
      <c r="U789" s="66"/>
      <c r="V789" s="38"/>
      <c r="W789" s="39"/>
      <c r="X789" s="40"/>
      <c r="Y789" s="41"/>
      <c r="Z789" s="42"/>
      <c r="AA789" s="43"/>
      <c r="AB789" s="44"/>
      <c r="AC789" s="45"/>
      <c r="AD789" s="114" t="str">
        <f t="shared" si="30"/>
        <v/>
      </c>
    </row>
    <row r="790" spans="15:30" x14ac:dyDescent="0.35">
      <c r="O790" t="str">
        <f t="shared" si="31"/>
        <v/>
      </c>
      <c r="P790" s="18"/>
      <c r="Q790" s="61"/>
      <c r="R790" s="61"/>
      <c r="S790" s="61"/>
      <c r="T790" s="66"/>
      <c r="U790" s="66"/>
      <c r="V790" s="38"/>
      <c r="W790" s="39"/>
      <c r="X790" s="40"/>
      <c r="Y790" s="41"/>
      <c r="Z790" s="42"/>
      <c r="AA790" s="43"/>
      <c r="AB790" s="44"/>
      <c r="AC790" s="45"/>
      <c r="AD790" s="114" t="str">
        <f t="shared" si="30"/>
        <v/>
      </c>
    </row>
    <row r="791" spans="15:30" x14ac:dyDescent="0.35">
      <c r="O791" t="str">
        <f t="shared" si="31"/>
        <v/>
      </c>
      <c r="P791" s="18"/>
      <c r="Q791" s="61"/>
      <c r="R791" s="118"/>
      <c r="S791" s="61"/>
      <c r="T791" s="66"/>
      <c r="U791" s="66"/>
      <c r="V791" s="38"/>
      <c r="W791" s="39"/>
      <c r="X791" s="40"/>
      <c r="Y791" s="41"/>
      <c r="Z791" s="42"/>
      <c r="AA791" s="43"/>
      <c r="AB791" s="44"/>
      <c r="AC791" s="45"/>
      <c r="AD791" s="114" t="str">
        <f t="shared" si="30"/>
        <v/>
      </c>
    </row>
    <row r="792" spans="15:30" x14ac:dyDescent="0.35">
      <c r="O792" t="str">
        <f t="shared" si="31"/>
        <v/>
      </c>
      <c r="P792" s="18"/>
      <c r="Q792" s="61"/>
      <c r="R792" s="118"/>
      <c r="S792" s="61"/>
      <c r="T792" s="66"/>
      <c r="U792" s="66"/>
      <c r="V792" s="38"/>
      <c r="W792" s="39"/>
      <c r="X792" s="40"/>
      <c r="Y792" s="41"/>
      <c r="Z792" s="42"/>
      <c r="AA792" s="43"/>
      <c r="AB792" s="44"/>
      <c r="AC792" s="45"/>
      <c r="AD792" s="114" t="str">
        <f t="shared" si="30"/>
        <v/>
      </c>
    </row>
    <row r="793" spans="15:30" x14ac:dyDescent="0.35">
      <c r="O793" t="str">
        <f t="shared" si="31"/>
        <v/>
      </c>
      <c r="P793" s="18"/>
      <c r="Q793" s="61"/>
      <c r="R793" s="118"/>
      <c r="S793" s="61"/>
      <c r="T793" s="66"/>
      <c r="U793" s="66"/>
      <c r="V793" s="38"/>
      <c r="W793" s="39"/>
      <c r="X793" s="40"/>
      <c r="Y793" s="41"/>
      <c r="Z793" s="42"/>
      <c r="AA793" s="43"/>
      <c r="AB793" s="44"/>
      <c r="AC793" s="45"/>
      <c r="AD793" s="114" t="str">
        <f t="shared" si="30"/>
        <v/>
      </c>
    </row>
    <row r="794" spans="15:30" x14ac:dyDescent="0.35">
      <c r="O794" t="str">
        <f t="shared" si="31"/>
        <v/>
      </c>
      <c r="P794" s="18"/>
      <c r="Q794" s="61"/>
      <c r="R794" s="118"/>
      <c r="S794" s="61"/>
      <c r="T794" s="66"/>
      <c r="U794" s="66"/>
      <c r="V794" s="38"/>
      <c r="W794" s="39"/>
      <c r="X794" s="40"/>
      <c r="Y794" s="41"/>
      <c r="Z794" s="42"/>
      <c r="AA794" s="43"/>
      <c r="AB794" s="44"/>
      <c r="AC794" s="45"/>
      <c r="AD794" s="114" t="str">
        <f t="shared" si="30"/>
        <v/>
      </c>
    </row>
    <row r="795" spans="15:30" x14ac:dyDescent="0.35">
      <c r="O795" t="str">
        <f t="shared" si="31"/>
        <v/>
      </c>
      <c r="P795" s="18"/>
      <c r="Q795" s="61"/>
      <c r="R795" s="118"/>
      <c r="S795" s="61"/>
      <c r="T795" s="66"/>
      <c r="U795" s="66"/>
      <c r="V795" s="38"/>
      <c r="W795" s="39"/>
      <c r="X795" s="40"/>
      <c r="Y795" s="41"/>
      <c r="Z795" s="42"/>
      <c r="AA795" s="43"/>
      <c r="AB795" s="44"/>
      <c r="AC795" s="45"/>
      <c r="AD795" s="114" t="str">
        <f t="shared" si="30"/>
        <v/>
      </c>
    </row>
    <row r="796" spans="15:30" x14ac:dyDescent="0.35">
      <c r="O796" t="str">
        <f t="shared" si="31"/>
        <v/>
      </c>
      <c r="P796" s="18"/>
      <c r="Q796" s="61"/>
      <c r="R796" s="61"/>
      <c r="S796" s="61"/>
      <c r="T796" s="66"/>
      <c r="U796" s="66"/>
      <c r="V796" s="38"/>
      <c r="W796" s="39"/>
      <c r="X796" s="40"/>
      <c r="Y796" s="41"/>
      <c r="Z796" s="42"/>
      <c r="AA796" s="43"/>
      <c r="AB796" s="44"/>
      <c r="AC796" s="45"/>
      <c r="AD796" s="114" t="str">
        <f t="shared" si="30"/>
        <v/>
      </c>
    </row>
    <row r="797" spans="15:30" x14ac:dyDescent="0.35">
      <c r="O797" t="str">
        <f t="shared" si="31"/>
        <v/>
      </c>
      <c r="P797" s="18"/>
      <c r="Q797" s="61"/>
      <c r="R797" s="118"/>
      <c r="S797" s="61"/>
      <c r="T797" s="66"/>
      <c r="U797" s="66"/>
      <c r="V797" s="38"/>
      <c r="W797" s="39"/>
      <c r="X797" s="40"/>
      <c r="Y797" s="41"/>
      <c r="Z797" s="42"/>
      <c r="AA797" s="43"/>
      <c r="AB797" s="44"/>
      <c r="AC797" s="45"/>
      <c r="AD797" s="114" t="str">
        <f t="shared" si="30"/>
        <v/>
      </c>
    </row>
    <row r="798" spans="15:30" x14ac:dyDescent="0.35">
      <c r="O798" t="str">
        <f t="shared" si="31"/>
        <v/>
      </c>
      <c r="P798" s="18"/>
      <c r="Q798" s="61"/>
      <c r="R798" s="61"/>
      <c r="S798" s="61"/>
      <c r="T798" s="66"/>
      <c r="U798" s="66"/>
      <c r="V798" s="38"/>
      <c r="W798" s="39"/>
      <c r="X798" s="40"/>
      <c r="Y798" s="41"/>
      <c r="Z798" s="42"/>
      <c r="AA798" s="43"/>
      <c r="AB798" s="44"/>
      <c r="AC798" s="45"/>
      <c r="AD798" s="114" t="str">
        <f t="shared" si="30"/>
        <v/>
      </c>
    </row>
    <row r="799" spans="15:30" x14ac:dyDescent="0.35">
      <c r="O799" t="str">
        <f t="shared" si="31"/>
        <v/>
      </c>
      <c r="P799" s="18"/>
      <c r="Q799" s="61"/>
      <c r="R799" s="118"/>
      <c r="S799" s="61"/>
      <c r="T799" s="66"/>
      <c r="U799" s="66"/>
      <c r="V799" s="38"/>
      <c r="W799" s="39"/>
      <c r="X799" s="40"/>
      <c r="Y799" s="41"/>
      <c r="Z799" s="42"/>
      <c r="AA799" s="43"/>
      <c r="AB799" s="44"/>
      <c r="AC799" s="45"/>
      <c r="AD799" s="114" t="str">
        <f t="shared" si="30"/>
        <v/>
      </c>
    </row>
    <row r="800" spans="15:30" x14ac:dyDescent="0.35">
      <c r="O800" t="str">
        <f t="shared" si="31"/>
        <v/>
      </c>
      <c r="P800" s="18"/>
      <c r="Q800" s="61"/>
      <c r="R800" s="61"/>
      <c r="S800" s="61"/>
      <c r="T800" s="66"/>
      <c r="U800" s="66"/>
      <c r="V800" s="38"/>
      <c r="W800" s="39"/>
      <c r="X800" s="40"/>
      <c r="Y800" s="41"/>
      <c r="Z800" s="42"/>
      <c r="AA800" s="43"/>
      <c r="AB800" s="44"/>
      <c r="AC800" s="45"/>
      <c r="AD800" s="114" t="str">
        <f t="shared" si="30"/>
        <v/>
      </c>
    </row>
    <row r="801" spans="8:30" x14ac:dyDescent="0.35">
      <c r="O801" t="str">
        <f t="shared" si="31"/>
        <v/>
      </c>
      <c r="P801" s="18"/>
      <c r="Q801" s="61"/>
      <c r="R801" s="118"/>
      <c r="S801" s="61"/>
      <c r="T801" s="66"/>
      <c r="U801" s="66"/>
      <c r="V801" s="38"/>
      <c r="W801" s="39"/>
      <c r="X801" s="40"/>
      <c r="Y801" s="41"/>
      <c r="Z801" s="42"/>
      <c r="AA801" s="43"/>
      <c r="AB801" s="44"/>
      <c r="AC801" s="45"/>
      <c r="AD801" s="114" t="str">
        <f t="shared" si="30"/>
        <v/>
      </c>
    </row>
    <row r="802" spans="8:30" x14ac:dyDescent="0.35">
      <c r="O802" t="str">
        <f t="shared" si="31"/>
        <v/>
      </c>
      <c r="P802" s="18"/>
      <c r="Q802" s="61"/>
      <c r="R802" s="61"/>
      <c r="S802" s="61"/>
      <c r="T802" s="66"/>
      <c r="U802" s="66"/>
      <c r="V802" s="38"/>
      <c r="W802" s="39"/>
      <c r="X802" s="40"/>
      <c r="Y802" s="41"/>
      <c r="Z802" s="42"/>
      <c r="AA802" s="43"/>
      <c r="AB802" s="44"/>
      <c r="AC802" s="45"/>
      <c r="AD802" s="114" t="str">
        <f t="shared" si="30"/>
        <v/>
      </c>
    </row>
    <row r="803" spans="8:30" x14ac:dyDescent="0.35">
      <c r="O803" t="str">
        <f t="shared" si="31"/>
        <v/>
      </c>
      <c r="P803" s="18"/>
      <c r="Q803" s="61"/>
      <c r="R803" s="118"/>
      <c r="S803" s="61"/>
      <c r="T803" s="66"/>
      <c r="U803" s="66"/>
      <c r="V803" s="38"/>
      <c r="W803" s="39"/>
      <c r="X803" s="40"/>
      <c r="Y803" s="41"/>
      <c r="Z803" s="42"/>
      <c r="AA803" s="43"/>
      <c r="AB803" s="44"/>
      <c r="AC803" s="45"/>
      <c r="AD803" s="114" t="str">
        <f t="shared" si="30"/>
        <v/>
      </c>
    </row>
    <row r="804" spans="8:30" x14ac:dyDescent="0.35">
      <c r="O804" t="str">
        <f t="shared" si="31"/>
        <v/>
      </c>
      <c r="P804" s="18"/>
      <c r="Q804" s="61"/>
      <c r="R804" s="61"/>
      <c r="S804" s="61"/>
      <c r="T804" s="66"/>
      <c r="U804" s="66"/>
      <c r="V804" s="38"/>
      <c r="W804" s="39"/>
      <c r="X804" s="40"/>
      <c r="Y804" s="41"/>
      <c r="Z804" s="42"/>
      <c r="AA804" s="43"/>
      <c r="AB804" s="44"/>
      <c r="AC804" s="45"/>
      <c r="AD804" s="114" t="str">
        <f t="shared" si="30"/>
        <v/>
      </c>
    </row>
    <row r="805" spans="8:30" x14ac:dyDescent="0.35">
      <c r="O805" t="str">
        <f t="shared" si="31"/>
        <v/>
      </c>
      <c r="P805" s="18"/>
      <c r="Q805" s="61"/>
      <c r="R805" s="61"/>
      <c r="S805" s="61"/>
      <c r="T805" s="66"/>
      <c r="U805" s="66"/>
      <c r="V805" s="38"/>
      <c r="W805" s="39"/>
      <c r="X805" s="40"/>
      <c r="Y805" s="41"/>
      <c r="Z805" s="42"/>
      <c r="AA805" s="43"/>
      <c r="AB805" s="44"/>
      <c r="AC805" s="45"/>
      <c r="AD805" s="114" t="str">
        <f t="shared" si="30"/>
        <v/>
      </c>
    </row>
    <row r="806" spans="8:30" x14ac:dyDescent="0.35">
      <c r="O806" t="str">
        <f t="shared" si="31"/>
        <v/>
      </c>
      <c r="P806" s="18"/>
      <c r="Q806" s="61"/>
      <c r="R806" s="61"/>
      <c r="S806" s="61"/>
      <c r="T806" s="66"/>
      <c r="U806" s="66"/>
      <c r="V806" s="38"/>
      <c r="W806" s="39"/>
      <c r="X806" s="40"/>
      <c r="Y806" s="41"/>
      <c r="Z806" s="42"/>
      <c r="AA806" s="43"/>
      <c r="AB806" s="44"/>
      <c r="AC806" s="45"/>
      <c r="AD806" s="114" t="str">
        <f t="shared" si="30"/>
        <v/>
      </c>
    </row>
    <row r="807" spans="8:30" x14ac:dyDescent="0.35">
      <c r="O807" t="str">
        <f t="shared" si="31"/>
        <v/>
      </c>
      <c r="P807" s="18"/>
      <c r="Q807" s="61"/>
      <c r="R807" s="61"/>
      <c r="S807" s="61"/>
      <c r="T807" s="66"/>
      <c r="U807" s="66"/>
      <c r="V807" s="38"/>
      <c r="W807" s="39"/>
      <c r="X807" s="40"/>
      <c r="Y807" s="41"/>
      <c r="Z807" s="42"/>
      <c r="AA807" s="43"/>
      <c r="AB807" s="44"/>
      <c r="AC807" s="45"/>
      <c r="AD807" s="114" t="str">
        <f t="shared" si="30"/>
        <v/>
      </c>
    </row>
    <row r="808" spans="8:30" x14ac:dyDescent="0.35">
      <c r="H808" s="68"/>
      <c r="I808" s="68"/>
      <c r="O808" t="str">
        <f t="shared" si="31"/>
        <v/>
      </c>
      <c r="P808" s="18"/>
      <c r="Q808" s="61"/>
      <c r="R808" s="61"/>
      <c r="S808" s="61"/>
      <c r="T808" s="66"/>
      <c r="U808" s="66"/>
      <c r="V808" s="38"/>
      <c r="W808" s="39"/>
      <c r="X808" s="40"/>
      <c r="Y808" s="41"/>
      <c r="Z808" s="42"/>
      <c r="AA808" s="43"/>
      <c r="AB808" s="44"/>
      <c r="AC808" s="45"/>
      <c r="AD808" s="114" t="str">
        <f t="shared" si="30"/>
        <v/>
      </c>
    </row>
    <row r="809" spans="8:30" x14ac:dyDescent="0.35">
      <c r="O809" t="str">
        <f t="shared" si="31"/>
        <v/>
      </c>
      <c r="P809" s="18"/>
      <c r="Q809" s="61"/>
      <c r="R809" s="118"/>
      <c r="S809" s="61"/>
      <c r="T809" s="66"/>
      <c r="U809" s="66"/>
      <c r="V809" s="38"/>
      <c r="W809" s="39"/>
      <c r="X809" s="40"/>
      <c r="Y809" s="41"/>
      <c r="Z809" s="42"/>
      <c r="AA809" s="43"/>
      <c r="AB809" s="44"/>
      <c r="AC809" s="45"/>
      <c r="AD809" s="114" t="str">
        <f t="shared" si="30"/>
        <v/>
      </c>
    </row>
    <row r="810" spans="8:30" x14ac:dyDescent="0.35">
      <c r="O810" t="str">
        <f t="shared" si="31"/>
        <v/>
      </c>
      <c r="P810" s="18"/>
      <c r="Q810" s="61"/>
      <c r="R810" s="118"/>
      <c r="S810" s="61"/>
      <c r="T810" s="66"/>
      <c r="U810" s="66"/>
      <c r="V810" s="38"/>
      <c r="W810" s="39"/>
      <c r="X810" s="40"/>
      <c r="Y810" s="41"/>
      <c r="Z810" s="42"/>
      <c r="AA810" s="43"/>
      <c r="AB810" s="44"/>
      <c r="AC810" s="45"/>
      <c r="AD810" s="114" t="str">
        <f t="shared" si="30"/>
        <v/>
      </c>
    </row>
    <row r="811" spans="8:30" x14ac:dyDescent="0.35">
      <c r="O811" t="str">
        <f t="shared" si="31"/>
        <v/>
      </c>
      <c r="P811" s="18"/>
      <c r="Q811" s="61"/>
      <c r="R811" s="118"/>
      <c r="S811" s="61"/>
      <c r="T811" s="66"/>
      <c r="U811" s="66"/>
      <c r="V811" s="38"/>
      <c r="W811" s="39"/>
      <c r="X811" s="40"/>
      <c r="Y811" s="41"/>
      <c r="Z811" s="42"/>
      <c r="AA811" s="43"/>
      <c r="AB811" s="44"/>
      <c r="AC811" s="45"/>
      <c r="AD811" s="114" t="str">
        <f t="shared" si="30"/>
        <v/>
      </c>
    </row>
    <row r="812" spans="8:30" x14ac:dyDescent="0.35">
      <c r="O812" t="str">
        <f t="shared" si="31"/>
        <v/>
      </c>
      <c r="P812" s="18"/>
      <c r="Q812" s="61"/>
      <c r="R812" s="61"/>
      <c r="S812" s="61"/>
      <c r="T812" s="66"/>
      <c r="U812" s="66"/>
      <c r="V812" s="38"/>
      <c r="W812" s="39"/>
      <c r="X812" s="40"/>
      <c r="Y812" s="41"/>
      <c r="Z812" s="42"/>
      <c r="AA812" s="43"/>
      <c r="AB812" s="44"/>
      <c r="AC812" s="45"/>
      <c r="AD812" s="114" t="str">
        <f t="shared" si="30"/>
        <v/>
      </c>
    </row>
    <row r="813" spans="8:30" x14ac:dyDescent="0.35">
      <c r="O813" t="str">
        <f t="shared" si="31"/>
        <v/>
      </c>
      <c r="P813" s="18"/>
      <c r="Q813" s="61"/>
      <c r="R813" s="118"/>
      <c r="S813" s="61"/>
      <c r="T813" s="66"/>
      <c r="U813" s="66"/>
      <c r="V813" s="38"/>
      <c r="W813" s="39"/>
      <c r="X813" s="40"/>
      <c r="Y813" s="41"/>
      <c r="Z813" s="42"/>
      <c r="AA813" s="43"/>
      <c r="AB813" s="44"/>
      <c r="AC813" s="45"/>
      <c r="AD813" s="114" t="str">
        <f t="shared" si="30"/>
        <v/>
      </c>
    </row>
    <row r="814" spans="8:30" x14ac:dyDescent="0.35">
      <c r="O814" t="str">
        <f t="shared" si="31"/>
        <v/>
      </c>
      <c r="P814" s="18"/>
      <c r="Q814" s="61"/>
      <c r="R814" s="61"/>
      <c r="S814" s="61"/>
      <c r="T814" s="66"/>
      <c r="U814" s="66"/>
      <c r="V814" s="38"/>
      <c r="W814" s="39"/>
      <c r="X814" s="40"/>
      <c r="Y814" s="41"/>
      <c r="Z814" s="42"/>
      <c r="AA814" s="43"/>
      <c r="AB814" s="44"/>
      <c r="AC814" s="45"/>
      <c r="AD814" s="114" t="str">
        <f t="shared" si="30"/>
        <v/>
      </c>
    </row>
    <row r="815" spans="8:30" x14ac:dyDescent="0.35">
      <c r="O815" t="str">
        <f t="shared" si="31"/>
        <v/>
      </c>
      <c r="P815" s="18"/>
      <c r="Q815" s="61"/>
      <c r="R815" s="61"/>
      <c r="S815" s="61"/>
      <c r="T815" s="66"/>
      <c r="U815" s="66"/>
      <c r="V815" s="38"/>
      <c r="W815" s="39"/>
      <c r="X815" s="40"/>
      <c r="Y815" s="41"/>
      <c r="Z815" s="42"/>
      <c r="AA815" s="43"/>
      <c r="AB815" s="44"/>
      <c r="AC815" s="45"/>
      <c r="AD815" s="114" t="str">
        <f t="shared" si="30"/>
        <v/>
      </c>
    </row>
    <row r="816" spans="8:30" x14ac:dyDescent="0.35">
      <c r="O816" t="str">
        <f t="shared" si="31"/>
        <v/>
      </c>
      <c r="P816" s="62"/>
      <c r="Q816" s="118"/>
      <c r="R816" s="118"/>
      <c r="S816" s="61"/>
      <c r="T816" s="66"/>
      <c r="U816" s="66"/>
      <c r="V816" s="38"/>
      <c r="W816" s="39"/>
      <c r="X816" s="40"/>
      <c r="Y816" s="41"/>
      <c r="Z816" s="42"/>
      <c r="AA816" s="43"/>
      <c r="AB816" s="44"/>
      <c r="AC816" s="45"/>
      <c r="AD816" s="114" t="str">
        <f t="shared" si="30"/>
        <v/>
      </c>
    </row>
    <row r="817" spans="15:30" x14ac:dyDescent="0.35">
      <c r="O817" t="str">
        <f t="shared" si="31"/>
        <v/>
      </c>
      <c r="P817" s="18"/>
      <c r="Q817" s="61"/>
      <c r="R817" s="118"/>
      <c r="S817" s="61"/>
      <c r="T817" s="66"/>
      <c r="U817" s="66"/>
      <c r="V817" s="38"/>
      <c r="W817" s="39"/>
      <c r="X817" s="40"/>
      <c r="Y817" s="41"/>
      <c r="Z817" s="42"/>
      <c r="AA817" s="43"/>
      <c r="AB817" s="44"/>
      <c r="AC817" s="45"/>
      <c r="AD817" s="114" t="str">
        <f t="shared" si="30"/>
        <v/>
      </c>
    </row>
    <row r="818" spans="15:30" x14ac:dyDescent="0.35">
      <c r="O818" t="str">
        <f t="shared" si="31"/>
        <v/>
      </c>
      <c r="P818" s="18"/>
      <c r="Q818" s="61"/>
      <c r="R818" s="61"/>
      <c r="S818" s="61"/>
      <c r="T818" s="66"/>
      <c r="U818" s="66"/>
      <c r="V818" s="38"/>
      <c r="W818" s="39"/>
      <c r="X818" s="40"/>
      <c r="Y818" s="41"/>
      <c r="Z818" s="42"/>
      <c r="AA818" s="43"/>
      <c r="AB818" s="44"/>
      <c r="AC818" s="45"/>
      <c r="AD818" s="114" t="str">
        <f t="shared" si="30"/>
        <v/>
      </c>
    </row>
    <row r="819" spans="15:30" x14ac:dyDescent="0.35">
      <c r="O819" t="str">
        <f t="shared" si="31"/>
        <v/>
      </c>
      <c r="P819" s="18"/>
      <c r="Q819" s="61"/>
      <c r="R819" s="61"/>
      <c r="S819" s="61"/>
      <c r="T819" s="66"/>
      <c r="U819" s="66"/>
      <c r="V819" s="38"/>
      <c r="W819" s="39"/>
      <c r="X819" s="40"/>
      <c r="Y819" s="41"/>
      <c r="Z819" s="42"/>
      <c r="AA819" s="43"/>
      <c r="AB819" s="44"/>
      <c r="AC819" s="45"/>
      <c r="AD819" s="114" t="str">
        <f t="shared" si="30"/>
        <v/>
      </c>
    </row>
    <row r="820" spans="15:30" x14ac:dyDescent="0.35">
      <c r="O820" t="str">
        <f t="shared" si="31"/>
        <v/>
      </c>
      <c r="P820" s="18"/>
      <c r="Q820" s="61"/>
      <c r="R820" s="118"/>
      <c r="S820" s="61"/>
      <c r="T820" s="66"/>
      <c r="U820" s="66"/>
      <c r="V820" s="38"/>
      <c r="W820" s="39"/>
      <c r="X820" s="40"/>
      <c r="Y820" s="41"/>
      <c r="Z820" s="42"/>
      <c r="AA820" s="43"/>
      <c r="AB820" s="44"/>
      <c r="AC820" s="45"/>
      <c r="AD820" s="114" t="str">
        <f t="shared" si="30"/>
        <v/>
      </c>
    </row>
    <row r="821" spans="15:30" x14ac:dyDescent="0.35">
      <c r="O821" t="str">
        <f t="shared" si="31"/>
        <v/>
      </c>
      <c r="P821" s="18"/>
      <c r="Q821" s="61"/>
      <c r="R821" s="61"/>
      <c r="S821" s="61"/>
      <c r="T821" s="66"/>
      <c r="U821" s="66"/>
      <c r="V821" s="38"/>
      <c r="W821" s="39"/>
      <c r="X821" s="40"/>
      <c r="Y821" s="41"/>
      <c r="Z821" s="42"/>
      <c r="AA821" s="43"/>
      <c r="AB821" s="44"/>
      <c r="AC821" s="45"/>
      <c r="AD821" s="114" t="str">
        <f t="shared" si="30"/>
        <v/>
      </c>
    </row>
    <row r="822" spans="15:30" x14ac:dyDescent="0.35">
      <c r="O822" t="str">
        <f t="shared" si="31"/>
        <v/>
      </c>
      <c r="P822" s="18"/>
      <c r="Q822" s="61"/>
      <c r="R822" s="61"/>
      <c r="S822" s="61"/>
      <c r="T822" s="66"/>
      <c r="U822" s="66"/>
      <c r="V822" s="38"/>
      <c r="W822" s="39"/>
      <c r="X822" s="40"/>
      <c r="Y822" s="41"/>
      <c r="Z822" s="42"/>
      <c r="AA822" s="43"/>
      <c r="AB822" s="44"/>
      <c r="AC822" s="45"/>
      <c r="AD822" s="114" t="str">
        <f t="shared" si="30"/>
        <v/>
      </c>
    </row>
    <row r="823" spans="15:30" x14ac:dyDescent="0.35">
      <c r="O823" t="str">
        <f t="shared" si="31"/>
        <v/>
      </c>
      <c r="P823" s="18"/>
      <c r="Q823" s="61"/>
      <c r="R823" s="118"/>
      <c r="S823" s="61"/>
      <c r="T823" s="66"/>
      <c r="U823" s="66"/>
      <c r="V823" s="38"/>
      <c r="W823" s="39"/>
      <c r="X823" s="40"/>
      <c r="Y823" s="41"/>
      <c r="Z823" s="42"/>
      <c r="AA823" s="43"/>
      <c r="AB823" s="44"/>
      <c r="AC823" s="45"/>
      <c r="AD823" s="114" t="str">
        <f t="shared" si="30"/>
        <v/>
      </c>
    </row>
    <row r="824" spans="15:30" x14ac:dyDescent="0.35">
      <c r="O824" t="str">
        <f t="shared" si="31"/>
        <v/>
      </c>
      <c r="P824" s="18"/>
      <c r="Q824" s="61"/>
      <c r="R824" s="61"/>
      <c r="S824" s="61"/>
      <c r="T824" s="66"/>
      <c r="U824" s="66"/>
      <c r="V824" s="38"/>
      <c r="W824" s="39"/>
      <c r="X824" s="40"/>
      <c r="Y824" s="41"/>
      <c r="Z824" s="42"/>
      <c r="AA824" s="43"/>
      <c r="AB824" s="44"/>
      <c r="AC824" s="45"/>
      <c r="AD824" s="114" t="str">
        <f t="shared" si="30"/>
        <v/>
      </c>
    </row>
    <row r="825" spans="15:30" x14ac:dyDescent="0.35">
      <c r="O825" t="str">
        <f t="shared" si="31"/>
        <v/>
      </c>
      <c r="P825" s="18"/>
      <c r="Q825" s="61"/>
      <c r="R825" s="118"/>
      <c r="S825" s="61"/>
      <c r="T825" s="66"/>
      <c r="U825" s="66"/>
      <c r="V825" s="38"/>
      <c r="W825" s="39"/>
      <c r="X825" s="40"/>
      <c r="Y825" s="41"/>
      <c r="Z825" s="42"/>
      <c r="AA825" s="43"/>
      <c r="AB825" s="44"/>
      <c r="AC825" s="45"/>
      <c r="AD825" s="114" t="str">
        <f t="shared" si="30"/>
        <v/>
      </c>
    </row>
    <row r="826" spans="15:30" x14ac:dyDescent="0.35">
      <c r="O826" t="str">
        <f t="shared" si="31"/>
        <v/>
      </c>
      <c r="P826" s="18"/>
      <c r="Q826" s="61"/>
      <c r="R826" s="61"/>
      <c r="S826" s="61"/>
      <c r="T826" s="66"/>
      <c r="U826" s="66"/>
      <c r="V826" s="38"/>
      <c r="W826" s="39"/>
      <c r="X826" s="40"/>
      <c r="Y826" s="41"/>
      <c r="Z826" s="42"/>
      <c r="AA826" s="43"/>
      <c r="AB826" s="44"/>
      <c r="AC826" s="45"/>
      <c r="AD826" s="114" t="str">
        <f t="shared" si="30"/>
        <v/>
      </c>
    </row>
    <row r="827" spans="15:30" x14ac:dyDescent="0.35">
      <c r="O827" t="str">
        <f t="shared" si="31"/>
        <v/>
      </c>
      <c r="P827" s="18"/>
      <c r="Q827" s="61"/>
      <c r="R827" s="118"/>
      <c r="S827" s="61"/>
      <c r="T827" s="66"/>
      <c r="U827" s="66"/>
      <c r="V827" s="38"/>
      <c r="W827" s="39"/>
      <c r="X827" s="40"/>
      <c r="Y827" s="41"/>
      <c r="Z827" s="42"/>
      <c r="AA827" s="43"/>
      <c r="AB827" s="44"/>
      <c r="AC827" s="45"/>
      <c r="AD827" s="114" t="str">
        <f t="shared" si="30"/>
        <v/>
      </c>
    </row>
    <row r="828" spans="15:30" x14ac:dyDescent="0.35">
      <c r="O828" t="str">
        <f t="shared" si="31"/>
        <v/>
      </c>
      <c r="P828" s="18"/>
      <c r="Q828" s="61"/>
      <c r="R828" s="118"/>
      <c r="S828" s="61"/>
      <c r="T828" s="66"/>
      <c r="U828" s="66"/>
      <c r="V828" s="38"/>
      <c r="W828" s="39"/>
      <c r="X828" s="40"/>
      <c r="Y828" s="41"/>
      <c r="Z828" s="42"/>
      <c r="AA828" s="43"/>
      <c r="AB828" s="44"/>
      <c r="AC828" s="45"/>
      <c r="AD828" s="114" t="str">
        <f t="shared" si="30"/>
        <v/>
      </c>
    </row>
    <row r="829" spans="15:30" x14ac:dyDescent="0.35">
      <c r="O829" t="str">
        <f t="shared" si="31"/>
        <v/>
      </c>
      <c r="P829" s="18"/>
      <c r="Q829" s="61"/>
      <c r="R829" s="118"/>
      <c r="S829" s="61"/>
      <c r="T829" s="66"/>
      <c r="U829" s="66"/>
      <c r="V829" s="38"/>
      <c r="W829" s="39"/>
      <c r="X829" s="40"/>
      <c r="Y829" s="41"/>
      <c r="Z829" s="42"/>
      <c r="AA829" s="43"/>
      <c r="AB829" s="44"/>
      <c r="AC829" s="45"/>
      <c r="AD829" s="114" t="str">
        <f t="shared" si="30"/>
        <v/>
      </c>
    </row>
    <row r="830" spans="15:30" x14ac:dyDescent="0.35">
      <c r="O830" t="str">
        <f t="shared" si="31"/>
        <v/>
      </c>
      <c r="P830" s="18"/>
      <c r="Q830" s="61"/>
      <c r="R830" s="118"/>
      <c r="S830" s="61"/>
      <c r="T830" s="66"/>
      <c r="U830" s="66"/>
      <c r="V830" s="38"/>
      <c r="W830" s="39"/>
      <c r="X830" s="40"/>
      <c r="Y830" s="41"/>
      <c r="Z830" s="42"/>
      <c r="AA830" s="43"/>
      <c r="AB830" s="44"/>
      <c r="AC830" s="45"/>
      <c r="AD830" s="114" t="str">
        <f t="shared" si="30"/>
        <v/>
      </c>
    </row>
    <row r="831" spans="15:30" x14ac:dyDescent="0.35">
      <c r="O831" t="str">
        <f t="shared" si="31"/>
        <v/>
      </c>
      <c r="P831" s="18"/>
      <c r="Q831" s="61"/>
      <c r="R831" s="61"/>
      <c r="S831" s="61"/>
      <c r="T831" s="66"/>
      <c r="U831" s="66"/>
      <c r="V831" s="38"/>
      <c r="W831" s="39"/>
      <c r="X831" s="40"/>
      <c r="Y831" s="41"/>
      <c r="Z831" s="42"/>
      <c r="AA831" s="43"/>
      <c r="AB831" s="44"/>
      <c r="AC831" s="45"/>
      <c r="AD831" s="114" t="str">
        <f t="shared" si="30"/>
        <v/>
      </c>
    </row>
    <row r="832" spans="15:30" x14ac:dyDescent="0.35">
      <c r="O832" t="str">
        <f t="shared" si="31"/>
        <v/>
      </c>
      <c r="P832" s="18"/>
      <c r="Q832" s="61"/>
      <c r="R832" s="118"/>
      <c r="S832" s="61"/>
      <c r="T832" s="66"/>
      <c r="U832" s="66"/>
      <c r="V832" s="38"/>
      <c r="W832" s="39"/>
      <c r="X832" s="40"/>
      <c r="Y832" s="41"/>
      <c r="Z832" s="42"/>
      <c r="AA832" s="43"/>
      <c r="AB832" s="44"/>
      <c r="AC832" s="45"/>
      <c r="AD832" s="114" t="str">
        <f t="shared" si="30"/>
        <v/>
      </c>
    </row>
    <row r="833" spans="15:30" x14ac:dyDescent="0.35">
      <c r="O833" t="str">
        <f t="shared" si="31"/>
        <v/>
      </c>
      <c r="P833" s="18"/>
      <c r="Q833" s="61"/>
      <c r="R833" s="118"/>
      <c r="S833" s="61"/>
      <c r="T833" s="66"/>
      <c r="U833" s="66"/>
      <c r="V833" s="38"/>
      <c r="W833" s="39"/>
      <c r="X833" s="40"/>
      <c r="Y833" s="41"/>
      <c r="Z833" s="42"/>
      <c r="AA833" s="43"/>
      <c r="AB833" s="44"/>
      <c r="AC833" s="45"/>
      <c r="AD833" s="114" t="str">
        <f t="shared" si="30"/>
        <v/>
      </c>
    </row>
    <row r="834" spans="15:30" x14ac:dyDescent="0.35">
      <c r="O834" t="str">
        <f t="shared" si="31"/>
        <v/>
      </c>
      <c r="P834" s="62"/>
      <c r="Q834" s="118"/>
      <c r="R834" s="61"/>
      <c r="S834" s="61"/>
      <c r="T834" s="66"/>
      <c r="U834" s="66"/>
      <c r="V834" s="38"/>
      <c r="W834" s="39"/>
      <c r="X834" s="40"/>
      <c r="Y834" s="41"/>
      <c r="Z834" s="42"/>
      <c r="AA834" s="43"/>
      <c r="AB834" s="44"/>
      <c r="AC834" s="45"/>
      <c r="AD834" s="114" t="str">
        <f t="shared" ref="AD834:AD897" si="32">IF(P834="","",AC834/6)</f>
        <v/>
      </c>
    </row>
    <row r="835" spans="15:30" x14ac:dyDescent="0.35">
      <c r="O835" t="str">
        <f t="shared" si="31"/>
        <v/>
      </c>
      <c r="P835" s="18"/>
      <c r="Q835" s="61"/>
      <c r="R835" s="118"/>
      <c r="S835" s="61"/>
      <c r="T835" s="66"/>
      <c r="U835" s="66"/>
      <c r="V835" s="38"/>
      <c r="W835" s="39"/>
      <c r="X835" s="40"/>
      <c r="Y835" s="41"/>
      <c r="Z835" s="42"/>
      <c r="AA835" s="43"/>
      <c r="AB835" s="44"/>
      <c r="AC835" s="45"/>
      <c r="AD835" s="114" t="str">
        <f t="shared" si="32"/>
        <v/>
      </c>
    </row>
    <row r="836" spans="15:30" x14ac:dyDescent="0.35">
      <c r="O836" t="str">
        <f t="shared" ref="O836:O899" si="33">IF(P836="","",O835+1)</f>
        <v/>
      </c>
      <c r="P836" s="18"/>
      <c r="Q836" s="61"/>
      <c r="R836" s="61"/>
      <c r="S836" s="61"/>
      <c r="T836" s="66"/>
      <c r="U836" s="66"/>
      <c r="V836" s="38"/>
      <c r="W836" s="39"/>
      <c r="X836" s="40"/>
      <c r="Y836" s="41"/>
      <c r="Z836" s="42"/>
      <c r="AA836" s="43"/>
      <c r="AB836" s="44"/>
      <c r="AC836" s="45"/>
      <c r="AD836" s="114" t="str">
        <f t="shared" si="32"/>
        <v/>
      </c>
    </row>
    <row r="837" spans="15:30" x14ac:dyDescent="0.35">
      <c r="O837" t="str">
        <f t="shared" si="33"/>
        <v/>
      </c>
      <c r="P837" s="62"/>
      <c r="Q837" s="118"/>
      <c r="R837" s="61"/>
      <c r="S837" s="61"/>
      <c r="T837" s="66"/>
      <c r="U837" s="66"/>
      <c r="V837" s="38"/>
      <c r="W837" s="39"/>
      <c r="X837" s="40"/>
      <c r="Y837" s="41"/>
      <c r="Z837" s="42"/>
      <c r="AA837" s="43"/>
      <c r="AB837" s="44"/>
      <c r="AC837" s="45"/>
      <c r="AD837" s="114" t="str">
        <f t="shared" si="32"/>
        <v/>
      </c>
    </row>
    <row r="838" spans="15:30" x14ac:dyDescent="0.35">
      <c r="O838" t="str">
        <f t="shared" si="33"/>
        <v/>
      </c>
      <c r="P838" s="18"/>
      <c r="Q838" s="61"/>
      <c r="R838" s="118"/>
      <c r="S838" s="61"/>
      <c r="T838" s="66"/>
      <c r="U838" s="66"/>
      <c r="V838" s="38"/>
      <c r="W838" s="39"/>
      <c r="X838" s="40"/>
      <c r="Y838" s="41"/>
      <c r="Z838" s="42"/>
      <c r="AA838" s="43"/>
      <c r="AB838" s="44"/>
      <c r="AC838" s="45"/>
      <c r="AD838" s="114" t="str">
        <f t="shared" si="32"/>
        <v/>
      </c>
    </row>
    <row r="839" spans="15:30" x14ac:dyDescent="0.35">
      <c r="O839" t="str">
        <f t="shared" si="33"/>
        <v/>
      </c>
      <c r="P839" s="18"/>
      <c r="Q839" s="61"/>
      <c r="R839" s="118"/>
      <c r="S839" s="61"/>
      <c r="T839" s="66"/>
      <c r="U839" s="66"/>
      <c r="V839" s="38"/>
      <c r="W839" s="39"/>
      <c r="X839" s="40"/>
      <c r="Y839" s="41"/>
      <c r="Z839" s="42"/>
      <c r="AA839" s="43"/>
      <c r="AB839" s="44"/>
      <c r="AC839" s="45"/>
      <c r="AD839" s="114" t="str">
        <f t="shared" si="32"/>
        <v/>
      </c>
    </row>
    <row r="840" spans="15:30" x14ac:dyDescent="0.35">
      <c r="O840" t="str">
        <f t="shared" si="33"/>
        <v/>
      </c>
      <c r="P840" s="18"/>
      <c r="Q840" s="61"/>
      <c r="R840" s="118"/>
      <c r="S840" s="61"/>
      <c r="T840" s="66"/>
      <c r="U840" s="66"/>
      <c r="V840" s="38"/>
      <c r="W840" s="39"/>
      <c r="X840" s="40"/>
      <c r="Y840" s="41"/>
      <c r="Z840" s="42"/>
      <c r="AA840" s="43"/>
      <c r="AB840" s="44"/>
      <c r="AC840" s="45"/>
      <c r="AD840" s="114" t="str">
        <f t="shared" si="32"/>
        <v/>
      </c>
    </row>
    <row r="841" spans="15:30" x14ac:dyDescent="0.35">
      <c r="O841" t="str">
        <f t="shared" si="33"/>
        <v/>
      </c>
      <c r="P841" s="18"/>
      <c r="Q841" s="61"/>
      <c r="R841" s="118"/>
      <c r="S841" s="61"/>
      <c r="T841" s="66"/>
      <c r="U841" s="66"/>
      <c r="V841" s="38"/>
      <c r="W841" s="39"/>
      <c r="X841" s="40"/>
      <c r="Y841" s="41"/>
      <c r="Z841" s="42"/>
      <c r="AA841" s="43"/>
      <c r="AB841" s="44"/>
      <c r="AC841" s="45"/>
      <c r="AD841" s="114" t="str">
        <f t="shared" si="32"/>
        <v/>
      </c>
    </row>
    <row r="842" spans="15:30" x14ac:dyDescent="0.35">
      <c r="O842" t="str">
        <f t="shared" si="33"/>
        <v/>
      </c>
      <c r="P842" s="18"/>
      <c r="Q842" s="61"/>
      <c r="R842" s="61"/>
      <c r="S842" s="61"/>
      <c r="T842" s="66"/>
      <c r="U842" s="66"/>
      <c r="V842" s="38"/>
      <c r="W842" s="39"/>
      <c r="X842" s="40"/>
      <c r="Y842" s="41"/>
      <c r="Z842" s="42"/>
      <c r="AA842" s="43"/>
      <c r="AB842" s="44"/>
      <c r="AC842" s="45"/>
      <c r="AD842" s="114" t="str">
        <f t="shared" si="32"/>
        <v/>
      </c>
    </row>
    <row r="843" spans="15:30" x14ac:dyDescent="0.35">
      <c r="O843" t="str">
        <f t="shared" si="33"/>
        <v/>
      </c>
      <c r="P843" s="18"/>
      <c r="Q843" s="61"/>
      <c r="R843" s="61"/>
      <c r="S843" s="61"/>
      <c r="T843" s="66"/>
      <c r="U843" s="66"/>
      <c r="V843" s="38"/>
      <c r="W843" s="39"/>
      <c r="X843" s="40"/>
      <c r="Y843" s="41"/>
      <c r="Z843" s="42"/>
      <c r="AA843" s="43"/>
      <c r="AB843" s="44"/>
      <c r="AC843" s="45"/>
      <c r="AD843" s="114" t="str">
        <f t="shared" si="32"/>
        <v/>
      </c>
    </row>
    <row r="844" spans="15:30" x14ac:dyDescent="0.35">
      <c r="O844" t="str">
        <f t="shared" si="33"/>
        <v/>
      </c>
      <c r="P844" s="18"/>
      <c r="Q844" s="61"/>
      <c r="R844" s="118"/>
      <c r="S844" s="61"/>
      <c r="T844" s="66"/>
      <c r="U844" s="66"/>
      <c r="V844" s="38"/>
      <c r="W844" s="39"/>
      <c r="X844" s="40"/>
      <c r="Y844" s="41"/>
      <c r="Z844" s="42"/>
      <c r="AA844" s="43"/>
      <c r="AB844" s="44"/>
      <c r="AC844" s="45"/>
      <c r="AD844" s="114" t="str">
        <f t="shared" si="32"/>
        <v/>
      </c>
    </row>
    <row r="845" spans="15:30" x14ac:dyDescent="0.35">
      <c r="O845" t="str">
        <f t="shared" si="33"/>
        <v/>
      </c>
      <c r="P845" s="18"/>
      <c r="Q845" s="61"/>
      <c r="R845" s="61"/>
      <c r="S845" s="61"/>
      <c r="T845" s="66"/>
      <c r="U845" s="66"/>
      <c r="V845" s="38"/>
      <c r="W845" s="39"/>
      <c r="X845" s="40"/>
      <c r="Y845" s="41"/>
      <c r="Z845" s="42"/>
      <c r="AA845" s="43"/>
      <c r="AB845" s="44"/>
      <c r="AC845" s="45"/>
      <c r="AD845" s="114" t="str">
        <f t="shared" si="32"/>
        <v/>
      </c>
    </row>
    <row r="846" spans="15:30" x14ac:dyDescent="0.35">
      <c r="O846" t="str">
        <f t="shared" si="33"/>
        <v/>
      </c>
      <c r="P846" s="18"/>
      <c r="Q846" s="61"/>
      <c r="R846" s="61"/>
      <c r="S846" s="61"/>
      <c r="T846" s="66"/>
      <c r="U846" s="66"/>
      <c r="V846" s="38"/>
      <c r="W846" s="39"/>
      <c r="X846" s="40"/>
      <c r="Y846" s="41"/>
      <c r="Z846" s="42"/>
      <c r="AA846" s="43"/>
      <c r="AB846" s="44"/>
      <c r="AC846" s="45"/>
      <c r="AD846" s="114" t="str">
        <f t="shared" si="32"/>
        <v/>
      </c>
    </row>
    <row r="847" spans="15:30" x14ac:dyDescent="0.35">
      <c r="O847" t="str">
        <f t="shared" si="33"/>
        <v/>
      </c>
      <c r="P847" s="18"/>
      <c r="Q847" s="61"/>
      <c r="R847" s="118"/>
      <c r="S847" s="61"/>
      <c r="T847" s="66"/>
      <c r="U847" s="66"/>
      <c r="V847" s="38"/>
      <c r="W847" s="39"/>
      <c r="X847" s="40"/>
      <c r="Y847" s="41"/>
      <c r="Z847" s="42"/>
      <c r="AA847" s="43"/>
      <c r="AB847" s="44"/>
      <c r="AC847" s="45"/>
      <c r="AD847" s="114" t="str">
        <f t="shared" si="32"/>
        <v/>
      </c>
    </row>
    <row r="848" spans="15:30" x14ac:dyDescent="0.35">
      <c r="O848" t="str">
        <f t="shared" si="33"/>
        <v/>
      </c>
      <c r="P848" s="18"/>
      <c r="Q848" s="61"/>
      <c r="R848" s="61"/>
      <c r="S848" s="61"/>
      <c r="T848" s="66"/>
      <c r="U848" s="66"/>
      <c r="V848" s="38"/>
      <c r="W848" s="39"/>
      <c r="X848" s="40"/>
      <c r="Y848" s="41"/>
      <c r="Z848" s="42"/>
      <c r="AA848" s="43"/>
      <c r="AB848" s="44"/>
      <c r="AC848" s="45"/>
      <c r="AD848" s="114" t="str">
        <f t="shared" si="32"/>
        <v/>
      </c>
    </row>
    <row r="849" spans="15:30" x14ac:dyDescent="0.35">
      <c r="O849" t="str">
        <f t="shared" si="33"/>
        <v/>
      </c>
      <c r="P849" s="18"/>
      <c r="Q849" s="61"/>
      <c r="R849" s="118"/>
      <c r="S849" s="61"/>
      <c r="T849" s="66"/>
      <c r="U849" s="66"/>
      <c r="V849" s="38"/>
      <c r="W849" s="39"/>
      <c r="X849" s="40"/>
      <c r="Y849" s="41"/>
      <c r="Z849" s="42"/>
      <c r="AA849" s="43"/>
      <c r="AB849" s="44"/>
      <c r="AC849" s="45"/>
      <c r="AD849" s="114" t="str">
        <f t="shared" si="32"/>
        <v/>
      </c>
    </row>
    <row r="850" spans="15:30" x14ac:dyDescent="0.35">
      <c r="O850" t="str">
        <f t="shared" si="33"/>
        <v/>
      </c>
      <c r="P850" s="18"/>
      <c r="Q850" s="61"/>
      <c r="R850" s="118"/>
      <c r="S850" s="61"/>
      <c r="T850" s="66"/>
      <c r="U850" s="66"/>
      <c r="V850" s="38"/>
      <c r="W850" s="39"/>
      <c r="X850" s="40"/>
      <c r="Y850" s="41"/>
      <c r="Z850" s="42"/>
      <c r="AA850" s="43"/>
      <c r="AB850" s="44"/>
      <c r="AC850" s="45"/>
      <c r="AD850" s="114" t="str">
        <f t="shared" si="32"/>
        <v/>
      </c>
    </row>
    <row r="851" spans="15:30" x14ac:dyDescent="0.35">
      <c r="O851" t="str">
        <f t="shared" si="33"/>
        <v/>
      </c>
      <c r="P851" s="18"/>
      <c r="Q851" s="61"/>
      <c r="R851" s="118"/>
      <c r="S851" s="61"/>
      <c r="T851" s="66"/>
      <c r="U851" s="66"/>
      <c r="V851" s="38"/>
      <c r="W851" s="39"/>
      <c r="X851" s="40"/>
      <c r="Y851" s="41"/>
      <c r="Z851" s="42"/>
      <c r="AA851" s="43"/>
      <c r="AB851" s="44"/>
      <c r="AC851" s="45"/>
      <c r="AD851" s="114" t="str">
        <f t="shared" si="32"/>
        <v/>
      </c>
    </row>
    <row r="852" spans="15:30" x14ac:dyDescent="0.35">
      <c r="O852" t="str">
        <f t="shared" si="33"/>
        <v/>
      </c>
      <c r="P852" s="18"/>
      <c r="Q852" s="61"/>
      <c r="R852" s="61"/>
      <c r="S852" s="61"/>
      <c r="T852" s="66"/>
      <c r="U852" s="66"/>
      <c r="V852" s="38"/>
      <c r="W852" s="39"/>
      <c r="X852" s="40"/>
      <c r="Y852" s="41"/>
      <c r="Z852" s="42"/>
      <c r="AA852" s="43"/>
      <c r="AB852" s="44"/>
      <c r="AC852" s="45"/>
      <c r="AD852" s="114" t="str">
        <f t="shared" si="32"/>
        <v/>
      </c>
    </row>
    <row r="853" spans="15:30" x14ac:dyDescent="0.35">
      <c r="O853" t="str">
        <f t="shared" si="33"/>
        <v/>
      </c>
      <c r="P853" s="62"/>
      <c r="Q853" s="118"/>
      <c r="R853" s="118"/>
      <c r="S853" s="61"/>
      <c r="T853" s="66"/>
      <c r="U853" s="66"/>
      <c r="V853" s="38"/>
      <c r="W853" s="39"/>
      <c r="X853" s="40"/>
      <c r="Y853" s="41"/>
      <c r="Z853" s="42"/>
      <c r="AA853" s="43"/>
      <c r="AB853" s="44"/>
      <c r="AC853" s="45"/>
      <c r="AD853" s="114" t="str">
        <f t="shared" si="32"/>
        <v/>
      </c>
    </row>
    <row r="854" spans="15:30" x14ac:dyDescent="0.35">
      <c r="O854" t="str">
        <f t="shared" si="33"/>
        <v/>
      </c>
      <c r="P854" s="18"/>
      <c r="Q854" s="61"/>
      <c r="R854" s="61"/>
      <c r="S854" s="61"/>
      <c r="T854" s="66"/>
      <c r="U854" s="66"/>
      <c r="V854" s="38"/>
      <c r="W854" s="39"/>
      <c r="X854" s="40"/>
      <c r="Y854" s="41"/>
      <c r="Z854" s="42"/>
      <c r="AA854" s="43"/>
      <c r="AB854" s="44"/>
      <c r="AC854" s="45"/>
      <c r="AD854" s="114" t="str">
        <f t="shared" si="32"/>
        <v/>
      </c>
    </row>
    <row r="855" spans="15:30" x14ac:dyDescent="0.35">
      <c r="O855" t="str">
        <f t="shared" si="33"/>
        <v/>
      </c>
      <c r="P855" s="18"/>
      <c r="Q855" s="61"/>
      <c r="R855" s="61"/>
      <c r="S855" s="61"/>
      <c r="T855" s="66"/>
      <c r="U855" s="66"/>
      <c r="V855" s="38"/>
      <c r="W855" s="39"/>
      <c r="X855" s="40"/>
      <c r="Y855" s="41"/>
      <c r="Z855" s="42"/>
      <c r="AA855" s="43"/>
      <c r="AB855" s="44"/>
      <c r="AC855" s="45"/>
      <c r="AD855" s="114" t="str">
        <f t="shared" si="32"/>
        <v/>
      </c>
    </row>
    <row r="856" spans="15:30" x14ac:dyDescent="0.35">
      <c r="O856" t="str">
        <f t="shared" si="33"/>
        <v/>
      </c>
      <c r="P856" s="18"/>
      <c r="Q856" s="61"/>
      <c r="R856" s="118"/>
      <c r="S856" s="61"/>
      <c r="T856" s="66"/>
      <c r="U856" s="66"/>
      <c r="V856" s="38"/>
      <c r="W856" s="39"/>
      <c r="X856" s="40"/>
      <c r="Y856" s="41"/>
      <c r="Z856" s="42"/>
      <c r="AA856" s="43"/>
      <c r="AB856" s="44"/>
      <c r="AC856" s="45"/>
      <c r="AD856" s="114" t="str">
        <f t="shared" si="32"/>
        <v/>
      </c>
    </row>
    <row r="857" spans="15:30" x14ac:dyDescent="0.35">
      <c r="O857" t="str">
        <f t="shared" si="33"/>
        <v/>
      </c>
      <c r="P857" s="18"/>
      <c r="Q857" s="61"/>
      <c r="R857" s="118"/>
      <c r="S857" s="61"/>
      <c r="T857" s="66"/>
      <c r="U857" s="66"/>
      <c r="V857" s="38"/>
      <c r="W857" s="39"/>
      <c r="X857" s="40"/>
      <c r="Y857" s="41"/>
      <c r="Z857" s="42"/>
      <c r="AA857" s="43"/>
      <c r="AB857" s="44"/>
      <c r="AC857" s="45"/>
      <c r="AD857" s="114" t="str">
        <f t="shared" si="32"/>
        <v/>
      </c>
    </row>
    <row r="858" spans="15:30" x14ac:dyDescent="0.35">
      <c r="O858" t="str">
        <f t="shared" si="33"/>
        <v/>
      </c>
      <c r="P858" s="18"/>
      <c r="Q858" s="61"/>
      <c r="R858" s="61"/>
      <c r="S858" s="61"/>
      <c r="T858" s="66"/>
      <c r="U858" s="66"/>
      <c r="V858" s="38"/>
      <c r="W858" s="39"/>
      <c r="X858" s="40"/>
      <c r="Y858" s="41"/>
      <c r="Z858" s="42"/>
      <c r="AA858" s="43"/>
      <c r="AB858" s="44"/>
      <c r="AC858" s="45"/>
      <c r="AD858" s="114" t="str">
        <f t="shared" si="32"/>
        <v/>
      </c>
    </row>
    <row r="859" spans="15:30" x14ac:dyDescent="0.35">
      <c r="O859" t="str">
        <f t="shared" si="33"/>
        <v/>
      </c>
      <c r="P859" s="62"/>
      <c r="Q859" s="118"/>
      <c r="R859" s="61"/>
      <c r="S859" s="61"/>
      <c r="T859" s="66"/>
      <c r="U859" s="66"/>
      <c r="V859" s="38"/>
      <c r="W859" s="39"/>
      <c r="X859" s="40"/>
      <c r="Y859" s="41"/>
      <c r="Z859" s="42"/>
      <c r="AA859" s="43"/>
      <c r="AB859" s="44"/>
      <c r="AC859" s="45"/>
      <c r="AD859" s="114" t="str">
        <f t="shared" si="32"/>
        <v/>
      </c>
    </row>
    <row r="860" spans="15:30" x14ac:dyDescent="0.35">
      <c r="O860" t="str">
        <f t="shared" si="33"/>
        <v/>
      </c>
      <c r="P860" s="18"/>
      <c r="Q860" s="61"/>
      <c r="R860" s="61"/>
      <c r="S860" s="61"/>
      <c r="T860" s="66"/>
      <c r="U860" s="66"/>
      <c r="V860" s="38"/>
      <c r="W860" s="39"/>
      <c r="X860" s="40"/>
      <c r="Y860" s="41"/>
      <c r="Z860" s="42"/>
      <c r="AA860" s="43"/>
      <c r="AB860" s="44"/>
      <c r="AC860" s="45"/>
      <c r="AD860" s="114" t="str">
        <f t="shared" si="32"/>
        <v/>
      </c>
    </row>
    <row r="861" spans="15:30" x14ac:dyDescent="0.35">
      <c r="O861" t="str">
        <f t="shared" si="33"/>
        <v/>
      </c>
      <c r="P861" s="18"/>
      <c r="Q861" s="61"/>
      <c r="R861" s="61"/>
      <c r="S861" s="61"/>
      <c r="T861" s="66"/>
      <c r="U861" s="66"/>
      <c r="V861" s="38"/>
      <c r="W861" s="39"/>
      <c r="X861" s="40"/>
      <c r="Y861" s="41"/>
      <c r="Z861" s="42"/>
      <c r="AA861" s="43"/>
      <c r="AB861" s="44"/>
      <c r="AC861" s="45"/>
      <c r="AD861" s="114" t="str">
        <f t="shared" si="32"/>
        <v/>
      </c>
    </row>
    <row r="862" spans="15:30" x14ac:dyDescent="0.35">
      <c r="O862" t="str">
        <f t="shared" si="33"/>
        <v/>
      </c>
      <c r="P862" s="18"/>
      <c r="Q862" s="61"/>
      <c r="R862" s="61"/>
      <c r="S862" s="61"/>
      <c r="T862" s="66"/>
      <c r="U862" s="66"/>
      <c r="V862" s="38"/>
      <c r="W862" s="39"/>
      <c r="X862" s="40"/>
      <c r="Y862" s="41"/>
      <c r="Z862" s="42"/>
      <c r="AA862" s="43"/>
      <c r="AB862" s="44"/>
      <c r="AC862" s="45"/>
      <c r="AD862" s="114" t="str">
        <f t="shared" si="32"/>
        <v/>
      </c>
    </row>
    <row r="863" spans="15:30" x14ac:dyDescent="0.35">
      <c r="O863" t="str">
        <f t="shared" si="33"/>
        <v/>
      </c>
      <c r="P863" s="18"/>
      <c r="Q863" s="61"/>
      <c r="R863" s="61"/>
      <c r="S863" s="61"/>
      <c r="T863" s="66"/>
      <c r="U863" s="66"/>
      <c r="V863" s="38"/>
      <c r="W863" s="39"/>
      <c r="X863" s="40"/>
      <c r="Y863" s="41"/>
      <c r="Z863" s="42"/>
      <c r="AA863" s="43"/>
      <c r="AB863" s="44"/>
      <c r="AC863" s="45"/>
      <c r="AD863" s="114" t="str">
        <f t="shared" si="32"/>
        <v/>
      </c>
    </row>
    <row r="864" spans="15:30" x14ac:dyDescent="0.35">
      <c r="O864" t="str">
        <f t="shared" si="33"/>
        <v/>
      </c>
      <c r="P864" s="18"/>
      <c r="Q864" s="61"/>
      <c r="R864" s="61"/>
      <c r="S864" s="61"/>
      <c r="T864" s="66"/>
      <c r="U864" s="66"/>
      <c r="V864" s="38"/>
      <c r="W864" s="39"/>
      <c r="X864" s="40"/>
      <c r="Y864" s="41"/>
      <c r="Z864" s="42"/>
      <c r="AA864" s="43"/>
      <c r="AB864" s="44"/>
      <c r="AC864" s="45"/>
      <c r="AD864" s="114" t="str">
        <f t="shared" si="32"/>
        <v/>
      </c>
    </row>
    <row r="865" spans="15:30" x14ac:dyDescent="0.35">
      <c r="O865" t="str">
        <f t="shared" si="33"/>
        <v/>
      </c>
      <c r="P865" s="18"/>
      <c r="Q865" s="61"/>
      <c r="R865" s="118"/>
      <c r="S865" s="61"/>
      <c r="T865" s="66"/>
      <c r="U865" s="66"/>
      <c r="V865" s="38"/>
      <c r="W865" s="39"/>
      <c r="X865" s="40"/>
      <c r="Y865" s="41"/>
      <c r="Z865" s="42"/>
      <c r="AA865" s="43"/>
      <c r="AB865" s="44"/>
      <c r="AC865" s="45"/>
      <c r="AD865" s="114" t="str">
        <f t="shared" si="32"/>
        <v/>
      </c>
    </row>
    <row r="866" spans="15:30" x14ac:dyDescent="0.35">
      <c r="O866" t="str">
        <f t="shared" si="33"/>
        <v/>
      </c>
      <c r="P866" s="18"/>
      <c r="Q866" s="61"/>
      <c r="R866" s="118"/>
      <c r="S866" s="61"/>
      <c r="T866" s="66"/>
      <c r="U866" s="66"/>
      <c r="V866" s="38"/>
      <c r="W866" s="39"/>
      <c r="X866" s="40"/>
      <c r="Y866" s="41"/>
      <c r="Z866" s="42"/>
      <c r="AA866" s="43"/>
      <c r="AB866" s="44"/>
      <c r="AC866" s="45"/>
      <c r="AD866" s="114" t="str">
        <f t="shared" si="32"/>
        <v/>
      </c>
    </row>
    <row r="867" spans="15:30" x14ac:dyDescent="0.35">
      <c r="O867" t="str">
        <f t="shared" si="33"/>
        <v/>
      </c>
      <c r="P867" s="18"/>
      <c r="Q867" s="61"/>
      <c r="R867" s="61"/>
      <c r="S867" s="61"/>
      <c r="T867" s="66"/>
      <c r="U867" s="66"/>
      <c r="V867" s="38"/>
      <c r="W867" s="39"/>
      <c r="X867" s="40"/>
      <c r="Y867" s="41"/>
      <c r="Z867" s="42"/>
      <c r="AA867" s="43"/>
      <c r="AB867" s="44"/>
      <c r="AC867" s="45"/>
      <c r="AD867" s="114" t="str">
        <f t="shared" si="32"/>
        <v/>
      </c>
    </row>
    <row r="868" spans="15:30" x14ac:dyDescent="0.35">
      <c r="O868" t="str">
        <f t="shared" si="33"/>
        <v/>
      </c>
      <c r="P868" s="18"/>
      <c r="Q868" s="61"/>
      <c r="R868" s="61"/>
      <c r="S868" s="61"/>
      <c r="T868" s="66"/>
      <c r="U868" s="66"/>
      <c r="V868" s="38"/>
      <c r="W868" s="39"/>
      <c r="X868" s="40"/>
      <c r="Y868" s="41"/>
      <c r="Z868" s="42"/>
      <c r="AA868" s="43"/>
      <c r="AB868" s="44"/>
      <c r="AC868" s="45"/>
      <c r="AD868" s="114" t="str">
        <f t="shared" si="32"/>
        <v/>
      </c>
    </row>
    <row r="869" spans="15:30" x14ac:dyDescent="0.35">
      <c r="O869" t="str">
        <f t="shared" si="33"/>
        <v/>
      </c>
      <c r="P869" s="18"/>
      <c r="Q869" s="61"/>
      <c r="R869" s="118"/>
      <c r="S869" s="61"/>
      <c r="T869" s="66"/>
      <c r="U869" s="66"/>
      <c r="V869" s="38"/>
      <c r="W869" s="39"/>
      <c r="X869" s="40"/>
      <c r="Y869" s="41"/>
      <c r="Z869" s="42"/>
      <c r="AA869" s="43"/>
      <c r="AB869" s="44"/>
      <c r="AC869" s="45"/>
      <c r="AD869" s="114" t="str">
        <f t="shared" si="32"/>
        <v/>
      </c>
    </row>
    <row r="870" spans="15:30" x14ac:dyDescent="0.35">
      <c r="O870" t="str">
        <f t="shared" si="33"/>
        <v/>
      </c>
      <c r="P870" s="18"/>
      <c r="Q870" s="61"/>
      <c r="R870" s="118"/>
      <c r="S870" s="61"/>
      <c r="T870" s="66"/>
      <c r="U870" s="66"/>
      <c r="V870" s="38"/>
      <c r="W870" s="39"/>
      <c r="X870" s="40"/>
      <c r="Y870" s="41"/>
      <c r="Z870" s="42"/>
      <c r="AA870" s="43"/>
      <c r="AB870" s="44"/>
      <c r="AC870" s="45"/>
      <c r="AD870" s="114" t="str">
        <f t="shared" si="32"/>
        <v/>
      </c>
    </row>
    <row r="871" spans="15:30" x14ac:dyDescent="0.35">
      <c r="O871" t="str">
        <f t="shared" si="33"/>
        <v/>
      </c>
      <c r="P871" s="18"/>
      <c r="Q871" s="61"/>
      <c r="R871" s="118"/>
      <c r="S871" s="61"/>
      <c r="T871" s="66"/>
      <c r="U871" s="66"/>
      <c r="V871" s="38"/>
      <c r="W871" s="39"/>
      <c r="X871" s="40"/>
      <c r="Y871" s="41"/>
      <c r="Z871" s="42"/>
      <c r="AA871" s="43"/>
      <c r="AB871" s="44"/>
      <c r="AC871" s="45"/>
      <c r="AD871" s="114" t="str">
        <f t="shared" si="32"/>
        <v/>
      </c>
    </row>
    <row r="872" spans="15:30" x14ac:dyDescent="0.35">
      <c r="O872" t="str">
        <f t="shared" si="33"/>
        <v/>
      </c>
      <c r="P872" s="18"/>
      <c r="Q872" s="61"/>
      <c r="R872" s="61"/>
      <c r="S872" s="61"/>
      <c r="T872" s="66"/>
      <c r="U872" s="66"/>
      <c r="V872" s="38"/>
      <c r="W872" s="39"/>
      <c r="X872" s="40"/>
      <c r="Y872" s="41"/>
      <c r="Z872" s="42"/>
      <c r="AA872" s="43"/>
      <c r="AB872" s="44"/>
      <c r="AC872" s="45"/>
      <c r="AD872" s="114" t="str">
        <f t="shared" si="32"/>
        <v/>
      </c>
    </row>
    <row r="873" spans="15:30" x14ac:dyDescent="0.35">
      <c r="O873" t="str">
        <f t="shared" si="33"/>
        <v/>
      </c>
      <c r="P873" s="18"/>
      <c r="Q873" s="61"/>
      <c r="R873" s="118"/>
      <c r="S873" s="61"/>
      <c r="T873" s="66"/>
      <c r="U873" s="66"/>
      <c r="V873" s="38"/>
      <c r="W873" s="39"/>
      <c r="X873" s="40"/>
      <c r="Y873" s="41"/>
      <c r="Z873" s="42"/>
      <c r="AA873" s="43"/>
      <c r="AB873" s="44"/>
      <c r="AC873" s="45"/>
      <c r="AD873" s="114" t="str">
        <f t="shared" si="32"/>
        <v/>
      </c>
    </row>
    <row r="874" spans="15:30" x14ac:dyDescent="0.35">
      <c r="O874" t="str">
        <f t="shared" si="33"/>
        <v/>
      </c>
      <c r="P874" s="18"/>
      <c r="Q874" s="61"/>
      <c r="R874" s="61"/>
      <c r="S874" s="61"/>
      <c r="T874" s="66"/>
      <c r="U874" s="66"/>
      <c r="V874" s="38"/>
      <c r="W874" s="39"/>
      <c r="X874" s="40"/>
      <c r="Y874" s="41"/>
      <c r="Z874" s="42"/>
      <c r="AA874" s="43"/>
      <c r="AB874" s="44"/>
      <c r="AC874" s="45"/>
      <c r="AD874" s="114" t="str">
        <f t="shared" si="32"/>
        <v/>
      </c>
    </row>
    <row r="875" spans="15:30" x14ac:dyDescent="0.35">
      <c r="O875" t="str">
        <f t="shared" si="33"/>
        <v/>
      </c>
      <c r="P875" s="18"/>
      <c r="Q875" s="61"/>
      <c r="R875" s="61"/>
      <c r="S875" s="61"/>
      <c r="T875" s="66"/>
      <c r="U875" s="66"/>
      <c r="V875" s="38"/>
      <c r="W875" s="39"/>
      <c r="X875" s="40"/>
      <c r="Y875" s="41"/>
      <c r="Z875" s="42"/>
      <c r="AA875" s="43"/>
      <c r="AB875" s="44"/>
      <c r="AC875" s="45"/>
      <c r="AD875" s="114" t="str">
        <f t="shared" si="32"/>
        <v/>
      </c>
    </row>
    <row r="876" spans="15:30" x14ac:dyDescent="0.35">
      <c r="O876" t="str">
        <f t="shared" si="33"/>
        <v/>
      </c>
      <c r="P876" s="18"/>
      <c r="Q876" s="61"/>
      <c r="R876" s="118"/>
      <c r="S876" s="61"/>
      <c r="T876" s="66"/>
      <c r="U876" s="66"/>
      <c r="V876" s="38"/>
      <c r="W876" s="39"/>
      <c r="X876" s="40"/>
      <c r="Y876" s="41"/>
      <c r="Z876" s="42"/>
      <c r="AA876" s="43"/>
      <c r="AB876" s="44"/>
      <c r="AC876" s="45"/>
      <c r="AD876" s="114" t="str">
        <f t="shared" si="32"/>
        <v/>
      </c>
    </row>
    <row r="877" spans="15:30" x14ac:dyDescent="0.35">
      <c r="O877" t="str">
        <f t="shared" si="33"/>
        <v/>
      </c>
      <c r="P877" s="18"/>
      <c r="Q877" s="61"/>
      <c r="R877" s="118"/>
      <c r="S877" s="61"/>
      <c r="T877" s="66"/>
      <c r="U877" s="66"/>
      <c r="V877" s="38"/>
      <c r="W877" s="39"/>
      <c r="X877" s="40"/>
      <c r="Y877" s="41"/>
      <c r="Z877" s="42"/>
      <c r="AA877" s="43"/>
      <c r="AB877" s="44"/>
      <c r="AC877" s="45"/>
      <c r="AD877" s="114" t="str">
        <f t="shared" si="32"/>
        <v/>
      </c>
    </row>
    <row r="878" spans="15:30" x14ac:dyDescent="0.35">
      <c r="O878" t="str">
        <f t="shared" si="33"/>
        <v/>
      </c>
      <c r="P878" s="62"/>
      <c r="Q878" s="118"/>
      <c r="R878" s="61"/>
      <c r="S878" s="61"/>
      <c r="T878" s="66"/>
      <c r="U878" s="66"/>
      <c r="V878" s="38"/>
      <c r="W878" s="39"/>
      <c r="X878" s="40"/>
      <c r="Y878" s="41"/>
      <c r="Z878" s="42"/>
      <c r="AA878" s="43"/>
      <c r="AB878" s="44"/>
      <c r="AC878" s="45"/>
      <c r="AD878" s="114" t="str">
        <f t="shared" si="32"/>
        <v/>
      </c>
    </row>
    <row r="879" spans="15:30" x14ac:dyDescent="0.35">
      <c r="O879" t="str">
        <f t="shared" si="33"/>
        <v/>
      </c>
      <c r="P879" s="18"/>
      <c r="Q879" s="61"/>
      <c r="R879" s="61"/>
      <c r="S879" s="61"/>
      <c r="T879" s="66"/>
      <c r="U879" s="66"/>
      <c r="V879" s="38"/>
      <c r="W879" s="39"/>
      <c r="X879" s="40"/>
      <c r="Y879" s="41"/>
      <c r="Z879" s="42"/>
      <c r="AA879" s="43"/>
      <c r="AB879" s="44"/>
      <c r="AC879" s="45"/>
      <c r="AD879" s="114" t="str">
        <f t="shared" si="32"/>
        <v/>
      </c>
    </row>
    <row r="880" spans="15:30" x14ac:dyDescent="0.35">
      <c r="O880" t="str">
        <f t="shared" si="33"/>
        <v/>
      </c>
      <c r="P880" s="18"/>
      <c r="Q880" s="61"/>
      <c r="R880" s="61"/>
      <c r="S880" s="61"/>
      <c r="T880" s="66"/>
      <c r="U880" s="66"/>
      <c r="V880" s="38"/>
      <c r="W880" s="39"/>
      <c r="X880" s="40"/>
      <c r="Y880" s="41"/>
      <c r="Z880" s="42"/>
      <c r="AA880" s="43"/>
      <c r="AB880" s="44"/>
      <c r="AC880" s="45"/>
      <c r="AD880" s="114" t="str">
        <f t="shared" si="32"/>
        <v/>
      </c>
    </row>
    <row r="881" spans="15:30" x14ac:dyDescent="0.35">
      <c r="O881" t="str">
        <f t="shared" si="33"/>
        <v/>
      </c>
      <c r="P881" s="18"/>
      <c r="Q881" s="61"/>
      <c r="R881" s="61"/>
      <c r="S881" s="61"/>
      <c r="T881" s="66"/>
      <c r="U881" s="66"/>
      <c r="V881" s="38"/>
      <c r="W881" s="39"/>
      <c r="X881" s="40"/>
      <c r="Y881" s="41"/>
      <c r="Z881" s="42"/>
      <c r="AA881" s="43"/>
      <c r="AB881" s="44"/>
      <c r="AC881" s="45"/>
      <c r="AD881" s="114" t="str">
        <f t="shared" si="32"/>
        <v/>
      </c>
    </row>
    <row r="882" spans="15:30" x14ac:dyDescent="0.35">
      <c r="O882" t="str">
        <f t="shared" si="33"/>
        <v/>
      </c>
      <c r="P882" s="18"/>
      <c r="Q882" s="61"/>
      <c r="R882" s="118"/>
      <c r="S882" s="61"/>
      <c r="T882" s="66"/>
      <c r="U882" s="66"/>
      <c r="V882" s="38"/>
      <c r="W882" s="39"/>
      <c r="X882" s="40"/>
      <c r="Y882" s="41"/>
      <c r="Z882" s="42"/>
      <c r="AA882" s="43"/>
      <c r="AB882" s="44"/>
      <c r="AC882" s="45"/>
      <c r="AD882" s="114" t="str">
        <f t="shared" si="32"/>
        <v/>
      </c>
    </row>
    <row r="883" spans="15:30" x14ac:dyDescent="0.35">
      <c r="O883" t="str">
        <f t="shared" si="33"/>
        <v/>
      </c>
      <c r="P883" s="18"/>
      <c r="Q883" s="61"/>
      <c r="R883" s="118"/>
      <c r="S883" s="61"/>
      <c r="T883" s="66"/>
      <c r="U883" s="66"/>
      <c r="V883" s="38"/>
      <c r="W883" s="39"/>
      <c r="X883" s="40"/>
      <c r="Y883" s="41"/>
      <c r="Z883" s="42"/>
      <c r="AA883" s="43"/>
      <c r="AB883" s="44"/>
      <c r="AC883" s="45"/>
      <c r="AD883" s="114" t="str">
        <f t="shared" si="32"/>
        <v/>
      </c>
    </row>
    <row r="884" spans="15:30" x14ac:dyDescent="0.35">
      <c r="O884" t="str">
        <f t="shared" si="33"/>
        <v/>
      </c>
      <c r="P884" s="62"/>
      <c r="Q884" s="118"/>
      <c r="R884" s="61"/>
      <c r="S884" s="61"/>
      <c r="T884" s="66"/>
      <c r="U884" s="66"/>
      <c r="V884" s="38"/>
      <c r="W884" s="39"/>
      <c r="X884" s="40"/>
      <c r="Y884" s="41"/>
      <c r="Z884" s="42"/>
      <c r="AA884" s="43"/>
      <c r="AB884" s="44"/>
      <c r="AC884" s="45"/>
      <c r="AD884" s="114" t="str">
        <f t="shared" si="32"/>
        <v/>
      </c>
    </row>
    <row r="885" spans="15:30" x14ac:dyDescent="0.35">
      <c r="O885" t="str">
        <f t="shared" si="33"/>
        <v/>
      </c>
      <c r="P885" s="18"/>
      <c r="Q885" s="61"/>
      <c r="R885" s="61"/>
      <c r="S885" s="61"/>
      <c r="T885" s="66"/>
      <c r="U885" s="66"/>
      <c r="V885" s="38"/>
      <c r="W885" s="39"/>
      <c r="X885" s="40"/>
      <c r="Y885" s="41"/>
      <c r="Z885" s="42"/>
      <c r="AA885" s="43"/>
      <c r="AB885" s="44"/>
      <c r="AC885" s="45"/>
      <c r="AD885" s="114" t="str">
        <f t="shared" si="32"/>
        <v/>
      </c>
    </row>
    <row r="886" spans="15:30" x14ac:dyDescent="0.35">
      <c r="O886" t="str">
        <f t="shared" si="33"/>
        <v/>
      </c>
      <c r="P886" s="18"/>
      <c r="Q886" s="61"/>
      <c r="R886" s="118"/>
      <c r="S886" s="61"/>
      <c r="T886" s="66"/>
      <c r="U886" s="66"/>
      <c r="V886" s="38"/>
      <c r="W886" s="39"/>
      <c r="X886" s="40"/>
      <c r="Y886" s="41"/>
      <c r="Z886" s="42"/>
      <c r="AA886" s="43"/>
      <c r="AB886" s="44"/>
      <c r="AC886" s="45"/>
      <c r="AD886" s="114" t="str">
        <f t="shared" si="32"/>
        <v/>
      </c>
    </row>
    <row r="887" spans="15:30" x14ac:dyDescent="0.35">
      <c r="O887" t="str">
        <f t="shared" si="33"/>
        <v/>
      </c>
      <c r="P887" s="18"/>
      <c r="Q887" s="61"/>
      <c r="R887" s="118"/>
      <c r="S887" s="61"/>
      <c r="T887" s="66"/>
      <c r="U887" s="66"/>
      <c r="V887" s="38"/>
      <c r="W887" s="39"/>
      <c r="X887" s="40"/>
      <c r="Y887" s="41"/>
      <c r="Z887" s="42"/>
      <c r="AA887" s="43"/>
      <c r="AB887" s="44"/>
      <c r="AC887" s="45"/>
      <c r="AD887" s="114" t="str">
        <f t="shared" si="32"/>
        <v/>
      </c>
    </row>
    <row r="888" spans="15:30" x14ac:dyDescent="0.35">
      <c r="O888" t="str">
        <f t="shared" si="33"/>
        <v/>
      </c>
      <c r="P888" s="18"/>
      <c r="Q888" s="61"/>
      <c r="R888" s="61"/>
      <c r="S888" s="61"/>
      <c r="T888" s="66"/>
      <c r="U888" s="66"/>
      <c r="V888" s="38"/>
      <c r="W888" s="39"/>
      <c r="X888" s="40"/>
      <c r="Y888" s="41"/>
      <c r="Z888" s="42"/>
      <c r="AA888" s="43"/>
      <c r="AB888" s="44"/>
      <c r="AC888" s="45"/>
      <c r="AD888" s="114" t="str">
        <f t="shared" si="32"/>
        <v/>
      </c>
    </row>
    <row r="889" spans="15:30" x14ac:dyDescent="0.35">
      <c r="O889" t="str">
        <f t="shared" si="33"/>
        <v/>
      </c>
      <c r="P889" s="18"/>
      <c r="Q889" s="61"/>
      <c r="R889" s="61"/>
      <c r="S889" s="61"/>
      <c r="T889" s="66"/>
      <c r="U889" s="66"/>
      <c r="V889" s="38"/>
      <c r="W889" s="39"/>
      <c r="X889" s="40"/>
      <c r="Y889" s="41"/>
      <c r="Z889" s="42"/>
      <c r="AA889" s="43"/>
      <c r="AB889" s="44"/>
      <c r="AC889" s="45"/>
      <c r="AD889" s="114" t="str">
        <f t="shared" si="32"/>
        <v/>
      </c>
    </row>
    <row r="890" spans="15:30" x14ac:dyDescent="0.35">
      <c r="O890" t="str">
        <f t="shared" si="33"/>
        <v/>
      </c>
      <c r="P890" s="18"/>
      <c r="Q890" s="61"/>
      <c r="R890" s="118"/>
      <c r="S890" s="61"/>
      <c r="T890" s="66"/>
      <c r="U890" s="66"/>
      <c r="V890" s="38"/>
      <c r="W890" s="39"/>
      <c r="X890" s="40"/>
      <c r="Y890" s="41"/>
      <c r="Z890" s="42"/>
      <c r="AA890" s="43"/>
      <c r="AB890" s="44"/>
      <c r="AC890" s="45"/>
      <c r="AD890" s="114" t="str">
        <f t="shared" si="32"/>
        <v/>
      </c>
    </row>
    <row r="891" spans="15:30" x14ac:dyDescent="0.35">
      <c r="O891" t="str">
        <f t="shared" si="33"/>
        <v/>
      </c>
      <c r="P891" s="18"/>
      <c r="Q891" s="61"/>
      <c r="R891" s="118"/>
      <c r="S891" s="61"/>
      <c r="T891" s="66"/>
      <c r="U891" s="66"/>
      <c r="V891" s="38"/>
      <c r="W891" s="39"/>
      <c r="X891" s="40"/>
      <c r="Y891" s="41"/>
      <c r="Z891" s="42"/>
      <c r="AA891" s="43"/>
      <c r="AB891" s="44"/>
      <c r="AC891" s="45"/>
      <c r="AD891" s="114" t="str">
        <f t="shared" si="32"/>
        <v/>
      </c>
    </row>
    <row r="892" spans="15:30" x14ac:dyDescent="0.35">
      <c r="O892" t="str">
        <f t="shared" si="33"/>
        <v/>
      </c>
      <c r="P892" s="18"/>
      <c r="Q892" s="61"/>
      <c r="R892" s="118"/>
      <c r="S892" s="61"/>
      <c r="T892" s="66"/>
      <c r="U892" s="66"/>
      <c r="V892" s="38"/>
      <c r="W892" s="39"/>
      <c r="X892" s="40"/>
      <c r="Y892" s="41"/>
      <c r="Z892" s="42"/>
      <c r="AA892" s="43"/>
      <c r="AB892" s="44"/>
      <c r="AC892" s="45"/>
      <c r="AD892" s="114" t="str">
        <f t="shared" si="32"/>
        <v/>
      </c>
    </row>
    <row r="893" spans="15:30" x14ac:dyDescent="0.35">
      <c r="O893" t="str">
        <f t="shared" si="33"/>
        <v/>
      </c>
      <c r="P893" s="18"/>
      <c r="Q893" s="61"/>
      <c r="R893" s="61"/>
      <c r="S893" s="61"/>
      <c r="T893" s="66"/>
      <c r="U893" s="66"/>
      <c r="V893" s="38"/>
      <c r="W893" s="39"/>
      <c r="X893" s="40"/>
      <c r="Y893" s="41"/>
      <c r="Z893" s="42"/>
      <c r="AA893" s="43"/>
      <c r="AB893" s="44"/>
      <c r="AC893" s="45"/>
      <c r="AD893" s="114" t="str">
        <f t="shared" si="32"/>
        <v/>
      </c>
    </row>
    <row r="894" spans="15:30" x14ac:dyDescent="0.35">
      <c r="O894" t="str">
        <f t="shared" si="33"/>
        <v/>
      </c>
      <c r="P894" s="18"/>
      <c r="Q894" s="61"/>
      <c r="R894" s="118"/>
      <c r="S894" s="61"/>
      <c r="T894" s="66"/>
      <c r="U894" s="66"/>
      <c r="V894" s="38"/>
      <c r="W894" s="39"/>
      <c r="X894" s="40"/>
      <c r="Y894" s="41"/>
      <c r="Z894" s="42"/>
      <c r="AA894" s="43"/>
      <c r="AB894" s="44"/>
      <c r="AC894" s="45"/>
      <c r="AD894" s="114" t="str">
        <f t="shared" si="32"/>
        <v/>
      </c>
    </row>
    <row r="895" spans="15:30" x14ac:dyDescent="0.35">
      <c r="O895" t="str">
        <f t="shared" si="33"/>
        <v/>
      </c>
      <c r="P895" s="18"/>
      <c r="Q895" s="61"/>
      <c r="R895" s="61"/>
      <c r="S895" s="61"/>
      <c r="T895" s="66"/>
      <c r="U895" s="66"/>
      <c r="V895" s="38"/>
      <c r="W895" s="39"/>
      <c r="X895" s="40"/>
      <c r="Y895" s="41"/>
      <c r="Z895" s="42"/>
      <c r="AA895" s="43"/>
      <c r="AB895" s="44"/>
      <c r="AC895" s="45"/>
      <c r="AD895" s="114" t="str">
        <f t="shared" si="32"/>
        <v/>
      </c>
    </row>
    <row r="896" spans="15:30" x14ac:dyDescent="0.35">
      <c r="O896" t="str">
        <f t="shared" si="33"/>
        <v/>
      </c>
      <c r="P896" s="18"/>
      <c r="Q896" s="61"/>
      <c r="R896" s="61"/>
      <c r="S896" s="61"/>
      <c r="T896" s="66"/>
      <c r="U896" s="66"/>
      <c r="V896" s="38"/>
      <c r="W896" s="39"/>
      <c r="X896" s="40"/>
      <c r="Y896" s="41"/>
      <c r="Z896" s="42"/>
      <c r="AA896" s="43"/>
      <c r="AB896" s="44"/>
      <c r="AC896" s="45"/>
      <c r="AD896" s="114" t="str">
        <f t="shared" si="32"/>
        <v/>
      </c>
    </row>
    <row r="897" spans="15:30" x14ac:dyDescent="0.35">
      <c r="O897" t="str">
        <f t="shared" si="33"/>
        <v/>
      </c>
      <c r="P897" s="18"/>
      <c r="Q897" s="61"/>
      <c r="R897" s="118"/>
      <c r="S897" s="61"/>
      <c r="T897" s="66"/>
      <c r="U897" s="66"/>
      <c r="V897" s="38"/>
      <c r="W897" s="39"/>
      <c r="X897" s="40"/>
      <c r="Y897" s="41"/>
      <c r="Z897" s="42"/>
      <c r="AA897" s="43"/>
      <c r="AB897" s="44"/>
      <c r="AC897" s="45"/>
      <c r="AD897" s="114" t="str">
        <f t="shared" si="32"/>
        <v/>
      </c>
    </row>
    <row r="898" spans="15:30" x14ac:dyDescent="0.35">
      <c r="O898" t="str">
        <f t="shared" si="33"/>
        <v/>
      </c>
      <c r="P898" s="18"/>
      <c r="Q898" s="61"/>
      <c r="R898" s="118"/>
      <c r="S898" s="61"/>
      <c r="T898" s="66"/>
      <c r="U898" s="66"/>
      <c r="V898" s="38"/>
      <c r="W898" s="39"/>
      <c r="X898" s="40"/>
      <c r="Y898" s="41"/>
      <c r="Z898" s="42"/>
      <c r="AA898" s="43"/>
      <c r="AB898" s="44"/>
      <c r="AC898" s="45"/>
      <c r="AD898" s="114" t="str">
        <f t="shared" ref="AD898:AD961" si="34">IF(P898="","",AC898/6)</f>
        <v/>
      </c>
    </row>
    <row r="899" spans="15:30" x14ac:dyDescent="0.35">
      <c r="O899" t="str">
        <f t="shared" si="33"/>
        <v/>
      </c>
      <c r="P899" s="62"/>
      <c r="Q899" s="118"/>
      <c r="R899" s="61"/>
      <c r="S899" s="61"/>
      <c r="T899" s="66"/>
      <c r="U899" s="66"/>
      <c r="V899" s="38"/>
      <c r="W899" s="39"/>
      <c r="X899" s="40"/>
      <c r="Y899" s="41"/>
      <c r="Z899" s="42"/>
      <c r="AA899" s="43"/>
      <c r="AB899" s="44"/>
      <c r="AC899" s="45"/>
      <c r="AD899" s="114" t="str">
        <f t="shared" si="34"/>
        <v/>
      </c>
    </row>
    <row r="900" spans="15:30" x14ac:dyDescent="0.35">
      <c r="O900" t="str">
        <f t="shared" ref="O900:O902" si="35">IF(P900="","",O899+1)</f>
        <v/>
      </c>
      <c r="P900" s="18"/>
      <c r="Q900" s="61"/>
      <c r="R900" s="61"/>
      <c r="S900" s="61"/>
      <c r="T900" s="66"/>
      <c r="U900" s="66"/>
      <c r="V900" s="38"/>
      <c r="W900" s="39"/>
      <c r="X900" s="40"/>
      <c r="Y900" s="41"/>
      <c r="Z900" s="42"/>
      <c r="AA900" s="43"/>
      <c r="AB900" s="44"/>
      <c r="AC900" s="45"/>
      <c r="AD900" s="114" t="str">
        <f t="shared" si="34"/>
        <v/>
      </c>
    </row>
    <row r="901" spans="15:30" x14ac:dyDescent="0.35">
      <c r="O901" t="str">
        <f t="shared" si="35"/>
        <v/>
      </c>
      <c r="P901" s="18"/>
      <c r="Q901" s="61"/>
      <c r="R901" s="61"/>
      <c r="S901" s="61"/>
      <c r="T901" s="66"/>
      <c r="U901" s="66"/>
      <c r="V901" s="38"/>
      <c r="W901" s="39"/>
      <c r="X901" s="40"/>
      <c r="Y901" s="41"/>
      <c r="Z901" s="42"/>
      <c r="AA901" s="43"/>
      <c r="AB901" s="44"/>
      <c r="AC901" s="45"/>
      <c r="AD901" s="114" t="str">
        <f t="shared" si="34"/>
        <v/>
      </c>
    </row>
    <row r="902" spans="15:30" ht="15" thickBot="1" x14ac:dyDescent="0.4">
      <c r="O902" t="str">
        <f t="shared" si="35"/>
        <v/>
      </c>
      <c r="P902" s="20"/>
      <c r="Q902" s="63"/>
      <c r="R902" s="63"/>
      <c r="S902" s="63"/>
      <c r="T902" s="67"/>
      <c r="U902" s="67"/>
      <c r="V902" s="21"/>
      <c r="W902" s="22"/>
      <c r="X902" s="23"/>
      <c r="Y902" s="24"/>
      <c r="Z902" s="25"/>
      <c r="AA902" s="26"/>
      <c r="AB902" s="27"/>
      <c r="AC902" s="28"/>
      <c r="AD902" s="115" t="str">
        <f t="shared" si="34"/>
        <v/>
      </c>
    </row>
    <row r="903" spans="15:30" ht="15" thickTop="1" x14ac:dyDescent="0.35"/>
  </sheetData>
  <autoFilter ref="P1:AD809">
    <sortState ref="P2:AD902">
      <sortCondition ref="P1:P809"/>
    </sortState>
  </autoFilter>
  <sortState ref="B2:B18">
    <sortCondition ref="B2:B18"/>
  </sortState>
  <conditionalFormatting sqref="U2:U799">
    <cfRule type="cellIs" dxfId="14" priority="6" operator="equal">
      <formula>"Single type"</formula>
    </cfRule>
  </conditionalFormatting>
  <conditionalFormatting sqref="R2:R799">
    <cfRule type="cellIs" dxfId="13" priority="5" operator="equal">
      <formula>FALSE</formula>
    </cfRule>
  </conditionalFormatting>
  <conditionalFormatting sqref="U800:U884">
    <cfRule type="cellIs" dxfId="12" priority="4" operator="equal">
      <formula>"Single type"</formula>
    </cfRule>
  </conditionalFormatting>
  <conditionalFormatting sqref="R800:R884">
    <cfRule type="cellIs" dxfId="11" priority="3" operator="equal">
      <formula>FALSE</formula>
    </cfRule>
  </conditionalFormatting>
  <conditionalFormatting sqref="U885:U902">
    <cfRule type="cellIs" dxfId="10" priority="2" operator="equal">
      <formula>"Single type"</formula>
    </cfRule>
  </conditionalFormatting>
  <conditionalFormatting sqref="R885:R902">
    <cfRule type="cellIs" dxfId="9" priority="1" operator="equal">
      <formula>FALSE</formula>
    </cfRule>
  </conditionalFormatting>
  <dataValidations count="4">
    <dataValidation type="list" allowBlank="1" showInputMessage="1" showErrorMessage="1" sqref="D2:D3">
      <formula1>$B$1:$B$20</formula1>
    </dataValidation>
    <dataValidation type="list" allowBlank="1" showInputMessage="1" showErrorMessage="1" sqref="D4">
      <formula1>$A$3:$A$4</formula1>
    </dataValidation>
    <dataValidation type="list" allowBlank="1" showInputMessage="1" showErrorMessage="1" sqref="D1">
      <formula1>$A$6:$A$12</formula1>
    </dataValidation>
    <dataValidation type="list" allowBlank="1" showInputMessage="1" showErrorMessage="1" sqref="D9">
      <formula1>$V:$V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typesearch">
                <anchor moveWithCells="1">
                  <from>
                    <xdr:col>2</xdr:col>
                    <xdr:colOff>679450</xdr:colOff>
                    <xdr:row>4</xdr:row>
                    <xdr:rowOff>133350</xdr:rowOff>
                  </from>
                  <to>
                    <xdr:col>3</xdr:col>
                    <xdr:colOff>260350</xdr:colOff>
                    <xdr:row>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Z903"/>
  <sheetViews>
    <sheetView workbookViewId="0">
      <selection activeCell="AO1" sqref="AO1:AT1048576"/>
    </sheetView>
  </sheetViews>
  <sheetFormatPr defaultRowHeight="14.5" outlineLevelCol="3" x14ac:dyDescent="0.35"/>
  <cols>
    <col min="3" max="3" width="9.7265625" customWidth="1"/>
    <col min="4" max="4" width="13.26953125" customWidth="1"/>
    <col min="6" max="6" width="9.1796875" style="64"/>
    <col min="7" max="7" width="12.7265625" style="64" customWidth="1"/>
    <col min="8" max="8" width="31.26953125" style="64" customWidth="1"/>
    <col min="16" max="16" width="10.54296875" bestFit="1" customWidth="1"/>
    <col min="17" max="24" width="8.7265625" hidden="1" customWidth="1" outlineLevel="2"/>
    <col min="25" max="32" width="9.1796875" hidden="1" customWidth="1" outlineLevel="1"/>
    <col min="33" max="40" width="9.1796875" hidden="1" customWidth="1" outlineLevel="3"/>
    <col min="41" max="48" width="9.1796875" hidden="1" customWidth="1" outlineLevel="2"/>
    <col min="49" max="49" width="9.1796875" customWidth="1" collapsed="1"/>
    <col min="52" max="52" width="10.453125" bestFit="1" customWidth="1"/>
  </cols>
  <sheetData>
    <row r="1" spans="1:52" ht="21" thickTop="1" thickBot="1" x14ac:dyDescent="0.4">
      <c r="A1" t="s">
        <v>791</v>
      </c>
      <c r="B1" t="s">
        <v>790</v>
      </c>
      <c r="C1" t="s">
        <v>852</v>
      </c>
      <c r="D1" t="s">
        <v>848</v>
      </c>
      <c r="E1" t="s">
        <v>800</v>
      </c>
      <c r="F1" s="64" t="s">
        <v>798</v>
      </c>
      <c r="G1" s="64" t="s">
        <v>799</v>
      </c>
      <c r="H1" s="69" t="s">
        <v>781</v>
      </c>
      <c r="I1" s="30" t="s">
        <v>782</v>
      </c>
      <c r="J1" s="31" t="s">
        <v>783</v>
      </c>
      <c r="K1" s="32" t="s">
        <v>784</v>
      </c>
      <c r="L1" s="33" t="s">
        <v>785</v>
      </c>
      <c r="M1" s="34" t="s">
        <v>786</v>
      </c>
      <c r="N1" s="35" t="s">
        <v>787</v>
      </c>
      <c r="O1" s="36" t="s">
        <v>788</v>
      </c>
      <c r="P1" s="37" t="s">
        <v>789</v>
      </c>
      <c r="Q1" s="30" t="s">
        <v>979</v>
      </c>
      <c r="R1" s="31" t="s">
        <v>980</v>
      </c>
      <c r="S1" s="32" t="s">
        <v>981</v>
      </c>
      <c r="T1" s="33" t="s">
        <v>982</v>
      </c>
      <c r="U1" s="34" t="s">
        <v>983</v>
      </c>
      <c r="V1" s="35" t="s">
        <v>984</v>
      </c>
      <c r="W1" s="36" t="s">
        <v>985</v>
      </c>
      <c r="X1" s="36" t="s">
        <v>986</v>
      </c>
      <c r="Y1" s="30" t="s">
        <v>854</v>
      </c>
      <c r="Z1" s="31" t="s">
        <v>855</v>
      </c>
      <c r="AA1" s="32" t="s">
        <v>856</v>
      </c>
      <c r="AB1" s="33" t="s">
        <v>857</v>
      </c>
      <c r="AC1" s="34" t="s">
        <v>858</v>
      </c>
      <c r="AD1" s="35" t="s">
        <v>859</v>
      </c>
      <c r="AE1" s="36" t="s">
        <v>860</v>
      </c>
      <c r="AF1" s="37" t="s">
        <v>861</v>
      </c>
      <c r="AG1" s="30" t="s">
        <v>863</v>
      </c>
      <c r="AH1" s="31" t="s">
        <v>864</v>
      </c>
      <c r="AI1" s="32" t="s">
        <v>865</v>
      </c>
      <c r="AJ1" s="33" t="s">
        <v>867</v>
      </c>
      <c r="AK1" s="34" t="s">
        <v>868</v>
      </c>
      <c r="AL1" s="35" t="s">
        <v>866</v>
      </c>
      <c r="AM1" s="36" t="s">
        <v>878</v>
      </c>
      <c r="AN1" s="37" t="s">
        <v>869</v>
      </c>
      <c r="AO1" s="30" t="s">
        <v>870</v>
      </c>
      <c r="AP1" s="31" t="s">
        <v>871</v>
      </c>
      <c r="AQ1" s="32" t="s">
        <v>872</v>
      </c>
      <c r="AR1" s="33" t="s">
        <v>873</v>
      </c>
      <c r="AS1" s="34" t="s">
        <v>874</v>
      </c>
      <c r="AT1" s="35" t="s">
        <v>875</v>
      </c>
      <c r="AU1" s="36" t="s">
        <v>876</v>
      </c>
      <c r="AV1" s="37" t="s">
        <v>877</v>
      </c>
      <c r="AW1" s="36" t="s">
        <v>862</v>
      </c>
      <c r="AX1" t="str">
        <f>"is "&amp;'Refined Compare'!D2&amp;"?"</f>
        <v>is Dark?</v>
      </c>
      <c r="AY1" t="str">
        <f>"is "&amp;'Refined Compare'!D3&amp;"?"</f>
        <v>is Single type?</v>
      </c>
      <c r="AZ1" t="str">
        <f>"is GEN "&amp;AW2&amp;"?"</f>
        <v>is GEN 4?</v>
      </c>
    </row>
    <row r="2" spans="1:52" ht="15" thickTop="1" x14ac:dyDescent="0.35">
      <c r="A2">
        <v>1</v>
      </c>
      <c r="B2" s="117">
        <v>1</v>
      </c>
      <c r="C2" s="60">
        <v>1</v>
      </c>
      <c r="D2" s="60" t="b">
        <v>0</v>
      </c>
      <c r="E2" s="60"/>
      <c r="F2" s="65" t="s">
        <v>806</v>
      </c>
      <c r="G2" s="65" t="s">
        <v>807</v>
      </c>
      <c r="H2" s="9" t="s">
        <v>171</v>
      </c>
      <c r="I2" s="10">
        <f t="shared" ref="I2:P3" si="0">IF($AW$2=7,Q2,IF($AW$2=6,Y2,IF($AW$2=1,AO2,AG2)))</f>
        <v>45</v>
      </c>
      <c r="J2" s="11">
        <f t="shared" si="0"/>
        <v>49</v>
      </c>
      <c r="K2" s="12">
        <f t="shared" si="0"/>
        <v>49</v>
      </c>
      <c r="L2" s="13">
        <f t="shared" si="0"/>
        <v>65</v>
      </c>
      <c r="M2" s="14">
        <f t="shared" si="0"/>
        <v>65</v>
      </c>
      <c r="N2" s="15">
        <f t="shared" si="0"/>
        <v>45</v>
      </c>
      <c r="O2" s="16">
        <f t="shared" si="0"/>
        <v>318</v>
      </c>
      <c r="P2" s="17">
        <f t="shared" si="0"/>
        <v>53</v>
      </c>
      <c r="Q2" s="176">
        <v>45</v>
      </c>
      <c r="R2" s="11">
        <v>49</v>
      </c>
      <c r="S2" s="12">
        <v>49</v>
      </c>
      <c r="T2" s="13">
        <v>65</v>
      </c>
      <c r="U2" s="14">
        <v>65</v>
      </c>
      <c r="V2" s="15">
        <v>45</v>
      </c>
      <c r="W2" s="16">
        <f>SUM(Q2:V2)</f>
        <v>318</v>
      </c>
      <c r="X2" s="17">
        <f>ROUND(AVERAGE(Q2:V2),2)</f>
        <v>53</v>
      </c>
      <c r="Y2" s="10">
        <v>45</v>
      </c>
      <c r="Z2" s="11">
        <v>49</v>
      </c>
      <c r="AA2" s="12">
        <v>49</v>
      </c>
      <c r="AB2" s="13">
        <v>65</v>
      </c>
      <c r="AC2" s="14">
        <v>65</v>
      </c>
      <c r="AD2" s="15">
        <v>45</v>
      </c>
      <c r="AE2" s="16">
        <v>318</v>
      </c>
      <c r="AF2" s="17">
        <v>53</v>
      </c>
      <c r="AG2" s="145">
        <v>45</v>
      </c>
      <c r="AH2" s="146">
        <v>49</v>
      </c>
      <c r="AI2" s="147">
        <v>49</v>
      </c>
      <c r="AJ2" s="148">
        <v>65</v>
      </c>
      <c r="AK2" s="149">
        <v>65</v>
      </c>
      <c r="AL2" s="150">
        <v>45</v>
      </c>
      <c r="AM2" s="151">
        <v>318</v>
      </c>
      <c r="AN2" s="152">
        <v>53</v>
      </c>
      <c r="AO2" s="145">
        <v>45</v>
      </c>
      <c r="AP2" s="146">
        <v>49</v>
      </c>
      <c r="AQ2" s="147">
        <v>49</v>
      </c>
      <c r="AR2" s="163">
        <v>65</v>
      </c>
      <c r="AS2" s="163">
        <v>65</v>
      </c>
      <c r="AT2" s="150">
        <v>45</v>
      </c>
      <c r="AU2" s="151">
        <f>SUM(AO2:AT2)</f>
        <v>318</v>
      </c>
      <c r="AV2" s="152">
        <f>AU2/6</f>
        <v>53</v>
      </c>
      <c r="AW2" s="16">
        <f>'Refined Compare'!D1</f>
        <v>4</v>
      </c>
      <c r="AX2" s="174" t="b">
        <f>IF('Refined Compare'!$D$2="All",TRUE,IF(F2='Refined Compare'!$D$2,TRUE,IF(G2='Refined Compare'!$D$2,TRUE,FALSE)))</f>
        <v>0</v>
      </c>
      <c r="AY2" s="174" t="b">
        <f>IF('Refined Compare'!$D$3="All",TRUE,IF(F2='Refined Compare'!$D$3,TRUE,IF(G2='Refined Compare'!$D$3,TRUE,FALSE)))</f>
        <v>0</v>
      </c>
      <c r="AZ2" s="174" t="b">
        <f t="shared" ref="AZ2:AZ65" si="1">IF(C2&lt;=$AW$2,TRUE,FALSE)</f>
        <v>1</v>
      </c>
    </row>
    <row r="3" spans="1:52" x14ac:dyDescent="0.35">
      <c r="A3">
        <f>A2+1</f>
        <v>2</v>
      </c>
      <c r="B3" s="18">
        <v>2</v>
      </c>
      <c r="C3" s="61">
        <v>1</v>
      </c>
      <c r="D3" s="61" t="b">
        <v>0</v>
      </c>
      <c r="E3" s="61"/>
      <c r="F3" s="66" t="s">
        <v>806</v>
      </c>
      <c r="G3" s="66" t="s">
        <v>807</v>
      </c>
      <c r="H3" s="2" t="s">
        <v>312</v>
      </c>
      <c r="I3" s="39">
        <f t="shared" si="0"/>
        <v>60</v>
      </c>
      <c r="J3" s="40">
        <f t="shared" si="0"/>
        <v>62</v>
      </c>
      <c r="K3" s="41">
        <f t="shared" si="0"/>
        <v>63</v>
      </c>
      <c r="L3" s="42">
        <f t="shared" si="0"/>
        <v>80</v>
      </c>
      <c r="M3" s="43">
        <f t="shared" si="0"/>
        <v>80</v>
      </c>
      <c r="N3" s="44">
        <f t="shared" si="0"/>
        <v>60</v>
      </c>
      <c r="O3" s="45">
        <f t="shared" si="0"/>
        <v>405</v>
      </c>
      <c r="P3" s="19">
        <f t="shared" si="0"/>
        <v>67.5</v>
      </c>
      <c r="Q3" s="177">
        <v>60</v>
      </c>
      <c r="R3" s="40">
        <v>62</v>
      </c>
      <c r="S3" s="41">
        <v>63</v>
      </c>
      <c r="T3" s="42">
        <v>80</v>
      </c>
      <c r="U3" s="43">
        <v>80</v>
      </c>
      <c r="V3" s="44">
        <v>60</v>
      </c>
      <c r="W3" s="45">
        <f t="shared" ref="W3:W26" si="2">SUM(Q3:V3)</f>
        <v>405</v>
      </c>
      <c r="X3" s="19">
        <f t="shared" ref="X3:X26" si="3">ROUND(AVERAGE(Q3:V3),2)</f>
        <v>67.5</v>
      </c>
      <c r="Y3" s="3">
        <v>60</v>
      </c>
      <c r="Z3" s="4">
        <v>62</v>
      </c>
      <c r="AA3" s="5">
        <v>63</v>
      </c>
      <c r="AB3" s="6">
        <v>80</v>
      </c>
      <c r="AC3" s="7">
        <v>80</v>
      </c>
      <c r="AD3" s="8">
        <v>60</v>
      </c>
      <c r="AE3" s="1">
        <v>405</v>
      </c>
      <c r="AF3" s="19">
        <v>67.5</v>
      </c>
      <c r="AG3" s="139">
        <v>60</v>
      </c>
      <c r="AH3" s="140">
        <v>62</v>
      </c>
      <c r="AI3" s="141">
        <v>63</v>
      </c>
      <c r="AJ3" s="142">
        <v>80</v>
      </c>
      <c r="AK3" s="143">
        <v>80</v>
      </c>
      <c r="AL3" s="144">
        <v>60</v>
      </c>
      <c r="AM3" s="138">
        <v>405</v>
      </c>
      <c r="AN3" s="153">
        <v>67.5</v>
      </c>
      <c r="AO3" s="139">
        <v>60</v>
      </c>
      <c r="AP3" s="140">
        <v>62</v>
      </c>
      <c r="AQ3" s="141">
        <v>63</v>
      </c>
      <c r="AR3" s="162">
        <v>80</v>
      </c>
      <c r="AS3" s="162">
        <v>80</v>
      </c>
      <c r="AT3" s="144">
        <v>60</v>
      </c>
      <c r="AU3" s="138">
        <f>SUM(AO3:AT3)</f>
        <v>405</v>
      </c>
      <c r="AV3" s="153">
        <f>AU3/6</f>
        <v>67.5</v>
      </c>
      <c r="AW3" s="45"/>
      <c r="AX3" s="174" t="b">
        <f>IF('Refined Compare'!$D$2="All",TRUE,IF(F3='Refined Compare'!$D$2,TRUE,IF(G3='Refined Compare'!$D$2,TRUE,FALSE)))</f>
        <v>0</v>
      </c>
      <c r="AY3" s="174" t="b">
        <f>IF('Refined Compare'!$D$3="All",TRUE,IF(F3='Refined Compare'!$D$3,TRUE,IF(G3='Refined Compare'!$D$3,TRUE,FALSE)))</f>
        <v>0</v>
      </c>
      <c r="AZ3" s="174" t="b">
        <f t="shared" si="1"/>
        <v>1</v>
      </c>
    </row>
    <row r="4" spans="1:52" x14ac:dyDescent="0.35">
      <c r="A4">
        <f t="shared" ref="A4:A78" si="4">A3+1</f>
        <v>3</v>
      </c>
      <c r="B4" s="18">
        <v>3</v>
      </c>
      <c r="C4" s="61">
        <v>1</v>
      </c>
      <c r="D4" s="61" t="b">
        <f>IF($AW$2&lt;6,TRUE,FALSE)</f>
        <v>1</v>
      </c>
      <c r="E4" s="61"/>
      <c r="F4" s="66" t="s">
        <v>806</v>
      </c>
      <c r="G4" s="66" t="s">
        <v>807</v>
      </c>
      <c r="H4" s="2" t="s">
        <v>496</v>
      </c>
      <c r="I4" s="39">
        <f t="shared" ref="I4:I26" si="5">IF($AW$2=7,Q4,IF($AW$2=6,Y4,IF($AW$2=1,AO4,AG4)))</f>
        <v>80</v>
      </c>
      <c r="J4" s="40">
        <f t="shared" ref="J4:J26" si="6">IF($AW$2=7,R4,IF($AW$2=6,Z4,IF($AW$2=1,AP4,AH4)))</f>
        <v>82</v>
      </c>
      <c r="K4" s="41">
        <f t="shared" ref="K4:K26" si="7">IF($AW$2=7,S4,IF($AW$2=6,AA4,IF($AW$2=1,AQ4,AI4)))</f>
        <v>83</v>
      </c>
      <c r="L4" s="42">
        <f t="shared" ref="L4:L26" si="8">IF($AW$2=7,T4,IF($AW$2=6,AB4,IF($AW$2=1,AR4,AJ4)))</f>
        <v>100</v>
      </c>
      <c r="M4" s="43">
        <f t="shared" ref="M4:M26" si="9">IF($AW$2=7,U4,IF($AW$2=6,AC4,IF($AW$2=1,AS4,AK4)))</f>
        <v>100</v>
      </c>
      <c r="N4" s="44">
        <f t="shared" ref="N4:N26" si="10">IF($AW$2=7,V4,IF($AW$2=6,AD4,IF($AW$2=1,AT4,AL4)))</f>
        <v>80</v>
      </c>
      <c r="O4" s="45">
        <f t="shared" ref="O4:O26" si="11">IF($AW$2=7,W4,IF($AW$2=6,AE4,IF($AW$2=1,AU4,AM4)))</f>
        <v>525</v>
      </c>
      <c r="P4" s="19">
        <f t="shared" ref="P4:P26" si="12">IF($AW$2=7,X4,IF($AW$2=6,AF4,IF($AW$2=1,AV4,AN4)))</f>
        <v>87.5</v>
      </c>
      <c r="Q4" s="177">
        <v>80</v>
      </c>
      <c r="R4" s="40">
        <v>82</v>
      </c>
      <c r="S4" s="41">
        <v>83</v>
      </c>
      <c r="T4" s="42">
        <v>100</v>
      </c>
      <c r="U4" s="43">
        <v>100</v>
      </c>
      <c r="V4" s="44">
        <v>80</v>
      </c>
      <c r="W4" s="45">
        <f t="shared" si="2"/>
        <v>525</v>
      </c>
      <c r="X4" s="19">
        <f t="shared" si="3"/>
        <v>87.5</v>
      </c>
      <c r="Y4" s="3">
        <v>80</v>
      </c>
      <c r="Z4" s="4">
        <v>82</v>
      </c>
      <c r="AA4" s="5">
        <v>83</v>
      </c>
      <c r="AB4" s="6">
        <v>100</v>
      </c>
      <c r="AC4" s="7">
        <v>100</v>
      </c>
      <c r="AD4" s="8">
        <v>80</v>
      </c>
      <c r="AE4" s="1">
        <v>525</v>
      </c>
      <c r="AF4" s="19">
        <v>87.5</v>
      </c>
      <c r="AG4" s="139">
        <v>80</v>
      </c>
      <c r="AH4" s="140">
        <v>82</v>
      </c>
      <c r="AI4" s="141">
        <v>83</v>
      </c>
      <c r="AJ4" s="142">
        <v>100</v>
      </c>
      <c r="AK4" s="143">
        <v>100</v>
      </c>
      <c r="AL4" s="144">
        <v>80</v>
      </c>
      <c r="AM4" s="138">
        <v>525</v>
      </c>
      <c r="AN4" s="153">
        <v>87.5</v>
      </c>
      <c r="AO4" s="139">
        <v>80</v>
      </c>
      <c r="AP4" s="140">
        <v>82</v>
      </c>
      <c r="AQ4" s="141">
        <v>83</v>
      </c>
      <c r="AR4" s="162">
        <v>100</v>
      </c>
      <c r="AS4" s="162">
        <v>100</v>
      </c>
      <c r="AT4" s="144">
        <v>80</v>
      </c>
      <c r="AU4" s="138">
        <f>SUM(AO4:AT4)</f>
        <v>525</v>
      </c>
      <c r="AV4" s="153">
        <f>AU4/6</f>
        <v>87.5</v>
      </c>
      <c r="AW4" s="45"/>
      <c r="AX4" s="174" t="b">
        <f>IF('Refined Compare'!$D$2="All",TRUE,IF(F4='Refined Compare'!$D$2,TRUE,IF(G4='Refined Compare'!$D$2,TRUE,FALSE)))</f>
        <v>0</v>
      </c>
      <c r="AY4" s="174" t="b">
        <f>IF('Refined Compare'!$D$3="All",TRUE,IF(F4='Refined Compare'!$D$3,TRUE,IF(G4='Refined Compare'!$D$3,TRUE,FALSE)))</f>
        <v>0</v>
      </c>
      <c r="AZ4" s="174" t="b">
        <f t="shared" si="1"/>
        <v>1</v>
      </c>
    </row>
    <row r="5" spans="1:52" x14ac:dyDescent="0.35">
      <c r="A5">
        <f t="shared" si="4"/>
        <v>4</v>
      </c>
      <c r="B5" s="62">
        <v>3</v>
      </c>
      <c r="C5" s="61">
        <v>6</v>
      </c>
      <c r="D5" s="118" t="b">
        <f>IF(AZ5,TRUE,FALSE)</f>
        <v>0</v>
      </c>
      <c r="E5" s="61" t="s">
        <v>801</v>
      </c>
      <c r="F5" s="66" t="s">
        <v>806</v>
      </c>
      <c r="G5" s="66" t="s">
        <v>807</v>
      </c>
      <c r="H5" s="38" t="s">
        <v>497</v>
      </c>
      <c r="I5" s="39">
        <f t="shared" si="5"/>
        <v>0</v>
      </c>
      <c r="J5" s="40">
        <f t="shared" si="6"/>
        <v>0</v>
      </c>
      <c r="K5" s="41">
        <f t="shared" si="7"/>
        <v>0</v>
      </c>
      <c r="L5" s="42">
        <f t="shared" si="8"/>
        <v>0</v>
      </c>
      <c r="M5" s="43">
        <f t="shared" si="9"/>
        <v>0</v>
      </c>
      <c r="N5" s="44">
        <f t="shared" si="10"/>
        <v>0</v>
      </c>
      <c r="O5" s="45">
        <f t="shared" si="11"/>
        <v>0</v>
      </c>
      <c r="P5" s="19">
        <f t="shared" si="12"/>
        <v>0</v>
      </c>
      <c r="Q5" s="177">
        <v>80</v>
      </c>
      <c r="R5" s="40">
        <v>100</v>
      </c>
      <c r="S5" s="41">
        <v>123</v>
      </c>
      <c r="T5" s="42">
        <v>122</v>
      </c>
      <c r="U5" s="43">
        <v>120</v>
      </c>
      <c r="V5" s="44">
        <v>80</v>
      </c>
      <c r="W5" s="45">
        <f t="shared" si="2"/>
        <v>625</v>
      </c>
      <c r="X5" s="19">
        <f t="shared" si="3"/>
        <v>104.17</v>
      </c>
      <c r="Y5" s="39">
        <v>80</v>
      </c>
      <c r="Z5" s="40">
        <v>100</v>
      </c>
      <c r="AA5" s="41">
        <v>123</v>
      </c>
      <c r="AB5" s="42">
        <v>122</v>
      </c>
      <c r="AC5" s="43">
        <v>120</v>
      </c>
      <c r="AD5" s="44">
        <v>80</v>
      </c>
      <c r="AE5" s="45">
        <v>625</v>
      </c>
      <c r="AF5" s="19">
        <v>104.17</v>
      </c>
      <c r="AG5" s="174"/>
      <c r="AH5" s="174"/>
      <c r="AI5" s="174"/>
      <c r="AJ5" s="174"/>
      <c r="AK5" s="174"/>
      <c r="AL5" s="174"/>
      <c r="AM5" s="174"/>
      <c r="AN5" s="172"/>
      <c r="AO5" s="174"/>
      <c r="AP5" s="174"/>
      <c r="AQ5" s="174"/>
      <c r="AR5" s="174"/>
      <c r="AS5" s="174"/>
      <c r="AT5" s="174"/>
      <c r="AU5" s="174"/>
      <c r="AV5" s="172"/>
      <c r="AW5" s="45"/>
      <c r="AX5" s="174" t="b">
        <f>IF('Refined Compare'!$D$2="All",TRUE,IF(F5='Refined Compare'!$D$2,TRUE,IF(G5='Refined Compare'!$D$2,TRUE,FALSE)))</f>
        <v>0</v>
      </c>
      <c r="AY5" s="174" t="b">
        <f>IF('Refined Compare'!$D$3="All",TRUE,IF(F5='Refined Compare'!$D$3,TRUE,IF(G5='Refined Compare'!$D$3,TRUE,FALSE)))</f>
        <v>0</v>
      </c>
      <c r="AZ5" s="174" t="b">
        <f t="shared" si="1"/>
        <v>0</v>
      </c>
    </row>
    <row r="6" spans="1:52" x14ac:dyDescent="0.35">
      <c r="A6">
        <f t="shared" si="4"/>
        <v>5</v>
      </c>
      <c r="B6" s="18">
        <v>4</v>
      </c>
      <c r="C6" s="61">
        <v>1</v>
      </c>
      <c r="D6" s="61" t="b">
        <v>0</v>
      </c>
      <c r="E6" s="61"/>
      <c r="F6" s="66" t="s">
        <v>808</v>
      </c>
      <c r="G6" s="66" t="s">
        <v>827</v>
      </c>
      <c r="H6" s="2" t="s">
        <v>366</v>
      </c>
      <c r="I6" s="39">
        <f t="shared" si="5"/>
        <v>39</v>
      </c>
      <c r="J6" s="40">
        <f t="shared" si="6"/>
        <v>52</v>
      </c>
      <c r="K6" s="41">
        <f t="shared" si="7"/>
        <v>43</v>
      </c>
      <c r="L6" s="42">
        <f t="shared" si="8"/>
        <v>60</v>
      </c>
      <c r="M6" s="43">
        <f t="shared" si="9"/>
        <v>50</v>
      </c>
      <c r="N6" s="44">
        <f t="shared" si="10"/>
        <v>65</v>
      </c>
      <c r="O6" s="45">
        <f t="shared" si="11"/>
        <v>309</v>
      </c>
      <c r="P6" s="19">
        <f t="shared" si="12"/>
        <v>51.5</v>
      </c>
      <c r="Q6" s="177">
        <v>39</v>
      </c>
      <c r="R6" s="40">
        <v>52</v>
      </c>
      <c r="S6" s="41">
        <v>43</v>
      </c>
      <c r="T6" s="42">
        <v>60</v>
      </c>
      <c r="U6" s="43">
        <v>50</v>
      </c>
      <c r="V6" s="44">
        <v>65</v>
      </c>
      <c r="W6" s="45">
        <f t="shared" si="2"/>
        <v>309</v>
      </c>
      <c r="X6" s="19">
        <f t="shared" si="3"/>
        <v>51.5</v>
      </c>
      <c r="Y6" s="3">
        <v>39</v>
      </c>
      <c r="Z6" s="4">
        <v>52</v>
      </c>
      <c r="AA6" s="5">
        <v>43</v>
      </c>
      <c r="AB6" s="6">
        <v>60</v>
      </c>
      <c r="AC6" s="7">
        <v>50</v>
      </c>
      <c r="AD6" s="8">
        <v>65</v>
      </c>
      <c r="AE6" s="1">
        <v>309</v>
      </c>
      <c r="AF6" s="19">
        <v>51.5</v>
      </c>
      <c r="AG6" s="139">
        <v>39</v>
      </c>
      <c r="AH6" s="140">
        <v>52</v>
      </c>
      <c r="AI6" s="141">
        <v>43</v>
      </c>
      <c r="AJ6" s="142">
        <v>60</v>
      </c>
      <c r="AK6" s="143">
        <v>50</v>
      </c>
      <c r="AL6" s="144">
        <v>65</v>
      </c>
      <c r="AM6" s="138">
        <v>309</v>
      </c>
      <c r="AN6" s="153">
        <v>51.5</v>
      </c>
      <c r="AO6" s="139">
        <v>39</v>
      </c>
      <c r="AP6" s="140">
        <v>52</v>
      </c>
      <c r="AQ6" s="141">
        <v>43</v>
      </c>
      <c r="AR6" s="162">
        <v>50</v>
      </c>
      <c r="AS6" s="162">
        <v>50</v>
      </c>
      <c r="AT6" s="144">
        <v>65</v>
      </c>
      <c r="AU6" s="138">
        <f>SUM(AO6:AT6)</f>
        <v>299</v>
      </c>
      <c r="AV6" s="153">
        <f>AU6/6</f>
        <v>49.833333333333336</v>
      </c>
      <c r="AW6" s="45"/>
      <c r="AX6" s="174" t="b">
        <f>IF('Refined Compare'!$D$2="All",TRUE,IF(F6='Refined Compare'!$D$2,TRUE,IF(G6='Refined Compare'!$D$2,TRUE,FALSE)))</f>
        <v>0</v>
      </c>
      <c r="AY6" s="174" t="b">
        <f>IF('Refined Compare'!$D$3="All",TRUE,IF(F6='Refined Compare'!$D$3,TRUE,IF(G6='Refined Compare'!$D$3,TRUE,FALSE)))</f>
        <v>1</v>
      </c>
      <c r="AZ6" s="174" t="b">
        <f t="shared" si="1"/>
        <v>1</v>
      </c>
    </row>
    <row r="7" spans="1:52" x14ac:dyDescent="0.35">
      <c r="A7">
        <f t="shared" si="4"/>
        <v>6</v>
      </c>
      <c r="B7" s="18">
        <v>5</v>
      </c>
      <c r="C7" s="61">
        <v>1</v>
      </c>
      <c r="D7" s="61" t="b">
        <v>0</v>
      </c>
      <c r="E7" s="61"/>
      <c r="F7" s="66" t="s">
        <v>808</v>
      </c>
      <c r="G7" s="66" t="s">
        <v>827</v>
      </c>
      <c r="H7" s="2" t="s">
        <v>498</v>
      </c>
      <c r="I7" s="39">
        <f t="shared" si="5"/>
        <v>58</v>
      </c>
      <c r="J7" s="40">
        <f t="shared" si="6"/>
        <v>64</v>
      </c>
      <c r="K7" s="41">
        <f t="shared" si="7"/>
        <v>58</v>
      </c>
      <c r="L7" s="42">
        <f t="shared" si="8"/>
        <v>80</v>
      </c>
      <c r="M7" s="43">
        <f t="shared" si="9"/>
        <v>65</v>
      </c>
      <c r="N7" s="44">
        <f t="shared" si="10"/>
        <v>80</v>
      </c>
      <c r="O7" s="45">
        <f t="shared" si="11"/>
        <v>405</v>
      </c>
      <c r="P7" s="19">
        <f t="shared" si="12"/>
        <v>67.5</v>
      </c>
      <c r="Q7" s="177">
        <v>58</v>
      </c>
      <c r="R7" s="40">
        <v>64</v>
      </c>
      <c r="S7" s="41">
        <v>58</v>
      </c>
      <c r="T7" s="42">
        <v>80</v>
      </c>
      <c r="U7" s="43">
        <v>65</v>
      </c>
      <c r="V7" s="44">
        <v>80</v>
      </c>
      <c r="W7" s="45">
        <f t="shared" si="2"/>
        <v>405</v>
      </c>
      <c r="X7" s="19">
        <f t="shared" si="3"/>
        <v>67.5</v>
      </c>
      <c r="Y7" s="3">
        <v>58</v>
      </c>
      <c r="Z7" s="4">
        <v>64</v>
      </c>
      <c r="AA7" s="5">
        <v>58</v>
      </c>
      <c r="AB7" s="6">
        <v>80</v>
      </c>
      <c r="AC7" s="7">
        <v>65</v>
      </c>
      <c r="AD7" s="8">
        <v>80</v>
      </c>
      <c r="AE7" s="1">
        <v>405</v>
      </c>
      <c r="AF7" s="19">
        <v>67.5</v>
      </c>
      <c r="AG7" s="139">
        <v>58</v>
      </c>
      <c r="AH7" s="140">
        <v>64</v>
      </c>
      <c r="AI7" s="141">
        <v>58</v>
      </c>
      <c r="AJ7" s="142">
        <v>80</v>
      </c>
      <c r="AK7" s="143">
        <v>65</v>
      </c>
      <c r="AL7" s="144">
        <v>80</v>
      </c>
      <c r="AM7" s="138">
        <v>405</v>
      </c>
      <c r="AN7" s="153">
        <v>67.5</v>
      </c>
      <c r="AO7" s="139">
        <v>58</v>
      </c>
      <c r="AP7" s="140">
        <v>64</v>
      </c>
      <c r="AQ7" s="141">
        <v>58</v>
      </c>
      <c r="AR7" s="162">
        <v>65</v>
      </c>
      <c r="AS7" s="162">
        <v>65</v>
      </c>
      <c r="AT7" s="144">
        <v>80</v>
      </c>
      <c r="AU7" s="138">
        <f>SUM(AO7:AT7)</f>
        <v>390</v>
      </c>
      <c r="AV7" s="153">
        <f>AU7/6</f>
        <v>65</v>
      </c>
      <c r="AW7" s="45"/>
      <c r="AX7" s="174" t="b">
        <f>IF('Refined Compare'!$D$2="All",TRUE,IF(F7='Refined Compare'!$D$2,TRUE,IF(G7='Refined Compare'!$D$2,TRUE,FALSE)))</f>
        <v>0</v>
      </c>
      <c r="AY7" s="174" t="b">
        <f>IF('Refined Compare'!$D$3="All",TRUE,IF(F7='Refined Compare'!$D$3,TRUE,IF(G7='Refined Compare'!$D$3,TRUE,FALSE)))</f>
        <v>1</v>
      </c>
      <c r="AZ7" s="174" t="b">
        <f t="shared" si="1"/>
        <v>1</v>
      </c>
    </row>
    <row r="8" spans="1:52" x14ac:dyDescent="0.35">
      <c r="A8">
        <f t="shared" si="4"/>
        <v>7</v>
      </c>
      <c r="B8" s="18">
        <v>6</v>
      </c>
      <c r="C8" s="61">
        <v>1</v>
      </c>
      <c r="D8" s="61" t="b">
        <f>IF($AW$2&lt;6,TRUE,FALSE)</f>
        <v>1</v>
      </c>
      <c r="E8" s="61"/>
      <c r="F8" s="66" t="s">
        <v>808</v>
      </c>
      <c r="G8" s="66" t="s">
        <v>809</v>
      </c>
      <c r="H8" s="2" t="s">
        <v>653</v>
      </c>
      <c r="I8" s="39">
        <f t="shared" si="5"/>
        <v>78</v>
      </c>
      <c r="J8" s="40">
        <f t="shared" si="6"/>
        <v>84</v>
      </c>
      <c r="K8" s="41">
        <f t="shared" si="7"/>
        <v>78</v>
      </c>
      <c r="L8" s="42">
        <f t="shared" si="8"/>
        <v>109</v>
      </c>
      <c r="M8" s="43">
        <f t="shared" si="9"/>
        <v>85</v>
      </c>
      <c r="N8" s="44">
        <f t="shared" si="10"/>
        <v>100</v>
      </c>
      <c r="O8" s="45">
        <f t="shared" si="11"/>
        <v>534</v>
      </c>
      <c r="P8" s="19">
        <f t="shared" si="12"/>
        <v>89</v>
      </c>
      <c r="Q8" s="177">
        <v>78</v>
      </c>
      <c r="R8" s="40">
        <v>84</v>
      </c>
      <c r="S8" s="41">
        <v>78</v>
      </c>
      <c r="T8" s="42">
        <v>109</v>
      </c>
      <c r="U8" s="43">
        <v>85</v>
      </c>
      <c r="V8" s="44">
        <v>100</v>
      </c>
      <c r="W8" s="45">
        <f t="shared" si="2"/>
        <v>534</v>
      </c>
      <c r="X8" s="19">
        <f t="shared" si="3"/>
        <v>89</v>
      </c>
      <c r="Y8" s="3">
        <v>78</v>
      </c>
      <c r="Z8" s="4">
        <v>84</v>
      </c>
      <c r="AA8" s="5">
        <v>78</v>
      </c>
      <c r="AB8" s="6">
        <v>109</v>
      </c>
      <c r="AC8" s="7">
        <v>85</v>
      </c>
      <c r="AD8" s="8">
        <v>100</v>
      </c>
      <c r="AE8" s="1">
        <v>534</v>
      </c>
      <c r="AF8" s="19">
        <v>89</v>
      </c>
      <c r="AG8" s="139">
        <v>78</v>
      </c>
      <c r="AH8" s="140">
        <v>84</v>
      </c>
      <c r="AI8" s="141">
        <v>78</v>
      </c>
      <c r="AJ8" s="142">
        <v>109</v>
      </c>
      <c r="AK8" s="143">
        <v>85</v>
      </c>
      <c r="AL8" s="144">
        <v>100</v>
      </c>
      <c r="AM8" s="138">
        <v>534</v>
      </c>
      <c r="AN8" s="153">
        <v>89</v>
      </c>
      <c r="AO8" s="139">
        <v>78</v>
      </c>
      <c r="AP8" s="140">
        <v>84</v>
      </c>
      <c r="AQ8" s="141">
        <v>78</v>
      </c>
      <c r="AR8" s="162">
        <v>85</v>
      </c>
      <c r="AS8" s="162">
        <v>85</v>
      </c>
      <c r="AT8" s="144">
        <v>100</v>
      </c>
      <c r="AU8" s="138">
        <f>SUM(AO8:AT8)</f>
        <v>510</v>
      </c>
      <c r="AV8" s="153">
        <f>AU8/6</f>
        <v>85</v>
      </c>
      <c r="AW8" s="45"/>
      <c r="AX8" s="174" t="b">
        <f>IF('Refined Compare'!$D$2="All",TRUE,IF(F8='Refined Compare'!$D$2,TRUE,IF(G8='Refined Compare'!$D$2,TRUE,FALSE)))</f>
        <v>0</v>
      </c>
      <c r="AY8" s="174" t="b">
        <f>IF('Refined Compare'!$D$3="All",TRUE,IF(F8='Refined Compare'!$D$3,TRUE,IF(G8='Refined Compare'!$D$3,TRUE,FALSE)))</f>
        <v>0</v>
      </c>
      <c r="AZ8" s="174" t="b">
        <f t="shared" si="1"/>
        <v>1</v>
      </c>
    </row>
    <row r="9" spans="1:52" x14ac:dyDescent="0.35">
      <c r="A9">
        <f t="shared" si="4"/>
        <v>8</v>
      </c>
      <c r="B9" s="62">
        <v>6</v>
      </c>
      <c r="C9" s="61">
        <v>6</v>
      </c>
      <c r="D9" s="118" t="b">
        <f>IF(AZ9,TRUE,FALSE)</f>
        <v>0</v>
      </c>
      <c r="E9" s="61" t="s">
        <v>803</v>
      </c>
      <c r="F9" s="66" t="s">
        <v>808</v>
      </c>
      <c r="G9" s="66" t="s">
        <v>809</v>
      </c>
      <c r="H9" s="2" t="s">
        <v>655</v>
      </c>
      <c r="I9" s="39">
        <f t="shared" si="5"/>
        <v>0</v>
      </c>
      <c r="J9" s="40">
        <f t="shared" si="6"/>
        <v>0</v>
      </c>
      <c r="K9" s="41">
        <f t="shared" si="7"/>
        <v>0</v>
      </c>
      <c r="L9" s="42">
        <f t="shared" si="8"/>
        <v>0</v>
      </c>
      <c r="M9" s="43">
        <f t="shared" si="9"/>
        <v>0</v>
      </c>
      <c r="N9" s="44">
        <f t="shared" si="10"/>
        <v>0</v>
      </c>
      <c r="O9" s="45">
        <f t="shared" si="11"/>
        <v>0</v>
      </c>
      <c r="P9" s="19">
        <f t="shared" si="12"/>
        <v>0</v>
      </c>
      <c r="Q9" s="177">
        <v>78</v>
      </c>
      <c r="R9" s="40">
        <v>104</v>
      </c>
      <c r="S9" s="41">
        <v>78</v>
      </c>
      <c r="T9" s="42">
        <v>159</v>
      </c>
      <c r="U9" s="43">
        <v>115</v>
      </c>
      <c r="V9" s="44">
        <v>100</v>
      </c>
      <c r="W9" s="45">
        <f t="shared" si="2"/>
        <v>634</v>
      </c>
      <c r="X9" s="19">
        <f t="shared" si="3"/>
        <v>105.67</v>
      </c>
      <c r="Y9" s="3">
        <v>78</v>
      </c>
      <c r="Z9" s="4">
        <v>104</v>
      </c>
      <c r="AA9" s="5">
        <v>78</v>
      </c>
      <c r="AB9" s="6">
        <v>159</v>
      </c>
      <c r="AC9" s="7">
        <v>115</v>
      </c>
      <c r="AD9" s="8">
        <v>100</v>
      </c>
      <c r="AE9" s="1">
        <v>634</v>
      </c>
      <c r="AF9" s="19">
        <v>105.67</v>
      </c>
      <c r="AN9" s="172"/>
      <c r="AV9" s="172"/>
      <c r="AW9" s="45"/>
      <c r="AX9" s="174" t="b">
        <f>IF('Refined Compare'!$D$2="All",TRUE,IF(F9='Refined Compare'!$D$2,TRUE,IF(G9='Refined Compare'!$D$2,TRUE,FALSE)))</f>
        <v>0</v>
      </c>
      <c r="AY9" s="174" t="b">
        <f>IF('Refined Compare'!$D$3="All",TRUE,IF(F9='Refined Compare'!$D$3,TRUE,IF(G9='Refined Compare'!$D$3,TRUE,FALSE)))</f>
        <v>0</v>
      </c>
      <c r="AZ9" s="174" t="b">
        <f t="shared" si="1"/>
        <v>0</v>
      </c>
    </row>
    <row r="10" spans="1:52" x14ac:dyDescent="0.35">
      <c r="A10">
        <f t="shared" si="4"/>
        <v>9</v>
      </c>
      <c r="B10" s="62">
        <v>6</v>
      </c>
      <c r="C10" s="61">
        <v>6</v>
      </c>
      <c r="D10" s="118" t="b">
        <f>IF(AZ10,TRUE,FALSE)</f>
        <v>0</v>
      </c>
      <c r="E10" s="61" t="s">
        <v>802</v>
      </c>
      <c r="F10" s="66" t="s">
        <v>808</v>
      </c>
      <c r="G10" s="66" t="s">
        <v>822</v>
      </c>
      <c r="H10" s="2" t="s">
        <v>654</v>
      </c>
      <c r="I10" s="39">
        <f t="shared" si="5"/>
        <v>0</v>
      </c>
      <c r="J10" s="40">
        <f t="shared" si="6"/>
        <v>0</v>
      </c>
      <c r="K10" s="41">
        <f t="shared" si="7"/>
        <v>0</v>
      </c>
      <c r="L10" s="42">
        <f t="shared" si="8"/>
        <v>0</v>
      </c>
      <c r="M10" s="43">
        <f t="shared" si="9"/>
        <v>0</v>
      </c>
      <c r="N10" s="44">
        <f t="shared" si="10"/>
        <v>0</v>
      </c>
      <c r="O10" s="45">
        <f t="shared" si="11"/>
        <v>0</v>
      </c>
      <c r="P10" s="19">
        <f t="shared" si="12"/>
        <v>0</v>
      </c>
      <c r="Q10" s="177">
        <v>78</v>
      </c>
      <c r="R10" s="40">
        <v>130</v>
      </c>
      <c r="S10" s="41">
        <v>111</v>
      </c>
      <c r="T10" s="42">
        <v>130</v>
      </c>
      <c r="U10" s="43">
        <v>85</v>
      </c>
      <c r="V10" s="44">
        <v>100</v>
      </c>
      <c r="W10" s="45">
        <f t="shared" si="2"/>
        <v>634</v>
      </c>
      <c r="X10" s="19">
        <f t="shared" si="3"/>
        <v>105.67</v>
      </c>
      <c r="Y10" s="3">
        <v>78</v>
      </c>
      <c r="Z10" s="4">
        <v>130</v>
      </c>
      <c r="AA10" s="5">
        <v>111</v>
      </c>
      <c r="AB10" s="6">
        <v>130</v>
      </c>
      <c r="AC10" s="7">
        <v>85</v>
      </c>
      <c r="AD10" s="8">
        <v>100</v>
      </c>
      <c r="AE10" s="1">
        <v>634</v>
      </c>
      <c r="AF10" s="19">
        <v>105.67</v>
      </c>
      <c r="AN10" s="172"/>
      <c r="AV10" s="172"/>
      <c r="AW10" s="45"/>
      <c r="AX10" s="174" t="b">
        <f>IF('Refined Compare'!$D$2="All",TRUE,IF(F10='Refined Compare'!$D$2,TRUE,IF(G10='Refined Compare'!$D$2,TRUE,FALSE)))</f>
        <v>0</v>
      </c>
      <c r="AY10" s="174" t="b">
        <f>IF('Refined Compare'!$D$3="All",TRUE,IF(F10='Refined Compare'!$D$3,TRUE,IF(G10='Refined Compare'!$D$3,TRUE,FALSE)))</f>
        <v>0</v>
      </c>
      <c r="AZ10" s="174" t="b">
        <f t="shared" si="1"/>
        <v>0</v>
      </c>
    </row>
    <row r="11" spans="1:52" x14ac:dyDescent="0.35">
      <c r="A11">
        <f t="shared" si="4"/>
        <v>10</v>
      </c>
      <c r="B11" s="18">
        <v>7</v>
      </c>
      <c r="C11" s="61">
        <v>1</v>
      </c>
      <c r="D11" s="61" t="b">
        <v>0</v>
      </c>
      <c r="E11" s="61"/>
      <c r="F11" s="66" t="s">
        <v>810</v>
      </c>
      <c r="G11" s="66" t="s">
        <v>827</v>
      </c>
      <c r="H11" s="2" t="s">
        <v>163</v>
      </c>
      <c r="I11" s="39">
        <f t="shared" si="5"/>
        <v>44</v>
      </c>
      <c r="J11" s="40">
        <f t="shared" si="6"/>
        <v>48</v>
      </c>
      <c r="K11" s="41">
        <f t="shared" si="7"/>
        <v>65</v>
      </c>
      <c r="L11" s="42">
        <f t="shared" si="8"/>
        <v>50</v>
      </c>
      <c r="M11" s="43">
        <f t="shared" si="9"/>
        <v>64</v>
      </c>
      <c r="N11" s="44">
        <f t="shared" si="10"/>
        <v>43</v>
      </c>
      <c r="O11" s="45">
        <f t="shared" si="11"/>
        <v>314</v>
      </c>
      <c r="P11" s="19">
        <f t="shared" si="12"/>
        <v>52.33</v>
      </c>
      <c r="Q11" s="177">
        <v>44</v>
      </c>
      <c r="R11" s="40">
        <v>48</v>
      </c>
      <c r="S11" s="41">
        <v>65</v>
      </c>
      <c r="T11" s="42">
        <v>50</v>
      </c>
      <c r="U11" s="43">
        <v>64</v>
      </c>
      <c r="V11" s="44">
        <v>43</v>
      </c>
      <c r="W11" s="45">
        <f t="shared" si="2"/>
        <v>314</v>
      </c>
      <c r="X11" s="19">
        <f t="shared" si="3"/>
        <v>52.33</v>
      </c>
      <c r="Y11" s="3">
        <v>44</v>
      </c>
      <c r="Z11" s="4">
        <v>48</v>
      </c>
      <c r="AA11" s="5">
        <v>65</v>
      </c>
      <c r="AB11" s="6">
        <v>50</v>
      </c>
      <c r="AC11" s="7">
        <v>64</v>
      </c>
      <c r="AD11" s="8">
        <v>43</v>
      </c>
      <c r="AE11" s="1">
        <v>314</v>
      </c>
      <c r="AF11" s="19">
        <v>52.33</v>
      </c>
      <c r="AG11" s="139">
        <v>44</v>
      </c>
      <c r="AH11" s="140">
        <v>48</v>
      </c>
      <c r="AI11" s="141">
        <v>65</v>
      </c>
      <c r="AJ11" s="142">
        <v>50</v>
      </c>
      <c r="AK11" s="143">
        <v>64</v>
      </c>
      <c r="AL11" s="144">
        <v>43</v>
      </c>
      <c r="AM11" s="138">
        <v>314</v>
      </c>
      <c r="AN11" s="153">
        <v>52.33</v>
      </c>
      <c r="AO11" s="139">
        <v>44</v>
      </c>
      <c r="AP11" s="140">
        <v>48</v>
      </c>
      <c r="AQ11" s="141">
        <v>65</v>
      </c>
      <c r="AR11" s="162">
        <v>50</v>
      </c>
      <c r="AS11" s="162">
        <v>50</v>
      </c>
      <c r="AT11" s="144">
        <v>43</v>
      </c>
      <c r="AU11" s="138">
        <f>SUM(AO11:AT11)</f>
        <v>300</v>
      </c>
      <c r="AV11" s="153">
        <f>AU11/6</f>
        <v>50</v>
      </c>
      <c r="AW11" s="45"/>
      <c r="AX11" s="174" t="b">
        <f>IF('Refined Compare'!$D$2="All",TRUE,IF(F11='Refined Compare'!$D$2,TRUE,IF(G11='Refined Compare'!$D$2,TRUE,FALSE)))</f>
        <v>0</v>
      </c>
      <c r="AY11" s="174" t="b">
        <f>IF('Refined Compare'!$D$3="All",TRUE,IF(F11='Refined Compare'!$D$3,TRUE,IF(G11='Refined Compare'!$D$3,TRUE,FALSE)))</f>
        <v>1</v>
      </c>
      <c r="AZ11" s="174" t="b">
        <f t="shared" si="1"/>
        <v>1</v>
      </c>
    </row>
    <row r="12" spans="1:52" x14ac:dyDescent="0.35">
      <c r="A12">
        <f t="shared" si="4"/>
        <v>11</v>
      </c>
      <c r="B12" s="18">
        <v>8</v>
      </c>
      <c r="C12" s="61">
        <v>1</v>
      </c>
      <c r="D12" s="61" t="b">
        <v>0</v>
      </c>
      <c r="E12" s="61"/>
      <c r="F12" s="66" t="s">
        <v>810</v>
      </c>
      <c r="G12" s="66" t="s">
        <v>827</v>
      </c>
      <c r="H12" s="2" t="s">
        <v>302</v>
      </c>
      <c r="I12" s="39">
        <f t="shared" si="5"/>
        <v>59</v>
      </c>
      <c r="J12" s="40">
        <f t="shared" si="6"/>
        <v>63</v>
      </c>
      <c r="K12" s="41">
        <f t="shared" si="7"/>
        <v>80</v>
      </c>
      <c r="L12" s="42">
        <f t="shared" si="8"/>
        <v>65</v>
      </c>
      <c r="M12" s="43">
        <f t="shared" si="9"/>
        <v>80</v>
      </c>
      <c r="N12" s="44">
        <f t="shared" si="10"/>
        <v>58</v>
      </c>
      <c r="O12" s="45">
        <f t="shared" si="11"/>
        <v>405</v>
      </c>
      <c r="P12" s="19">
        <f t="shared" si="12"/>
        <v>67.5</v>
      </c>
      <c r="Q12" s="177">
        <v>59</v>
      </c>
      <c r="R12" s="40">
        <v>63</v>
      </c>
      <c r="S12" s="41">
        <v>80</v>
      </c>
      <c r="T12" s="42">
        <v>65</v>
      </c>
      <c r="U12" s="43">
        <v>80</v>
      </c>
      <c r="V12" s="44">
        <v>58</v>
      </c>
      <c r="W12" s="45">
        <f t="shared" si="2"/>
        <v>405</v>
      </c>
      <c r="X12" s="19">
        <f t="shared" si="3"/>
        <v>67.5</v>
      </c>
      <c r="Y12" s="3">
        <v>59</v>
      </c>
      <c r="Z12" s="4">
        <v>63</v>
      </c>
      <c r="AA12" s="5">
        <v>80</v>
      </c>
      <c r="AB12" s="6">
        <v>65</v>
      </c>
      <c r="AC12" s="7">
        <v>80</v>
      </c>
      <c r="AD12" s="8">
        <v>58</v>
      </c>
      <c r="AE12" s="1">
        <v>405</v>
      </c>
      <c r="AF12" s="19">
        <v>67.5</v>
      </c>
      <c r="AG12" s="139">
        <v>59</v>
      </c>
      <c r="AH12" s="140">
        <v>63</v>
      </c>
      <c r="AI12" s="141">
        <v>80</v>
      </c>
      <c r="AJ12" s="142">
        <v>65</v>
      </c>
      <c r="AK12" s="143">
        <v>80</v>
      </c>
      <c r="AL12" s="144">
        <v>58</v>
      </c>
      <c r="AM12" s="138">
        <v>405</v>
      </c>
      <c r="AN12" s="153">
        <v>67.5</v>
      </c>
      <c r="AO12" s="139">
        <v>59</v>
      </c>
      <c r="AP12" s="140">
        <v>63</v>
      </c>
      <c r="AQ12" s="141">
        <v>80</v>
      </c>
      <c r="AR12" s="162">
        <v>65</v>
      </c>
      <c r="AS12" s="162">
        <v>65</v>
      </c>
      <c r="AT12" s="144">
        <v>58</v>
      </c>
      <c r="AU12" s="138">
        <f>SUM(AO12:AT12)</f>
        <v>390</v>
      </c>
      <c r="AV12" s="153">
        <f>AU12/6</f>
        <v>65</v>
      </c>
      <c r="AW12" s="45"/>
      <c r="AX12" s="174" t="b">
        <f>IF('Refined Compare'!$D$2="All",TRUE,IF(F12='Refined Compare'!$D$2,TRUE,IF(G12='Refined Compare'!$D$2,TRUE,FALSE)))</f>
        <v>0</v>
      </c>
      <c r="AY12" s="174" t="b">
        <f>IF('Refined Compare'!$D$3="All",TRUE,IF(F12='Refined Compare'!$D$3,TRUE,IF(G12='Refined Compare'!$D$3,TRUE,FALSE)))</f>
        <v>1</v>
      </c>
      <c r="AZ12" s="174" t="b">
        <f t="shared" si="1"/>
        <v>1</v>
      </c>
    </row>
    <row r="13" spans="1:52" x14ac:dyDescent="0.35">
      <c r="A13">
        <f t="shared" si="4"/>
        <v>12</v>
      </c>
      <c r="B13" s="18">
        <v>9</v>
      </c>
      <c r="C13" s="61">
        <v>1</v>
      </c>
      <c r="D13" s="61" t="b">
        <f>IF($AW$2&lt;6,TRUE,FALSE)</f>
        <v>1</v>
      </c>
      <c r="E13" s="61"/>
      <c r="F13" s="66" t="s">
        <v>810</v>
      </c>
      <c r="G13" s="66" t="s">
        <v>827</v>
      </c>
      <c r="H13" s="2" t="s">
        <v>491</v>
      </c>
      <c r="I13" s="39">
        <f t="shared" si="5"/>
        <v>79</v>
      </c>
      <c r="J13" s="40">
        <f t="shared" si="6"/>
        <v>83</v>
      </c>
      <c r="K13" s="41">
        <f t="shared" si="7"/>
        <v>100</v>
      </c>
      <c r="L13" s="42">
        <f t="shared" si="8"/>
        <v>85</v>
      </c>
      <c r="M13" s="43">
        <f t="shared" si="9"/>
        <v>105</v>
      </c>
      <c r="N13" s="44">
        <f t="shared" si="10"/>
        <v>78</v>
      </c>
      <c r="O13" s="45">
        <f t="shared" si="11"/>
        <v>530</v>
      </c>
      <c r="P13" s="19">
        <f t="shared" si="12"/>
        <v>88.33</v>
      </c>
      <c r="Q13" s="177">
        <v>79</v>
      </c>
      <c r="R13" s="40">
        <v>83</v>
      </c>
      <c r="S13" s="41">
        <v>100</v>
      </c>
      <c r="T13" s="42">
        <v>85</v>
      </c>
      <c r="U13" s="43">
        <v>105</v>
      </c>
      <c r="V13" s="44">
        <v>78</v>
      </c>
      <c r="W13" s="45">
        <f t="shared" si="2"/>
        <v>530</v>
      </c>
      <c r="X13" s="19">
        <f t="shared" si="3"/>
        <v>88.33</v>
      </c>
      <c r="Y13" s="3">
        <v>79</v>
      </c>
      <c r="Z13" s="4">
        <v>83</v>
      </c>
      <c r="AA13" s="5">
        <v>100</v>
      </c>
      <c r="AB13" s="6">
        <v>85</v>
      </c>
      <c r="AC13" s="7">
        <v>105</v>
      </c>
      <c r="AD13" s="8">
        <v>78</v>
      </c>
      <c r="AE13" s="1">
        <v>530</v>
      </c>
      <c r="AF13" s="19">
        <v>88.33</v>
      </c>
      <c r="AG13" s="139">
        <v>79</v>
      </c>
      <c r="AH13" s="140">
        <v>83</v>
      </c>
      <c r="AI13" s="141">
        <v>100</v>
      </c>
      <c r="AJ13" s="142">
        <v>85</v>
      </c>
      <c r="AK13" s="143">
        <v>105</v>
      </c>
      <c r="AL13" s="144">
        <v>78</v>
      </c>
      <c r="AM13" s="138">
        <v>530</v>
      </c>
      <c r="AN13" s="153">
        <v>88.33</v>
      </c>
      <c r="AO13" s="139">
        <v>79</v>
      </c>
      <c r="AP13" s="140">
        <v>83</v>
      </c>
      <c r="AQ13" s="141">
        <v>100</v>
      </c>
      <c r="AR13" s="162">
        <v>85</v>
      </c>
      <c r="AS13" s="162">
        <v>85</v>
      </c>
      <c r="AT13" s="144">
        <v>78</v>
      </c>
      <c r="AU13" s="138">
        <f>SUM(AO13:AT13)</f>
        <v>510</v>
      </c>
      <c r="AV13" s="153">
        <f>AU13/6</f>
        <v>85</v>
      </c>
      <c r="AW13" s="45"/>
      <c r="AX13" s="174" t="b">
        <f>IF('Refined Compare'!$D$2="All",TRUE,IF(F13='Refined Compare'!$D$2,TRUE,IF(G13='Refined Compare'!$D$2,TRUE,FALSE)))</f>
        <v>0</v>
      </c>
      <c r="AY13" s="174" t="b">
        <f>IF('Refined Compare'!$D$3="All",TRUE,IF(F13='Refined Compare'!$D$3,TRUE,IF(G13='Refined Compare'!$D$3,TRUE,FALSE)))</f>
        <v>1</v>
      </c>
      <c r="AZ13" s="174" t="b">
        <f t="shared" si="1"/>
        <v>1</v>
      </c>
    </row>
    <row r="14" spans="1:52" x14ac:dyDescent="0.35">
      <c r="A14">
        <f t="shared" si="4"/>
        <v>13</v>
      </c>
      <c r="B14" s="62">
        <v>9</v>
      </c>
      <c r="C14" s="61">
        <v>6</v>
      </c>
      <c r="D14" s="118" t="b">
        <f>IF(AZ14,TRUE,FALSE)</f>
        <v>0</v>
      </c>
      <c r="E14" s="61" t="s">
        <v>801</v>
      </c>
      <c r="F14" s="66" t="s">
        <v>810</v>
      </c>
      <c r="G14" s="66" t="s">
        <v>827</v>
      </c>
      <c r="H14" s="2" t="s">
        <v>492</v>
      </c>
      <c r="I14" s="39">
        <f t="shared" si="5"/>
        <v>0</v>
      </c>
      <c r="J14" s="40">
        <f t="shared" si="6"/>
        <v>0</v>
      </c>
      <c r="K14" s="41">
        <f t="shared" si="7"/>
        <v>0</v>
      </c>
      <c r="L14" s="42">
        <f t="shared" si="8"/>
        <v>0</v>
      </c>
      <c r="M14" s="43">
        <f t="shared" si="9"/>
        <v>0</v>
      </c>
      <c r="N14" s="44">
        <f t="shared" si="10"/>
        <v>0</v>
      </c>
      <c r="O14" s="45">
        <f t="shared" si="11"/>
        <v>0</v>
      </c>
      <c r="P14" s="19">
        <f t="shared" si="12"/>
        <v>0</v>
      </c>
      <c r="Q14" s="177">
        <v>79</v>
      </c>
      <c r="R14" s="40">
        <v>103</v>
      </c>
      <c r="S14" s="41">
        <v>120</v>
      </c>
      <c r="T14" s="42">
        <v>135</v>
      </c>
      <c r="U14" s="43">
        <v>115</v>
      </c>
      <c r="V14" s="44">
        <v>78</v>
      </c>
      <c r="W14" s="45">
        <f t="shared" si="2"/>
        <v>630</v>
      </c>
      <c r="X14" s="19">
        <f t="shared" si="3"/>
        <v>105</v>
      </c>
      <c r="Y14" s="3">
        <v>79</v>
      </c>
      <c r="Z14" s="4">
        <v>103</v>
      </c>
      <c r="AA14" s="5">
        <v>120</v>
      </c>
      <c r="AB14" s="6">
        <v>135</v>
      </c>
      <c r="AC14" s="7">
        <v>115</v>
      </c>
      <c r="AD14" s="8">
        <v>78</v>
      </c>
      <c r="AE14" s="1">
        <v>630</v>
      </c>
      <c r="AF14" s="19">
        <v>105</v>
      </c>
      <c r="AN14" s="172"/>
      <c r="AV14" s="172"/>
      <c r="AW14" s="45"/>
      <c r="AX14" s="174" t="b">
        <f>IF('Refined Compare'!$D$2="All",TRUE,IF(F14='Refined Compare'!$D$2,TRUE,IF(G14='Refined Compare'!$D$2,TRUE,FALSE)))</f>
        <v>0</v>
      </c>
      <c r="AY14" s="174" t="b">
        <f>IF('Refined Compare'!$D$3="All",TRUE,IF(F14='Refined Compare'!$D$3,TRUE,IF(G14='Refined Compare'!$D$3,TRUE,FALSE)))</f>
        <v>1</v>
      </c>
      <c r="AZ14" s="174" t="b">
        <f t="shared" si="1"/>
        <v>0</v>
      </c>
    </row>
    <row r="15" spans="1:52" x14ac:dyDescent="0.35">
      <c r="A15">
        <f t="shared" si="4"/>
        <v>14</v>
      </c>
      <c r="B15" s="18">
        <v>10</v>
      </c>
      <c r="C15" s="61">
        <v>1</v>
      </c>
      <c r="D15" s="61" t="b">
        <v>0</v>
      </c>
      <c r="E15" s="61"/>
      <c r="F15" s="66" t="s">
        <v>811</v>
      </c>
      <c r="G15" s="66" t="s">
        <v>827</v>
      </c>
      <c r="H15" s="2" t="s">
        <v>172</v>
      </c>
      <c r="I15" s="39">
        <f t="shared" si="5"/>
        <v>45</v>
      </c>
      <c r="J15" s="40">
        <f t="shared" si="6"/>
        <v>30</v>
      </c>
      <c r="K15" s="41">
        <f t="shared" si="7"/>
        <v>35</v>
      </c>
      <c r="L15" s="42">
        <f t="shared" si="8"/>
        <v>20</v>
      </c>
      <c r="M15" s="43">
        <f t="shared" si="9"/>
        <v>20</v>
      </c>
      <c r="N15" s="44">
        <f t="shared" si="10"/>
        <v>45</v>
      </c>
      <c r="O15" s="45">
        <f t="shared" si="11"/>
        <v>195</v>
      </c>
      <c r="P15" s="19">
        <f t="shared" si="12"/>
        <v>32.5</v>
      </c>
      <c r="Q15" s="177">
        <v>45</v>
      </c>
      <c r="R15" s="40">
        <v>30</v>
      </c>
      <c r="S15" s="41">
        <v>35</v>
      </c>
      <c r="T15" s="42">
        <v>20</v>
      </c>
      <c r="U15" s="43">
        <v>20</v>
      </c>
      <c r="V15" s="44">
        <v>45</v>
      </c>
      <c r="W15" s="45">
        <f t="shared" si="2"/>
        <v>195</v>
      </c>
      <c r="X15" s="19">
        <f t="shared" si="3"/>
        <v>32.5</v>
      </c>
      <c r="Y15" s="3">
        <v>45</v>
      </c>
      <c r="Z15" s="4">
        <v>30</v>
      </c>
      <c r="AA15" s="5">
        <v>35</v>
      </c>
      <c r="AB15" s="6">
        <v>20</v>
      </c>
      <c r="AC15" s="7">
        <v>20</v>
      </c>
      <c r="AD15" s="8">
        <v>45</v>
      </c>
      <c r="AE15" s="1">
        <v>195</v>
      </c>
      <c r="AF15" s="19">
        <v>32.5</v>
      </c>
      <c r="AG15" s="139">
        <v>45</v>
      </c>
      <c r="AH15" s="140">
        <v>30</v>
      </c>
      <c r="AI15" s="141">
        <v>35</v>
      </c>
      <c r="AJ15" s="142">
        <v>20</v>
      </c>
      <c r="AK15" s="143">
        <v>20</v>
      </c>
      <c r="AL15" s="144">
        <v>45</v>
      </c>
      <c r="AM15" s="138">
        <v>195</v>
      </c>
      <c r="AN15" s="153">
        <v>32.5</v>
      </c>
      <c r="AO15" s="139">
        <v>45</v>
      </c>
      <c r="AP15" s="140">
        <v>30</v>
      </c>
      <c r="AQ15" s="141">
        <v>35</v>
      </c>
      <c r="AR15" s="162">
        <v>20</v>
      </c>
      <c r="AS15" s="162">
        <v>20</v>
      </c>
      <c r="AT15" s="144">
        <v>45</v>
      </c>
      <c r="AU15" s="138">
        <f t="shared" ref="AU15:AU20" si="13">SUM(AO15:AT15)</f>
        <v>195</v>
      </c>
      <c r="AV15" s="153">
        <f t="shared" ref="AV15:AV20" si="14">AU15/6</f>
        <v>32.5</v>
      </c>
      <c r="AW15" s="45"/>
      <c r="AX15" s="174" t="b">
        <f>IF('Refined Compare'!$D$2="All",TRUE,IF(F15='Refined Compare'!$D$2,TRUE,IF(G15='Refined Compare'!$D$2,TRUE,FALSE)))</f>
        <v>0</v>
      </c>
      <c r="AY15" s="174" t="b">
        <f>IF('Refined Compare'!$D$3="All",TRUE,IF(F15='Refined Compare'!$D$3,TRUE,IF(G15='Refined Compare'!$D$3,TRUE,FALSE)))</f>
        <v>1</v>
      </c>
      <c r="AZ15" s="174" t="b">
        <f t="shared" si="1"/>
        <v>1</v>
      </c>
    </row>
    <row r="16" spans="1:52" x14ac:dyDescent="0.35">
      <c r="A16">
        <f t="shared" si="4"/>
        <v>15</v>
      </c>
      <c r="B16" s="18">
        <v>11</v>
      </c>
      <c r="C16" s="61">
        <v>1</v>
      </c>
      <c r="D16" s="61" t="b">
        <v>0</v>
      </c>
      <c r="E16" s="61"/>
      <c r="F16" s="66" t="s">
        <v>811</v>
      </c>
      <c r="G16" s="66" t="s">
        <v>827</v>
      </c>
      <c r="H16" s="2" t="s">
        <v>52</v>
      </c>
      <c r="I16" s="39">
        <f t="shared" si="5"/>
        <v>50</v>
      </c>
      <c r="J16" s="40">
        <f t="shared" si="6"/>
        <v>20</v>
      </c>
      <c r="K16" s="41">
        <f t="shared" si="7"/>
        <v>55</v>
      </c>
      <c r="L16" s="42">
        <f t="shared" si="8"/>
        <v>25</v>
      </c>
      <c r="M16" s="43">
        <f t="shared" si="9"/>
        <v>25</v>
      </c>
      <c r="N16" s="44">
        <f t="shared" si="10"/>
        <v>30</v>
      </c>
      <c r="O16" s="45">
        <f t="shared" si="11"/>
        <v>205</v>
      </c>
      <c r="P16" s="19">
        <f t="shared" si="12"/>
        <v>34.17</v>
      </c>
      <c r="Q16" s="177">
        <v>50</v>
      </c>
      <c r="R16" s="40">
        <v>20</v>
      </c>
      <c r="S16" s="41">
        <v>55</v>
      </c>
      <c r="T16" s="42">
        <v>25</v>
      </c>
      <c r="U16" s="43">
        <v>25</v>
      </c>
      <c r="V16" s="44">
        <v>30</v>
      </c>
      <c r="W16" s="45">
        <f t="shared" si="2"/>
        <v>205</v>
      </c>
      <c r="X16" s="19">
        <f t="shared" si="3"/>
        <v>34.17</v>
      </c>
      <c r="Y16" s="3">
        <v>50</v>
      </c>
      <c r="Z16" s="4">
        <v>20</v>
      </c>
      <c r="AA16" s="5">
        <v>55</v>
      </c>
      <c r="AB16" s="6">
        <v>25</v>
      </c>
      <c r="AC16" s="7">
        <v>25</v>
      </c>
      <c r="AD16" s="8">
        <v>30</v>
      </c>
      <c r="AE16" s="1">
        <v>205</v>
      </c>
      <c r="AF16" s="19">
        <v>34.17</v>
      </c>
      <c r="AG16" s="139">
        <v>50</v>
      </c>
      <c r="AH16" s="140">
        <v>20</v>
      </c>
      <c r="AI16" s="141">
        <v>55</v>
      </c>
      <c r="AJ16" s="142">
        <v>25</v>
      </c>
      <c r="AK16" s="143">
        <v>25</v>
      </c>
      <c r="AL16" s="144">
        <v>30</v>
      </c>
      <c r="AM16" s="138">
        <v>205</v>
      </c>
      <c r="AN16" s="153">
        <v>34.17</v>
      </c>
      <c r="AO16" s="139">
        <v>50</v>
      </c>
      <c r="AP16" s="140">
        <v>20</v>
      </c>
      <c r="AQ16" s="141">
        <v>55</v>
      </c>
      <c r="AR16" s="162">
        <v>25</v>
      </c>
      <c r="AS16" s="162">
        <v>25</v>
      </c>
      <c r="AT16" s="144">
        <v>30</v>
      </c>
      <c r="AU16" s="138">
        <f t="shared" si="13"/>
        <v>205</v>
      </c>
      <c r="AV16" s="153">
        <f t="shared" si="14"/>
        <v>34.166666666666664</v>
      </c>
      <c r="AW16" s="45"/>
      <c r="AX16" s="174" t="b">
        <f>IF('Refined Compare'!$D$2="All",TRUE,IF(F16='Refined Compare'!$D$2,TRUE,IF(G16='Refined Compare'!$D$2,TRUE,FALSE)))</f>
        <v>0</v>
      </c>
      <c r="AY16" s="174" t="b">
        <f>IF('Refined Compare'!$D$3="All",TRUE,IF(F16='Refined Compare'!$D$3,TRUE,IF(G16='Refined Compare'!$D$3,TRUE,FALSE)))</f>
        <v>1</v>
      </c>
      <c r="AZ16" s="174" t="b">
        <f t="shared" si="1"/>
        <v>1</v>
      </c>
    </row>
    <row r="17" spans="1:52" x14ac:dyDescent="0.35">
      <c r="A17">
        <f t="shared" si="4"/>
        <v>16</v>
      </c>
      <c r="B17" s="18">
        <v>12</v>
      </c>
      <c r="C17" s="61">
        <v>1</v>
      </c>
      <c r="D17" s="118" t="b">
        <v>1</v>
      </c>
      <c r="E17" s="61"/>
      <c r="F17" s="66" t="s">
        <v>811</v>
      </c>
      <c r="G17" s="66" t="s">
        <v>809</v>
      </c>
      <c r="H17" s="2" t="s">
        <v>418</v>
      </c>
      <c r="I17" s="39">
        <f t="shared" si="5"/>
        <v>60</v>
      </c>
      <c r="J17" s="40">
        <f t="shared" si="6"/>
        <v>45</v>
      </c>
      <c r="K17" s="41">
        <f t="shared" si="7"/>
        <v>50</v>
      </c>
      <c r="L17" s="42">
        <f t="shared" si="8"/>
        <v>80</v>
      </c>
      <c r="M17" s="43">
        <f t="shared" si="9"/>
        <v>80</v>
      </c>
      <c r="N17" s="44">
        <f t="shared" si="10"/>
        <v>70</v>
      </c>
      <c r="O17" s="45">
        <f t="shared" si="11"/>
        <v>385</v>
      </c>
      <c r="P17" s="19">
        <f t="shared" si="12"/>
        <v>64.17</v>
      </c>
      <c r="Q17" s="177">
        <v>60</v>
      </c>
      <c r="R17" s="40">
        <v>45</v>
      </c>
      <c r="S17" s="41">
        <v>50</v>
      </c>
      <c r="T17" s="42">
        <v>90</v>
      </c>
      <c r="U17" s="43">
        <v>80</v>
      </c>
      <c r="V17" s="44">
        <v>70</v>
      </c>
      <c r="W17" s="45">
        <f t="shared" si="2"/>
        <v>395</v>
      </c>
      <c r="X17" s="19">
        <f t="shared" si="3"/>
        <v>65.83</v>
      </c>
      <c r="Y17" s="3">
        <v>60</v>
      </c>
      <c r="Z17" s="4">
        <v>45</v>
      </c>
      <c r="AA17" s="5">
        <v>50</v>
      </c>
      <c r="AB17" s="6">
        <v>90</v>
      </c>
      <c r="AC17" s="7">
        <v>80</v>
      </c>
      <c r="AD17" s="8">
        <v>70</v>
      </c>
      <c r="AE17" s="1">
        <v>395</v>
      </c>
      <c r="AF17" s="19">
        <v>65.83</v>
      </c>
      <c r="AG17" s="139">
        <v>60</v>
      </c>
      <c r="AH17" s="140">
        <v>45</v>
      </c>
      <c r="AI17" s="141">
        <v>50</v>
      </c>
      <c r="AJ17" s="142">
        <v>80</v>
      </c>
      <c r="AK17" s="143">
        <v>80</v>
      </c>
      <c r="AL17" s="144">
        <v>70</v>
      </c>
      <c r="AM17" s="138">
        <v>385</v>
      </c>
      <c r="AN17" s="153">
        <v>64.17</v>
      </c>
      <c r="AO17" s="139">
        <v>60</v>
      </c>
      <c r="AP17" s="140">
        <v>45</v>
      </c>
      <c r="AQ17" s="141">
        <v>50</v>
      </c>
      <c r="AR17" s="162">
        <v>80</v>
      </c>
      <c r="AS17" s="162">
        <v>80</v>
      </c>
      <c r="AT17" s="144">
        <v>70</v>
      </c>
      <c r="AU17" s="138">
        <f t="shared" si="13"/>
        <v>385</v>
      </c>
      <c r="AV17" s="153">
        <f t="shared" si="14"/>
        <v>64.166666666666671</v>
      </c>
      <c r="AW17" s="45"/>
      <c r="AX17" s="174" t="b">
        <f>IF('Refined Compare'!$D$2="All",TRUE,IF(F17='Refined Compare'!$D$2,TRUE,IF(G17='Refined Compare'!$D$2,TRUE,FALSE)))</f>
        <v>0</v>
      </c>
      <c r="AY17" s="174" t="b">
        <f>IF('Refined Compare'!$D$3="All",TRUE,IF(F17='Refined Compare'!$D$3,TRUE,IF(G17='Refined Compare'!$D$3,TRUE,FALSE)))</f>
        <v>0</v>
      </c>
      <c r="AZ17" s="174" t="b">
        <f t="shared" si="1"/>
        <v>1</v>
      </c>
    </row>
    <row r="18" spans="1:52" x14ac:dyDescent="0.35">
      <c r="A18">
        <f t="shared" si="4"/>
        <v>17</v>
      </c>
      <c r="B18" s="18">
        <v>13</v>
      </c>
      <c r="C18" s="61">
        <v>1</v>
      </c>
      <c r="D18" s="61" t="b">
        <v>0</v>
      </c>
      <c r="E18" s="61"/>
      <c r="F18" s="66" t="s">
        <v>811</v>
      </c>
      <c r="G18" s="66" t="s">
        <v>807</v>
      </c>
      <c r="H18" s="2" t="s">
        <v>211</v>
      </c>
      <c r="I18" s="39">
        <f t="shared" si="5"/>
        <v>40</v>
      </c>
      <c r="J18" s="40">
        <f t="shared" si="6"/>
        <v>35</v>
      </c>
      <c r="K18" s="41">
        <f t="shared" si="7"/>
        <v>30</v>
      </c>
      <c r="L18" s="42">
        <f t="shared" si="8"/>
        <v>20</v>
      </c>
      <c r="M18" s="43">
        <f t="shared" si="9"/>
        <v>20</v>
      </c>
      <c r="N18" s="44">
        <f t="shared" si="10"/>
        <v>50</v>
      </c>
      <c r="O18" s="45">
        <f t="shared" si="11"/>
        <v>195</v>
      </c>
      <c r="P18" s="19">
        <f t="shared" si="12"/>
        <v>32.5</v>
      </c>
      <c r="Q18" s="177">
        <v>40</v>
      </c>
      <c r="R18" s="40">
        <v>35</v>
      </c>
      <c r="S18" s="41">
        <v>30</v>
      </c>
      <c r="T18" s="42">
        <v>20</v>
      </c>
      <c r="U18" s="43">
        <v>20</v>
      </c>
      <c r="V18" s="44">
        <v>50</v>
      </c>
      <c r="W18" s="45">
        <f t="shared" si="2"/>
        <v>195</v>
      </c>
      <c r="X18" s="19">
        <f t="shared" si="3"/>
        <v>32.5</v>
      </c>
      <c r="Y18" s="3">
        <v>40</v>
      </c>
      <c r="Z18" s="4">
        <v>35</v>
      </c>
      <c r="AA18" s="5">
        <v>30</v>
      </c>
      <c r="AB18" s="6">
        <v>20</v>
      </c>
      <c r="AC18" s="7">
        <v>20</v>
      </c>
      <c r="AD18" s="8">
        <v>50</v>
      </c>
      <c r="AE18" s="1">
        <v>195</v>
      </c>
      <c r="AF18" s="19">
        <v>32.5</v>
      </c>
      <c r="AG18" s="139">
        <v>40</v>
      </c>
      <c r="AH18" s="140">
        <v>35</v>
      </c>
      <c r="AI18" s="141">
        <v>30</v>
      </c>
      <c r="AJ18" s="142">
        <v>20</v>
      </c>
      <c r="AK18" s="143">
        <v>20</v>
      </c>
      <c r="AL18" s="144">
        <v>50</v>
      </c>
      <c r="AM18" s="138">
        <v>195</v>
      </c>
      <c r="AN18" s="153">
        <v>32.5</v>
      </c>
      <c r="AO18" s="139">
        <v>40</v>
      </c>
      <c r="AP18" s="140">
        <v>35</v>
      </c>
      <c r="AQ18" s="141">
        <v>30</v>
      </c>
      <c r="AR18" s="162">
        <v>20</v>
      </c>
      <c r="AS18" s="162">
        <v>20</v>
      </c>
      <c r="AT18" s="144">
        <v>50</v>
      </c>
      <c r="AU18" s="138">
        <f t="shared" si="13"/>
        <v>195</v>
      </c>
      <c r="AV18" s="153">
        <f t="shared" si="14"/>
        <v>32.5</v>
      </c>
      <c r="AW18" s="45"/>
      <c r="AX18" s="174" t="b">
        <f>IF('Refined Compare'!$D$2="All",TRUE,IF(F18='Refined Compare'!$D$2,TRUE,IF(G18='Refined Compare'!$D$2,TRUE,FALSE)))</f>
        <v>0</v>
      </c>
      <c r="AY18" s="174" t="b">
        <f>IF('Refined Compare'!$D$3="All",TRUE,IF(F18='Refined Compare'!$D$3,TRUE,IF(G18='Refined Compare'!$D$3,TRUE,FALSE)))</f>
        <v>0</v>
      </c>
      <c r="AZ18" s="174" t="b">
        <f t="shared" si="1"/>
        <v>1</v>
      </c>
    </row>
    <row r="19" spans="1:52" x14ac:dyDescent="0.35">
      <c r="A19">
        <f t="shared" si="4"/>
        <v>18</v>
      </c>
      <c r="B19" s="18">
        <v>14</v>
      </c>
      <c r="C19" s="61">
        <v>1</v>
      </c>
      <c r="D19" s="61" t="b">
        <v>0</v>
      </c>
      <c r="E19" s="61"/>
      <c r="F19" s="66" t="s">
        <v>811</v>
      </c>
      <c r="G19" s="66" t="s">
        <v>807</v>
      </c>
      <c r="H19" s="2" t="s">
        <v>95</v>
      </c>
      <c r="I19" s="39">
        <f t="shared" si="5"/>
        <v>45</v>
      </c>
      <c r="J19" s="40">
        <f t="shared" si="6"/>
        <v>25</v>
      </c>
      <c r="K19" s="41">
        <f t="shared" si="7"/>
        <v>50</v>
      </c>
      <c r="L19" s="42">
        <f t="shared" si="8"/>
        <v>25</v>
      </c>
      <c r="M19" s="43">
        <f t="shared" si="9"/>
        <v>25</v>
      </c>
      <c r="N19" s="44">
        <f t="shared" si="10"/>
        <v>35</v>
      </c>
      <c r="O19" s="45">
        <f t="shared" si="11"/>
        <v>205</v>
      </c>
      <c r="P19" s="19">
        <f t="shared" si="12"/>
        <v>34.17</v>
      </c>
      <c r="Q19" s="177">
        <v>45</v>
      </c>
      <c r="R19" s="40">
        <v>25</v>
      </c>
      <c r="S19" s="41">
        <v>50</v>
      </c>
      <c r="T19" s="42">
        <v>25</v>
      </c>
      <c r="U19" s="43">
        <v>25</v>
      </c>
      <c r="V19" s="44">
        <v>35</v>
      </c>
      <c r="W19" s="45">
        <f t="shared" si="2"/>
        <v>205</v>
      </c>
      <c r="X19" s="19">
        <f t="shared" si="3"/>
        <v>34.17</v>
      </c>
      <c r="Y19" s="3">
        <v>45</v>
      </c>
      <c r="Z19" s="4">
        <v>25</v>
      </c>
      <c r="AA19" s="5">
        <v>50</v>
      </c>
      <c r="AB19" s="6">
        <v>25</v>
      </c>
      <c r="AC19" s="7">
        <v>25</v>
      </c>
      <c r="AD19" s="8">
        <v>35</v>
      </c>
      <c r="AE19" s="1">
        <v>205</v>
      </c>
      <c r="AF19" s="19">
        <v>34.17</v>
      </c>
      <c r="AG19" s="139">
        <v>45</v>
      </c>
      <c r="AH19" s="140">
        <v>25</v>
      </c>
      <c r="AI19" s="141">
        <v>50</v>
      </c>
      <c r="AJ19" s="142">
        <v>25</v>
      </c>
      <c r="AK19" s="143">
        <v>25</v>
      </c>
      <c r="AL19" s="144">
        <v>35</v>
      </c>
      <c r="AM19" s="138">
        <v>205</v>
      </c>
      <c r="AN19" s="153">
        <v>34.17</v>
      </c>
      <c r="AO19" s="139">
        <v>45</v>
      </c>
      <c r="AP19" s="140">
        <v>25</v>
      </c>
      <c r="AQ19" s="141">
        <v>50</v>
      </c>
      <c r="AR19" s="162">
        <v>25</v>
      </c>
      <c r="AS19" s="162">
        <v>25</v>
      </c>
      <c r="AT19" s="144">
        <v>35</v>
      </c>
      <c r="AU19" s="138">
        <f t="shared" si="13"/>
        <v>205</v>
      </c>
      <c r="AV19" s="153">
        <f t="shared" si="14"/>
        <v>34.166666666666664</v>
      </c>
      <c r="AW19" s="45"/>
      <c r="AX19" s="174" t="b">
        <f>IF('Refined Compare'!$D$2="All",TRUE,IF(F19='Refined Compare'!$D$2,TRUE,IF(G19='Refined Compare'!$D$2,TRUE,FALSE)))</f>
        <v>0</v>
      </c>
      <c r="AY19" s="174" t="b">
        <f>IF('Refined Compare'!$D$3="All",TRUE,IF(F19='Refined Compare'!$D$3,TRUE,IF(G19='Refined Compare'!$D$3,TRUE,FALSE)))</f>
        <v>0</v>
      </c>
      <c r="AZ19" s="174" t="b">
        <f t="shared" si="1"/>
        <v>1</v>
      </c>
    </row>
    <row r="20" spans="1:52" x14ac:dyDescent="0.35">
      <c r="A20">
        <f t="shared" si="4"/>
        <v>19</v>
      </c>
      <c r="B20" s="18">
        <v>15</v>
      </c>
      <c r="C20" s="61">
        <v>1</v>
      </c>
      <c r="D20" s="61" t="b">
        <f>IF($AW$2&lt;6,TRUE,FALSE)</f>
        <v>1</v>
      </c>
      <c r="E20" s="61"/>
      <c r="F20" s="66" t="s">
        <v>811</v>
      </c>
      <c r="G20" s="66" t="s">
        <v>807</v>
      </c>
      <c r="H20" s="2" t="s">
        <v>470</v>
      </c>
      <c r="I20" s="39">
        <f t="shared" si="5"/>
        <v>65</v>
      </c>
      <c r="J20" s="40">
        <f t="shared" si="6"/>
        <v>80</v>
      </c>
      <c r="K20" s="41">
        <f t="shared" si="7"/>
        <v>40</v>
      </c>
      <c r="L20" s="42">
        <f t="shared" si="8"/>
        <v>45</v>
      </c>
      <c r="M20" s="43">
        <f t="shared" si="9"/>
        <v>80</v>
      </c>
      <c r="N20" s="44">
        <f t="shared" si="10"/>
        <v>75</v>
      </c>
      <c r="O20" s="45">
        <f t="shared" si="11"/>
        <v>385</v>
      </c>
      <c r="P20" s="19">
        <f t="shared" si="12"/>
        <v>64.17</v>
      </c>
      <c r="Q20" s="177">
        <v>65</v>
      </c>
      <c r="R20" s="40">
        <v>90</v>
      </c>
      <c r="S20" s="41">
        <v>40</v>
      </c>
      <c r="T20" s="42">
        <v>45</v>
      </c>
      <c r="U20" s="43">
        <v>80</v>
      </c>
      <c r="V20" s="44">
        <v>75</v>
      </c>
      <c r="W20" s="45">
        <f t="shared" si="2"/>
        <v>395</v>
      </c>
      <c r="X20" s="19">
        <f t="shared" si="3"/>
        <v>65.83</v>
      </c>
      <c r="Y20" s="3">
        <v>65</v>
      </c>
      <c r="Z20" s="4">
        <v>90</v>
      </c>
      <c r="AA20" s="5">
        <v>40</v>
      </c>
      <c r="AB20" s="6">
        <v>45</v>
      </c>
      <c r="AC20" s="7">
        <v>80</v>
      </c>
      <c r="AD20" s="8">
        <v>75</v>
      </c>
      <c r="AE20" s="1">
        <v>395</v>
      </c>
      <c r="AF20" s="19">
        <v>65.83</v>
      </c>
      <c r="AG20" s="139">
        <v>65</v>
      </c>
      <c r="AH20" s="140">
        <v>80</v>
      </c>
      <c r="AI20" s="141">
        <v>40</v>
      </c>
      <c r="AJ20" s="142">
        <v>45</v>
      </c>
      <c r="AK20" s="143">
        <v>80</v>
      </c>
      <c r="AL20" s="144">
        <v>75</v>
      </c>
      <c r="AM20" s="138">
        <v>385</v>
      </c>
      <c r="AN20" s="153">
        <v>64.17</v>
      </c>
      <c r="AO20" s="139">
        <v>65</v>
      </c>
      <c r="AP20" s="140">
        <v>80</v>
      </c>
      <c r="AQ20" s="141">
        <v>40</v>
      </c>
      <c r="AR20" s="162">
        <v>45</v>
      </c>
      <c r="AS20" s="162">
        <v>45</v>
      </c>
      <c r="AT20" s="144">
        <v>75</v>
      </c>
      <c r="AU20" s="138">
        <f t="shared" si="13"/>
        <v>350</v>
      </c>
      <c r="AV20" s="153">
        <f t="shared" si="14"/>
        <v>58.333333333333336</v>
      </c>
      <c r="AW20" s="45"/>
      <c r="AX20" s="174" t="b">
        <f>IF('Refined Compare'!$D$2="All",TRUE,IF(F20='Refined Compare'!$D$2,TRUE,IF(G20='Refined Compare'!$D$2,TRUE,FALSE)))</f>
        <v>0</v>
      </c>
      <c r="AY20" s="174" t="b">
        <f>IF('Refined Compare'!$D$3="All",TRUE,IF(F20='Refined Compare'!$D$3,TRUE,IF(G20='Refined Compare'!$D$3,TRUE,FALSE)))</f>
        <v>0</v>
      </c>
      <c r="AZ20" s="174" t="b">
        <f t="shared" si="1"/>
        <v>1</v>
      </c>
    </row>
    <row r="21" spans="1:52" x14ac:dyDescent="0.35">
      <c r="A21">
        <f t="shared" si="4"/>
        <v>20</v>
      </c>
      <c r="B21" s="62">
        <v>15</v>
      </c>
      <c r="C21" s="61">
        <v>6</v>
      </c>
      <c r="D21" s="118" t="b">
        <f>IF(AZ21,TRUE,FALSE)</f>
        <v>0</v>
      </c>
      <c r="E21" s="61" t="s">
        <v>801</v>
      </c>
      <c r="F21" s="66" t="s">
        <v>811</v>
      </c>
      <c r="G21" s="66" t="s">
        <v>807</v>
      </c>
      <c r="H21" s="2" t="s">
        <v>772</v>
      </c>
      <c r="I21" s="39">
        <f t="shared" si="5"/>
        <v>0</v>
      </c>
      <c r="J21" s="40">
        <f t="shared" si="6"/>
        <v>0</v>
      </c>
      <c r="K21" s="41">
        <f t="shared" si="7"/>
        <v>0</v>
      </c>
      <c r="L21" s="42">
        <f t="shared" si="8"/>
        <v>0</v>
      </c>
      <c r="M21" s="43">
        <f t="shared" si="9"/>
        <v>0</v>
      </c>
      <c r="N21" s="44">
        <f t="shared" si="10"/>
        <v>0</v>
      </c>
      <c r="O21" s="45">
        <f t="shared" si="11"/>
        <v>0</v>
      </c>
      <c r="P21" s="19">
        <f t="shared" si="12"/>
        <v>0</v>
      </c>
      <c r="Q21" s="177">
        <v>65</v>
      </c>
      <c r="R21" s="40">
        <v>150</v>
      </c>
      <c r="S21" s="41">
        <v>40</v>
      </c>
      <c r="T21" s="42">
        <v>15</v>
      </c>
      <c r="U21" s="43">
        <v>80</v>
      </c>
      <c r="V21" s="44">
        <v>145</v>
      </c>
      <c r="W21" s="45">
        <f t="shared" si="2"/>
        <v>495</v>
      </c>
      <c r="X21" s="19">
        <f t="shared" si="3"/>
        <v>82.5</v>
      </c>
      <c r="Y21" s="3">
        <v>65</v>
      </c>
      <c r="Z21" s="4">
        <v>150</v>
      </c>
      <c r="AA21" s="5">
        <v>40</v>
      </c>
      <c r="AB21" s="6">
        <v>15</v>
      </c>
      <c r="AC21" s="7">
        <v>80</v>
      </c>
      <c r="AD21" s="8">
        <v>145</v>
      </c>
      <c r="AE21" s="1">
        <v>495</v>
      </c>
      <c r="AF21" s="19">
        <v>82.5</v>
      </c>
      <c r="AN21" s="172"/>
      <c r="AV21" s="172"/>
      <c r="AW21" s="45"/>
      <c r="AX21" s="174" t="b">
        <f>IF('Refined Compare'!$D$2="All",TRUE,IF(F21='Refined Compare'!$D$2,TRUE,IF(G21='Refined Compare'!$D$2,TRUE,FALSE)))</f>
        <v>0</v>
      </c>
      <c r="AY21" s="174" t="b">
        <f>IF('Refined Compare'!$D$3="All",TRUE,IF(F21='Refined Compare'!$D$3,TRUE,IF(G21='Refined Compare'!$D$3,TRUE,FALSE)))</f>
        <v>0</v>
      </c>
      <c r="AZ21" s="174" t="b">
        <f t="shared" si="1"/>
        <v>0</v>
      </c>
    </row>
    <row r="22" spans="1:52" x14ac:dyDescent="0.35">
      <c r="A22">
        <f t="shared" si="4"/>
        <v>21</v>
      </c>
      <c r="B22" s="18">
        <v>16</v>
      </c>
      <c r="C22" s="61">
        <v>1</v>
      </c>
      <c r="D22" s="61" t="b">
        <v>0</v>
      </c>
      <c r="E22" s="61"/>
      <c r="F22" s="66" t="s">
        <v>812</v>
      </c>
      <c r="G22" s="66" t="s">
        <v>809</v>
      </c>
      <c r="H22" s="2" t="s">
        <v>294</v>
      </c>
      <c r="I22" s="39">
        <f t="shared" si="5"/>
        <v>40</v>
      </c>
      <c r="J22" s="40">
        <f t="shared" si="6"/>
        <v>45</v>
      </c>
      <c r="K22" s="41">
        <f t="shared" si="7"/>
        <v>40</v>
      </c>
      <c r="L22" s="42">
        <f t="shared" si="8"/>
        <v>35</v>
      </c>
      <c r="M22" s="43">
        <f t="shared" si="9"/>
        <v>35</v>
      </c>
      <c r="N22" s="44">
        <f t="shared" si="10"/>
        <v>56</v>
      </c>
      <c r="O22" s="45">
        <f t="shared" si="11"/>
        <v>251</v>
      </c>
      <c r="P22" s="19">
        <f t="shared" si="12"/>
        <v>41.83</v>
      </c>
      <c r="Q22" s="177">
        <v>40</v>
      </c>
      <c r="R22" s="40">
        <v>45</v>
      </c>
      <c r="S22" s="41">
        <v>40</v>
      </c>
      <c r="T22" s="42">
        <v>35</v>
      </c>
      <c r="U22" s="43">
        <v>35</v>
      </c>
      <c r="V22" s="44">
        <v>56</v>
      </c>
      <c r="W22" s="45">
        <f t="shared" si="2"/>
        <v>251</v>
      </c>
      <c r="X22" s="19">
        <f t="shared" si="3"/>
        <v>41.83</v>
      </c>
      <c r="Y22" s="3">
        <v>40</v>
      </c>
      <c r="Z22" s="4">
        <v>45</v>
      </c>
      <c r="AA22" s="5">
        <v>40</v>
      </c>
      <c r="AB22" s="6">
        <v>35</v>
      </c>
      <c r="AC22" s="7">
        <v>35</v>
      </c>
      <c r="AD22" s="8">
        <v>56</v>
      </c>
      <c r="AE22" s="1">
        <v>251</v>
      </c>
      <c r="AF22" s="19">
        <v>41.83</v>
      </c>
      <c r="AG22" s="139">
        <v>40</v>
      </c>
      <c r="AH22" s="140">
        <v>45</v>
      </c>
      <c r="AI22" s="141">
        <v>40</v>
      </c>
      <c r="AJ22" s="142">
        <v>35</v>
      </c>
      <c r="AK22" s="143">
        <v>35</v>
      </c>
      <c r="AL22" s="144">
        <v>56</v>
      </c>
      <c r="AM22" s="138">
        <v>251</v>
      </c>
      <c r="AN22" s="153">
        <v>41.83</v>
      </c>
      <c r="AO22" s="139">
        <v>40</v>
      </c>
      <c r="AP22" s="140">
        <v>45</v>
      </c>
      <c r="AQ22" s="141">
        <v>40</v>
      </c>
      <c r="AR22" s="162">
        <v>35</v>
      </c>
      <c r="AS22" s="162">
        <v>35</v>
      </c>
      <c r="AT22" s="144">
        <v>56</v>
      </c>
      <c r="AU22" s="138">
        <f>SUM(AO22:AT22)</f>
        <v>251</v>
      </c>
      <c r="AV22" s="153">
        <f>AU22/6</f>
        <v>41.833333333333336</v>
      </c>
      <c r="AW22" s="45"/>
      <c r="AX22" s="174" t="b">
        <f>IF('Refined Compare'!$D$2="All",TRUE,IF(F22='Refined Compare'!$D$2,TRUE,IF(G22='Refined Compare'!$D$2,TRUE,FALSE)))</f>
        <v>0</v>
      </c>
      <c r="AY22" s="174" t="b">
        <f>IF('Refined Compare'!$D$3="All",TRUE,IF(F22='Refined Compare'!$D$3,TRUE,IF(G22='Refined Compare'!$D$3,TRUE,FALSE)))</f>
        <v>0</v>
      </c>
      <c r="AZ22" s="174" t="b">
        <f t="shared" si="1"/>
        <v>1</v>
      </c>
    </row>
    <row r="23" spans="1:52" x14ac:dyDescent="0.35">
      <c r="A23">
        <f t="shared" si="4"/>
        <v>22</v>
      </c>
      <c r="B23" s="18">
        <v>17</v>
      </c>
      <c r="C23" s="61">
        <v>1</v>
      </c>
      <c r="D23" s="61" t="b">
        <v>0</v>
      </c>
      <c r="E23" s="61"/>
      <c r="F23" s="66" t="s">
        <v>812</v>
      </c>
      <c r="G23" s="66" t="s">
        <v>809</v>
      </c>
      <c r="H23" s="2" t="s">
        <v>455</v>
      </c>
      <c r="I23" s="39">
        <f t="shared" si="5"/>
        <v>63</v>
      </c>
      <c r="J23" s="40">
        <f t="shared" si="6"/>
        <v>60</v>
      </c>
      <c r="K23" s="41">
        <f t="shared" si="7"/>
        <v>55</v>
      </c>
      <c r="L23" s="42">
        <f t="shared" si="8"/>
        <v>50</v>
      </c>
      <c r="M23" s="43">
        <f t="shared" si="9"/>
        <v>50</v>
      </c>
      <c r="N23" s="44">
        <f t="shared" si="10"/>
        <v>71</v>
      </c>
      <c r="O23" s="45">
        <f t="shared" si="11"/>
        <v>349</v>
      </c>
      <c r="P23" s="19">
        <f t="shared" si="12"/>
        <v>58.17</v>
      </c>
      <c r="Q23" s="177">
        <v>63</v>
      </c>
      <c r="R23" s="40">
        <v>60</v>
      </c>
      <c r="S23" s="41">
        <v>55</v>
      </c>
      <c r="T23" s="42">
        <v>50</v>
      </c>
      <c r="U23" s="43">
        <v>50</v>
      </c>
      <c r="V23" s="44">
        <v>71</v>
      </c>
      <c r="W23" s="45">
        <f t="shared" si="2"/>
        <v>349</v>
      </c>
      <c r="X23" s="19">
        <f t="shared" si="3"/>
        <v>58.17</v>
      </c>
      <c r="Y23" s="3">
        <v>63</v>
      </c>
      <c r="Z23" s="4">
        <v>60</v>
      </c>
      <c r="AA23" s="5">
        <v>55</v>
      </c>
      <c r="AB23" s="6">
        <v>50</v>
      </c>
      <c r="AC23" s="7">
        <v>50</v>
      </c>
      <c r="AD23" s="8">
        <v>71</v>
      </c>
      <c r="AE23" s="1">
        <v>349</v>
      </c>
      <c r="AF23" s="19">
        <v>58.17</v>
      </c>
      <c r="AG23" s="139">
        <v>63</v>
      </c>
      <c r="AH23" s="140">
        <v>60</v>
      </c>
      <c r="AI23" s="141">
        <v>55</v>
      </c>
      <c r="AJ23" s="142">
        <v>50</v>
      </c>
      <c r="AK23" s="143">
        <v>50</v>
      </c>
      <c r="AL23" s="144">
        <v>71</v>
      </c>
      <c r="AM23" s="138">
        <v>349</v>
      </c>
      <c r="AN23" s="153">
        <v>58.17</v>
      </c>
      <c r="AO23" s="139">
        <v>63</v>
      </c>
      <c r="AP23" s="140">
        <v>60</v>
      </c>
      <c r="AQ23" s="141">
        <v>55</v>
      </c>
      <c r="AR23" s="162">
        <v>50</v>
      </c>
      <c r="AS23" s="162">
        <v>50</v>
      </c>
      <c r="AT23" s="144">
        <v>71</v>
      </c>
      <c r="AU23" s="138">
        <f>SUM(AO23:AT23)</f>
        <v>349</v>
      </c>
      <c r="AV23" s="153">
        <f>AU23/6</f>
        <v>58.166666666666664</v>
      </c>
      <c r="AW23" s="45"/>
      <c r="AX23" s="174" t="b">
        <f>IF('Refined Compare'!$D$2="All",TRUE,IF(F23='Refined Compare'!$D$2,TRUE,IF(G23='Refined Compare'!$D$2,TRUE,FALSE)))</f>
        <v>0</v>
      </c>
      <c r="AY23" s="174" t="b">
        <f>IF('Refined Compare'!$D$3="All",TRUE,IF(F23='Refined Compare'!$D$3,TRUE,IF(G23='Refined Compare'!$D$3,TRUE,FALSE)))</f>
        <v>0</v>
      </c>
      <c r="AZ23" s="174" t="b">
        <f t="shared" si="1"/>
        <v>1</v>
      </c>
    </row>
    <row r="24" spans="1:52" x14ac:dyDescent="0.35">
      <c r="A24">
        <f t="shared" si="4"/>
        <v>23</v>
      </c>
      <c r="B24" s="18">
        <v>18</v>
      </c>
      <c r="C24" s="61">
        <v>1</v>
      </c>
      <c r="D24" s="61" t="b">
        <f>IF($AW$2&lt;6,TRUE,FALSE)</f>
        <v>1</v>
      </c>
      <c r="E24" s="61"/>
      <c r="F24" s="66" t="s">
        <v>812</v>
      </c>
      <c r="G24" s="66" t="s">
        <v>809</v>
      </c>
      <c r="H24" s="2" t="s">
        <v>683</v>
      </c>
      <c r="I24" s="39">
        <f t="shared" si="5"/>
        <v>83</v>
      </c>
      <c r="J24" s="40">
        <f t="shared" si="6"/>
        <v>80</v>
      </c>
      <c r="K24" s="41">
        <f t="shared" si="7"/>
        <v>75</v>
      </c>
      <c r="L24" s="42">
        <f t="shared" si="8"/>
        <v>70</v>
      </c>
      <c r="M24" s="43">
        <f t="shared" si="9"/>
        <v>70</v>
      </c>
      <c r="N24" s="44">
        <f t="shared" si="10"/>
        <v>91</v>
      </c>
      <c r="O24" s="45">
        <f t="shared" si="11"/>
        <v>469</v>
      </c>
      <c r="P24" s="19">
        <f t="shared" si="12"/>
        <v>78.17</v>
      </c>
      <c r="Q24" s="177">
        <v>83</v>
      </c>
      <c r="R24" s="40">
        <v>80</v>
      </c>
      <c r="S24" s="41">
        <v>75</v>
      </c>
      <c r="T24" s="42">
        <v>70</v>
      </c>
      <c r="U24" s="43">
        <v>70</v>
      </c>
      <c r="V24" s="44">
        <v>101</v>
      </c>
      <c r="W24" s="45">
        <f t="shared" si="2"/>
        <v>479</v>
      </c>
      <c r="X24" s="19">
        <f t="shared" si="3"/>
        <v>79.83</v>
      </c>
      <c r="Y24" s="3">
        <v>83</v>
      </c>
      <c r="Z24" s="4">
        <v>80</v>
      </c>
      <c r="AA24" s="5">
        <v>75</v>
      </c>
      <c r="AB24" s="6">
        <v>70</v>
      </c>
      <c r="AC24" s="7">
        <v>70</v>
      </c>
      <c r="AD24" s="8">
        <v>101</v>
      </c>
      <c r="AE24" s="1">
        <v>479</v>
      </c>
      <c r="AF24" s="19">
        <v>79.83</v>
      </c>
      <c r="AG24" s="139">
        <v>83</v>
      </c>
      <c r="AH24" s="140">
        <v>80</v>
      </c>
      <c r="AI24" s="141">
        <v>75</v>
      </c>
      <c r="AJ24" s="142">
        <v>70</v>
      </c>
      <c r="AK24" s="143">
        <v>70</v>
      </c>
      <c r="AL24" s="144">
        <v>91</v>
      </c>
      <c r="AM24" s="138">
        <v>469</v>
      </c>
      <c r="AN24" s="153">
        <v>78.17</v>
      </c>
      <c r="AO24" s="139">
        <v>83</v>
      </c>
      <c r="AP24" s="140">
        <v>80</v>
      </c>
      <c r="AQ24" s="141">
        <v>75</v>
      </c>
      <c r="AR24" s="162">
        <v>70</v>
      </c>
      <c r="AS24" s="162">
        <v>70</v>
      </c>
      <c r="AT24" s="144">
        <v>91</v>
      </c>
      <c r="AU24" s="138">
        <f>SUM(AO24:AT24)</f>
        <v>469</v>
      </c>
      <c r="AV24" s="153">
        <f>AU24/6</f>
        <v>78.166666666666671</v>
      </c>
      <c r="AW24" s="45"/>
      <c r="AX24" s="174" t="b">
        <f>IF('Refined Compare'!$D$2="All",TRUE,IF(F24='Refined Compare'!$D$2,TRUE,IF(G24='Refined Compare'!$D$2,TRUE,FALSE)))</f>
        <v>0</v>
      </c>
      <c r="AY24" s="174" t="b">
        <f>IF('Refined Compare'!$D$3="All",TRUE,IF(F24='Refined Compare'!$D$3,TRUE,IF(G24='Refined Compare'!$D$3,TRUE,FALSE)))</f>
        <v>0</v>
      </c>
      <c r="AZ24" s="174" t="b">
        <f t="shared" si="1"/>
        <v>1</v>
      </c>
    </row>
    <row r="25" spans="1:52" x14ac:dyDescent="0.35">
      <c r="A25">
        <f t="shared" si="4"/>
        <v>24</v>
      </c>
      <c r="B25" s="62">
        <v>18</v>
      </c>
      <c r="C25" s="61">
        <v>6</v>
      </c>
      <c r="D25" s="118" t="b">
        <f>IF(AZ25,TRUE,FALSE)</f>
        <v>0</v>
      </c>
      <c r="E25" s="61" t="s">
        <v>801</v>
      </c>
      <c r="F25" s="66" t="s">
        <v>812</v>
      </c>
      <c r="G25" s="66" t="s">
        <v>809</v>
      </c>
      <c r="H25" s="2" t="s">
        <v>753</v>
      </c>
      <c r="I25" s="39">
        <f t="shared" si="5"/>
        <v>0</v>
      </c>
      <c r="J25" s="40">
        <f t="shared" si="6"/>
        <v>0</v>
      </c>
      <c r="K25" s="41">
        <f t="shared" si="7"/>
        <v>0</v>
      </c>
      <c r="L25" s="42">
        <f t="shared" si="8"/>
        <v>0</v>
      </c>
      <c r="M25" s="43">
        <f t="shared" si="9"/>
        <v>0</v>
      </c>
      <c r="N25" s="44">
        <f t="shared" si="10"/>
        <v>0</v>
      </c>
      <c r="O25" s="45">
        <f t="shared" si="11"/>
        <v>0</v>
      </c>
      <c r="P25" s="19">
        <f t="shared" si="12"/>
        <v>0</v>
      </c>
      <c r="Q25" s="177">
        <v>83</v>
      </c>
      <c r="R25" s="40">
        <v>80</v>
      </c>
      <c r="S25" s="41">
        <v>80</v>
      </c>
      <c r="T25" s="42">
        <v>135</v>
      </c>
      <c r="U25" s="43">
        <v>80</v>
      </c>
      <c r="V25" s="44">
        <v>121</v>
      </c>
      <c r="W25" s="45">
        <f t="shared" si="2"/>
        <v>579</v>
      </c>
      <c r="X25" s="19">
        <f t="shared" si="3"/>
        <v>96.5</v>
      </c>
      <c r="Y25" s="3">
        <v>83</v>
      </c>
      <c r="Z25" s="4">
        <v>80</v>
      </c>
      <c r="AA25" s="5">
        <v>80</v>
      </c>
      <c r="AB25" s="6">
        <v>135</v>
      </c>
      <c r="AC25" s="7">
        <v>80</v>
      </c>
      <c r="AD25" s="8">
        <v>121</v>
      </c>
      <c r="AE25" s="1">
        <v>579</v>
      </c>
      <c r="AF25" s="19">
        <v>96.5</v>
      </c>
      <c r="AN25" s="172"/>
      <c r="AV25" s="172"/>
      <c r="AW25" s="45"/>
      <c r="AX25" s="174" t="b">
        <f>IF('Refined Compare'!$D$2="All",TRUE,IF(F25='Refined Compare'!$D$2,TRUE,IF(G25='Refined Compare'!$D$2,TRUE,FALSE)))</f>
        <v>0</v>
      </c>
      <c r="AY25" s="174" t="b">
        <f>IF('Refined Compare'!$D$3="All",TRUE,IF(F25='Refined Compare'!$D$3,TRUE,IF(G25='Refined Compare'!$D$3,TRUE,FALSE)))</f>
        <v>0</v>
      </c>
      <c r="AZ25" s="174" t="b">
        <f t="shared" si="1"/>
        <v>0</v>
      </c>
    </row>
    <row r="26" spans="1:52" x14ac:dyDescent="0.35">
      <c r="A26">
        <f t="shared" si="4"/>
        <v>25</v>
      </c>
      <c r="B26" s="18">
        <v>19</v>
      </c>
      <c r="C26" s="61">
        <v>1</v>
      </c>
      <c r="D26" s="61" t="b">
        <v>0</v>
      </c>
      <c r="E26" s="61"/>
      <c r="F26" s="66" t="s">
        <v>812</v>
      </c>
      <c r="G26" s="66" t="s">
        <v>827</v>
      </c>
      <c r="H26" s="2" t="s">
        <v>461</v>
      </c>
      <c r="I26" s="39">
        <f t="shared" si="5"/>
        <v>30</v>
      </c>
      <c r="J26" s="40">
        <f t="shared" si="6"/>
        <v>56</v>
      </c>
      <c r="K26" s="41">
        <f t="shared" si="7"/>
        <v>35</v>
      </c>
      <c r="L26" s="42">
        <f t="shared" si="8"/>
        <v>25</v>
      </c>
      <c r="M26" s="43">
        <f t="shared" si="9"/>
        <v>35</v>
      </c>
      <c r="N26" s="44">
        <f t="shared" si="10"/>
        <v>72</v>
      </c>
      <c r="O26" s="45">
        <f t="shared" si="11"/>
        <v>253</v>
      </c>
      <c r="P26" s="19">
        <f t="shared" si="12"/>
        <v>42.17</v>
      </c>
      <c r="Q26" s="177">
        <v>30</v>
      </c>
      <c r="R26" s="40">
        <v>56</v>
      </c>
      <c r="S26" s="41">
        <v>35</v>
      </c>
      <c r="T26" s="42">
        <v>25</v>
      </c>
      <c r="U26" s="43">
        <v>35</v>
      </c>
      <c r="V26" s="44">
        <v>72</v>
      </c>
      <c r="W26" s="45">
        <f t="shared" si="2"/>
        <v>253</v>
      </c>
      <c r="X26" s="19">
        <f t="shared" si="3"/>
        <v>42.17</v>
      </c>
      <c r="Y26" s="3">
        <v>30</v>
      </c>
      <c r="Z26" s="4">
        <v>56</v>
      </c>
      <c r="AA26" s="5">
        <v>35</v>
      </c>
      <c r="AB26" s="6">
        <v>25</v>
      </c>
      <c r="AC26" s="7">
        <v>35</v>
      </c>
      <c r="AD26" s="8">
        <v>72</v>
      </c>
      <c r="AE26" s="1">
        <v>253</v>
      </c>
      <c r="AF26" s="19">
        <v>42.17</v>
      </c>
      <c r="AG26" s="139">
        <v>30</v>
      </c>
      <c r="AH26" s="140">
        <v>56</v>
      </c>
      <c r="AI26" s="141">
        <v>35</v>
      </c>
      <c r="AJ26" s="142">
        <v>25</v>
      </c>
      <c r="AK26" s="143">
        <v>35</v>
      </c>
      <c r="AL26" s="144">
        <v>72</v>
      </c>
      <c r="AM26" s="138">
        <v>253</v>
      </c>
      <c r="AN26" s="153">
        <v>42.17</v>
      </c>
      <c r="AO26" s="139">
        <v>30</v>
      </c>
      <c r="AP26" s="140">
        <v>56</v>
      </c>
      <c r="AQ26" s="141">
        <v>35</v>
      </c>
      <c r="AR26" s="162">
        <v>25</v>
      </c>
      <c r="AS26" s="162">
        <v>25</v>
      </c>
      <c r="AT26" s="144">
        <v>72</v>
      </c>
      <c r="AU26" s="138">
        <f t="shared" ref="AU26:AU83" si="15">SUM(AO26:AT26)</f>
        <v>243</v>
      </c>
      <c r="AV26" s="153">
        <f t="shared" ref="AV26:AV83" si="16">AU26/6</f>
        <v>40.5</v>
      </c>
      <c r="AW26" s="45"/>
      <c r="AX26" s="174" t="b">
        <f>IF('Refined Compare'!$D$2="All",TRUE,IF(F26='Refined Compare'!$D$2,TRUE,IF(G26='Refined Compare'!$D$2,TRUE,FALSE)))</f>
        <v>0</v>
      </c>
      <c r="AY26" s="174" t="b">
        <f>IF('Refined Compare'!$D$3="All",TRUE,IF(F26='Refined Compare'!$D$3,TRUE,IF(G26='Refined Compare'!$D$3,TRUE,FALSE)))</f>
        <v>1</v>
      </c>
      <c r="AZ26" s="174" t="b">
        <f t="shared" si="1"/>
        <v>1</v>
      </c>
    </row>
    <row r="27" spans="1:52" x14ac:dyDescent="0.35">
      <c r="A27">
        <f t="shared" si="4"/>
        <v>26</v>
      </c>
      <c r="B27" s="18">
        <v>19</v>
      </c>
      <c r="C27" s="61">
        <v>7</v>
      </c>
      <c r="D27" s="61"/>
      <c r="E27" s="61"/>
      <c r="F27" s="66" t="s">
        <v>823</v>
      </c>
      <c r="G27" s="66" t="s">
        <v>812</v>
      </c>
      <c r="H27" s="2" t="s">
        <v>961</v>
      </c>
      <c r="I27" s="39">
        <f t="shared" ref="I27:I28" si="17">IF($AW$2=7,Q27,IF($AW$2=6,Y27,IF($AW$2=1,AO27,AG27)))</f>
        <v>0</v>
      </c>
      <c r="J27" s="40">
        <f t="shared" ref="J27:J28" si="18">IF($AW$2=7,R27,IF($AW$2=6,Z27,IF($AW$2=1,AP27,AH27)))</f>
        <v>0</v>
      </c>
      <c r="K27" s="41">
        <f t="shared" ref="K27:K28" si="19">IF($AW$2=7,S27,IF($AW$2=6,AA27,IF($AW$2=1,AQ27,AI27)))</f>
        <v>0</v>
      </c>
      <c r="L27" s="42">
        <f t="shared" ref="L27:L28" si="20">IF($AW$2=7,T27,IF($AW$2=6,AB27,IF($AW$2=1,AR27,AJ27)))</f>
        <v>0</v>
      </c>
      <c r="M27" s="43">
        <f t="shared" ref="M27:M28" si="21">IF($AW$2=7,U27,IF($AW$2=6,AC27,IF($AW$2=1,AS27,AK27)))</f>
        <v>0</v>
      </c>
      <c r="N27" s="44">
        <f t="shared" ref="N27:N28" si="22">IF($AW$2=7,V27,IF($AW$2=6,AD27,IF($AW$2=1,AT27,AL27)))</f>
        <v>0</v>
      </c>
      <c r="O27" s="45">
        <f t="shared" ref="O27:O28" si="23">IF($AW$2=7,W27,IF($AW$2=6,AE27,IF($AW$2=1,AU27,AM27)))</f>
        <v>0</v>
      </c>
      <c r="P27" s="19">
        <f t="shared" ref="P27:P28" si="24">IF($AW$2=7,X27,IF($AW$2=6,AF27,IF($AW$2=1,AV27,AN27)))</f>
        <v>0</v>
      </c>
      <c r="Q27" s="177">
        <v>30</v>
      </c>
      <c r="R27" s="40">
        <v>56</v>
      </c>
      <c r="S27" s="41">
        <v>35</v>
      </c>
      <c r="T27" s="42">
        <v>25</v>
      </c>
      <c r="U27" s="43">
        <v>35</v>
      </c>
      <c r="V27" s="44">
        <v>72</v>
      </c>
      <c r="W27" s="45">
        <f t="shared" ref="W27:W90" si="25">SUM(Q27:V27)</f>
        <v>253</v>
      </c>
      <c r="X27" s="19">
        <f t="shared" ref="X27:X90" si="26">ROUND(AVERAGE(Q27:V27),2)</f>
        <v>42.17</v>
      </c>
      <c r="Y27" s="3"/>
      <c r="Z27" s="4"/>
      <c r="AA27" s="5"/>
      <c r="AB27" s="6"/>
      <c r="AC27" s="7"/>
      <c r="AD27" s="8"/>
      <c r="AE27" s="1"/>
      <c r="AF27" s="19"/>
      <c r="AG27" s="139"/>
      <c r="AH27" s="140"/>
      <c r="AI27" s="141"/>
      <c r="AJ27" s="142"/>
      <c r="AK27" s="143"/>
      <c r="AL27" s="144"/>
      <c r="AM27" s="138"/>
      <c r="AN27" s="153"/>
      <c r="AO27" s="139"/>
      <c r="AP27" s="140"/>
      <c r="AQ27" s="141"/>
      <c r="AR27" s="162"/>
      <c r="AS27" s="162"/>
      <c r="AT27" s="144"/>
      <c r="AU27" s="138"/>
      <c r="AV27" s="153"/>
      <c r="AW27" s="45"/>
      <c r="AX27" s="174" t="b">
        <f>IF('Refined Compare'!$D$2="All",TRUE,IF(F27='Refined Compare'!$D$2,TRUE,IF(G27='Refined Compare'!$D$2,TRUE,FALSE)))</f>
        <v>1</v>
      </c>
      <c r="AY27" s="174" t="b">
        <f>IF('Refined Compare'!$D$3="All",TRUE,IF(F27='Refined Compare'!$D$3,TRUE,IF(G27='Refined Compare'!$D$3,TRUE,FALSE)))</f>
        <v>0</v>
      </c>
      <c r="AZ27" s="174" t="b">
        <f t="shared" si="1"/>
        <v>0</v>
      </c>
    </row>
    <row r="28" spans="1:52" x14ac:dyDescent="0.35">
      <c r="A28">
        <f t="shared" si="4"/>
        <v>27</v>
      </c>
      <c r="B28" s="18">
        <v>20</v>
      </c>
      <c r="C28" s="61">
        <v>1</v>
      </c>
      <c r="D28" s="118" t="b">
        <v>1</v>
      </c>
      <c r="E28" s="61"/>
      <c r="F28" s="66" t="s">
        <v>812</v>
      </c>
      <c r="G28" s="66" t="s">
        <v>827</v>
      </c>
      <c r="H28" s="2" t="s">
        <v>641</v>
      </c>
      <c r="I28" s="39">
        <f t="shared" si="17"/>
        <v>55</v>
      </c>
      <c r="J28" s="40">
        <f t="shared" si="18"/>
        <v>81</v>
      </c>
      <c r="K28" s="41">
        <f t="shared" si="19"/>
        <v>60</v>
      </c>
      <c r="L28" s="42">
        <f t="shared" si="20"/>
        <v>50</v>
      </c>
      <c r="M28" s="43">
        <f t="shared" si="21"/>
        <v>70</v>
      </c>
      <c r="N28" s="44">
        <f t="shared" si="22"/>
        <v>97</v>
      </c>
      <c r="O28" s="45">
        <f t="shared" si="23"/>
        <v>413</v>
      </c>
      <c r="P28" s="19">
        <f t="shared" si="24"/>
        <v>68.83</v>
      </c>
      <c r="Q28" s="177">
        <v>55</v>
      </c>
      <c r="R28" s="40">
        <v>81</v>
      </c>
      <c r="S28" s="41">
        <v>60</v>
      </c>
      <c r="T28" s="42">
        <v>50</v>
      </c>
      <c r="U28" s="43">
        <v>70</v>
      </c>
      <c r="V28" s="44">
        <v>97</v>
      </c>
      <c r="W28" s="45">
        <f t="shared" si="25"/>
        <v>413</v>
      </c>
      <c r="X28" s="19">
        <f t="shared" si="26"/>
        <v>68.83</v>
      </c>
      <c r="Y28" s="3">
        <v>55</v>
      </c>
      <c r="Z28" s="4">
        <v>81</v>
      </c>
      <c r="AA28" s="5">
        <v>60</v>
      </c>
      <c r="AB28" s="6">
        <v>50</v>
      </c>
      <c r="AC28" s="7">
        <v>70</v>
      </c>
      <c r="AD28" s="8">
        <v>97</v>
      </c>
      <c r="AE28" s="1">
        <v>413</v>
      </c>
      <c r="AF28" s="19">
        <v>68.83</v>
      </c>
      <c r="AG28" s="139">
        <v>55</v>
      </c>
      <c r="AH28" s="140">
        <v>81</v>
      </c>
      <c r="AI28" s="141">
        <v>60</v>
      </c>
      <c r="AJ28" s="142">
        <v>50</v>
      </c>
      <c r="AK28" s="143">
        <v>70</v>
      </c>
      <c r="AL28" s="144">
        <v>97</v>
      </c>
      <c r="AM28" s="138">
        <v>413</v>
      </c>
      <c r="AN28" s="153">
        <v>68.83</v>
      </c>
      <c r="AO28" s="139">
        <v>55</v>
      </c>
      <c r="AP28" s="140">
        <v>81</v>
      </c>
      <c r="AQ28" s="141">
        <v>60</v>
      </c>
      <c r="AR28" s="162">
        <v>50</v>
      </c>
      <c r="AS28" s="162">
        <v>50</v>
      </c>
      <c r="AT28" s="144">
        <v>97</v>
      </c>
      <c r="AU28" s="138">
        <f t="shared" si="15"/>
        <v>393</v>
      </c>
      <c r="AV28" s="153">
        <f t="shared" si="16"/>
        <v>65.5</v>
      </c>
      <c r="AW28" s="45"/>
      <c r="AX28" s="174" t="b">
        <f>IF('Refined Compare'!$D$2="All",TRUE,IF(F28='Refined Compare'!$D$2,TRUE,IF(G28='Refined Compare'!$D$2,TRUE,FALSE)))</f>
        <v>0</v>
      </c>
      <c r="AY28" s="174" t="b">
        <f>IF('Refined Compare'!$D$3="All",TRUE,IF(F28='Refined Compare'!$D$3,TRUE,IF(G28='Refined Compare'!$D$3,TRUE,FALSE)))</f>
        <v>1</v>
      </c>
      <c r="AZ28" s="174" t="b">
        <f t="shared" si="1"/>
        <v>1</v>
      </c>
    </row>
    <row r="29" spans="1:52" x14ac:dyDescent="0.35">
      <c r="A29">
        <f t="shared" si="4"/>
        <v>28</v>
      </c>
      <c r="B29" s="18">
        <v>20</v>
      </c>
      <c r="C29" s="61">
        <v>7</v>
      </c>
      <c r="D29" s="118" t="b">
        <v>1</v>
      </c>
      <c r="E29" s="61"/>
      <c r="F29" s="66" t="s">
        <v>823</v>
      </c>
      <c r="G29" s="66" t="s">
        <v>812</v>
      </c>
      <c r="H29" s="2" t="s">
        <v>962</v>
      </c>
      <c r="I29" s="39">
        <f t="shared" ref="I29:I92" si="27">IF($AW$2=7,Q29,IF($AW$2=6,Y29,IF($AW$2=1,AO29,AG29)))</f>
        <v>0</v>
      </c>
      <c r="J29" s="40">
        <f t="shared" ref="J29:J92" si="28">IF($AW$2=7,R29,IF($AW$2=6,Z29,IF($AW$2=1,AP29,AH29)))</f>
        <v>0</v>
      </c>
      <c r="K29" s="41">
        <f t="shared" ref="K29:K92" si="29">IF($AW$2=7,S29,IF($AW$2=6,AA29,IF($AW$2=1,AQ29,AI29)))</f>
        <v>0</v>
      </c>
      <c r="L29" s="42">
        <f t="shared" ref="L29:L92" si="30">IF($AW$2=7,T29,IF($AW$2=6,AB29,IF($AW$2=1,AR29,AJ29)))</f>
        <v>0</v>
      </c>
      <c r="M29" s="43">
        <f t="shared" ref="M29:M92" si="31">IF($AW$2=7,U29,IF($AW$2=6,AC29,IF($AW$2=1,AS29,AK29)))</f>
        <v>0</v>
      </c>
      <c r="N29" s="44">
        <f t="shared" ref="N29:N92" si="32">IF($AW$2=7,V29,IF($AW$2=6,AD29,IF($AW$2=1,AT29,AL29)))</f>
        <v>0</v>
      </c>
      <c r="O29" s="45">
        <f t="shared" ref="O29:O92" si="33">IF($AW$2=7,W29,IF($AW$2=6,AE29,IF($AW$2=1,AU29,AM29)))</f>
        <v>0</v>
      </c>
      <c r="P29" s="19">
        <f t="shared" ref="P29:P92" si="34">IF($AW$2=7,X29,IF($AW$2=6,AF29,IF($AW$2=1,AV29,AN29)))</f>
        <v>0</v>
      </c>
      <c r="Q29" s="177">
        <v>75</v>
      </c>
      <c r="R29" s="40">
        <v>71</v>
      </c>
      <c r="S29" s="41">
        <v>70</v>
      </c>
      <c r="T29" s="42">
        <v>40</v>
      </c>
      <c r="U29" s="43">
        <v>80</v>
      </c>
      <c r="V29" s="44">
        <v>77</v>
      </c>
      <c r="W29" s="45">
        <f t="shared" si="25"/>
        <v>413</v>
      </c>
      <c r="X29" s="19">
        <f t="shared" si="26"/>
        <v>68.83</v>
      </c>
      <c r="Y29" s="3"/>
      <c r="Z29" s="4"/>
      <c r="AA29" s="5"/>
      <c r="AB29" s="6"/>
      <c r="AC29" s="7"/>
      <c r="AD29" s="8"/>
      <c r="AE29" s="1"/>
      <c r="AF29" s="19"/>
      <c r="AG29" s="139"/>
      <c r="AH29" s="140"/>
      <c r="AI29" s="141"/>
      <c r="AJ29" s="142"/>
      <c r="AK29" s="143"/>
      <c r="AL29" s="144"/>
      <c r="AM29" s="138"/>
      <c r="AN29" s="153"/>
      <c r="AO29" s="139"/>
      <c r="AP29" s="140"/>
      <c r="AQ29" s="141"/>
      <c r="AR29" s="162"/>
      <c r="AS29" s="162"/>
      <c r="AT29" s="144"/>
      <c r="AU29" s="138"/>
      <c r="AV29" s="153"/>
      <c r="AW29" s="45"/>
      <c r="AX29" s="174" t="b">
        <f>IF('Refined Compare'!$D$2="All",TRUE,IF(F29='Refined Compare'!$D$2,TRUE,IF(G29='Refined Compare'!$D$2,TRUE,FALSE)))</f>
        <v>1</v>
      </c>
      <c r="AY29" s="174" t="b">
        <f>IF('Refined Compare'!$D$3="All",TRUE,IF(F29='Refined Compare'!$D$3,TRUE,IF(G29='Refined Compare'!$D$3,TRUE,FALSE)))</f>
        <v>0</v>
      </c>
      <c r="AZ29" s="174" t="b">
        <f t="shared" si="1"/>
        <v>0</v>
      </c>
    </row>
    <row r="30" spans="1:52" x14ac:dyDescent="0.35">
      <c r="A30">
        <f t="shared" si="4"/>
        <v>29</v>
      </c>
      <c r="B30" s="18">
        <v>21</v>
      </c>
      <c r="C30" s="61">
        <v>1</v>
      </c>
      <c r="D30" s="61" t="b">
        <v>0</v>
      </c>
      <c r="E30" s="61"/>
      <c r="F30" s="66" t="s">
        <v>812</v>
      </c>
      <c r="G30" s="66" t="s">
        <v>809</v>
      </c>
      <c r="H30" s="2" t="s">
        <v>419</v>
      </c>
      <c r="I30" s="39">
        <f t="shared" si="27"/>
        <v>40</v>
      </c>
      <c r="J30" s="40">
        <f t="shared" si="28"/>
        <v>60</v>
      </c>
      <c r="K30" s="41">
        <f t="shared" si="29"/>
        <v>30</v>
      </c>
      <c r="L30" s="42">
        <f t="shared" si="30"/>
        <v>31</v>
      </c>
      <c r="M30" s="43">
        <f t="shared" si="31"/>
        <v>31</v>
      </c>
      <c r="N30" s="44">
        <f t="shared" si="32"/>
        <v>70</v>
      </c>
      <c r="O30" s="45">
        <f t="shared" si="33"/>
        <v>262</v>
      </c>
      <c r="P30" s="19">
        <f t="shared" si="34"/>
        <v>43.67</v>
      </c>
      <c r="Q30" s="177">
        <v>40</v>
      </c>
      <c r="R30" s="40">
        <v>60</v>
      </c>
      <c r="S30" s="41">
        <v>30</v>
      </c>
      <c r="T30" s="42">
        <v>31</v>
      </c>
      <c r="U30" s="43">
        <v>31</v>
      </c>
      <c r="V30" s="44">
        <v>70</v>
      </c>
      <c r="W30" s="45">
        <f t="shared" si="25"/>
        <v>262</v>
      </c>
      <c r="X30" s="19">
        <f t="shared" si="26"/>
        <v>43.67</v>
      </c>
      <c r="Y30" s="3">
        <v>40</v>
      </c>
      <c r="Z30" s="4">
        <v>60</v>
      </c>
      <c r="AA30" s="5">
        <v>30</v>
      </c>
      <c r="AB30" s="6">
        <v>31</v>
      </c>
      <c r="AC30" s="7">
        <v>31</v>
      </c>
      <c r="AD30" s="8">
        <v>70</v>
      </c>
      <c r="AE30" s="1">
        <v>262</v>
      </c>
      <c r="AF30" s="19">
        <v>43.67</v>
      </c>
      <c r="AG30" s="166">
        <v>40</v>
      </c>
      <c r="AH30" s="167">
        <v>60</v>
      </c>
      <c r="AI30" s="168">
        <v>30</v>
      </c>
      <c r="AJ30" s="169">
        <v>31</v>
      </c>
      <c r="AK30" s="170">
        <v>31</v>
      </c>
      <c r="AL30" s="171">
        <v>70</v>
      </c>
      <c r="AM30" s="165">
        <v>262</v>
      </c>
      <c r="AN30" s="153">
        <v>43.67</v>
      </c>
      <c r="AO30" s="139">
        <v>40</v>
      </c>
      <c r="AP30" s="140">
        <v>60</v>
      </c>
      <c r="AQ30" s="141">
        <v>30</v>
      </c>
      <c r="AR30" s="162">
        <v>31</v>
      </c>
      <c r="AS30" s="162">
        <v>31</v>
      </c>
      <c r="AT30" s="144">
        <v>70</v>
      </c>
      <c r="AU30" s="138">
        <f t="shared" si="15"/>
        <v>262</v>
      </c>
      <c r="AV30" s="153">
        <f t="shared" si="16"/>
        <v>43.666666666666664</v>
      </c>
      <c r="AW30" s="45"/>
      <c r="AX30" s="174" t="b">
        <f>IF('Refined Compare'!$D$2="All",TRUE,IF(F30='Refined Compare'!$D$2,TRUE,IF(G30='Refined Compare'!$D$2,TRUE,FALSE)))</f>
        <v>0</v>
      </c>
      <c r="AY30" s="174" t="b">
        <f>IF('Refined Compare'!$D$3="All",TRUE,IF(F30='Refined Compare'!$D$3,TRUE,IF(G30='Refined Compare'!$D$3,TRUE,FALSE)))</f>
        <v>0</v>
      </c>
      <c r="AZ30" s="174" t="b">
        <f t="shared" si="1"/>
        <v>1</v>
      </c>
    </row>
    <row r="31" spans="1:52" x14ac:dyDescent="0.35">
      <c r="A31">
        <f t="shared" si="4"/>
        <v>30</v>
      </c>
      <c r="B31" s="18">
        <v>22</v>
      </c>
      <c r="C31" s="61">
        <v>1</v>
      </c>
      <c r="D31" s="118" t="b">
        <v>1</v>
      </c>
      <c r="E31" s="61"/>
      <c r="F31" s="66" t="s">
        <v>812</v>
      </c>
      <c r="G31" s="66" t="s">
        <v>809</v>
      </c>
      <c r="H31" s="2" t="s">
        <v>656</v>
      </c>
      <c r="I31" s="39">
        <f t="shared" si="27"/>
        <v>65</v>
      </c>
      <c r="J31" s="40">
        <f t="shared" si="28"/>
        <v>90</v>
      </c>
      <c r="K31" s="41">
        <f t="shared" si="29"/>
        <v>65</v>
      </c>
      <c r="L31" s="42">
        <f t="shared" si="30"/>
        <v>61</v>
      </c>
      <c r="M31" s="43">
        <f t="shared" si="31"/>
        <v>61</v>
      </c>
      <c r="N31" s="44">
        <f t="shared" si="32"/>
        <v>100</v>
      </c>
      <c r="O31" s="45">
        <f t="shared" si="33"/>
        <v>442</v>
      </c>
      <c r="P31" s="19">
        <f t="shared" si="34"/>
        <v>73.67</v>
      </c>
      <c r="Q31" s="177">
        <v>65</v>
      </c>
      <c r="R31" s="40">
        <v>90</v>
      </c>
      <c r="S31" s="41">
        <v>65</v>
      </c>
      <c r="T31" s="42">
        <v>61</v>
      </c>
      <c r="U31" s="43">
        <v>61</v>
      </c>
      <c r="V31" s="44">
        <v>100</v>
      </c>
      <c r="W31" s="45">
        <f t="shared" si="25"/>
        <v>442</v>
      </c>
      <c r="X31" s="19">
        <f t="shared" si="26"/>
        <v>73.67</v>
      </c>
      <c r="Y31" s="3">
        <v>65</v>
      </c>
      <c r="Z31" s="4">
        <v>90</v>
      </c>
      <c r="AA31" s="5">
        <v>65</v>
      </c>
      <c r="AB31" s="6">
        <v>61</v>
      </c>
      <c r="AC31" s="7">
        <v>61</v>
      </c>
      <c r="AD31" s="8">
        <v>100</v>
      </c>
      <c r="AE31" s="1">
        <v>442</v>
      </c>
      <c r="AF31" s="19">
        <v>73.67</v>
      </c>
      <c r="AG31" s="139">
        <v>65</v>
      </c>
      <c r="AH31" s="140">
        <v>90</v>
      </c>
      <c r="AI31" s="141">
        <v>65</v>
      </c>
      <c r="AJ31" s="142">
        <v>61</v>
      </c>
      <c r="AK31" s="143">
        <v>61</v>
      </c>
      <c r="AL31" s="144">
        <v>100</v>
      </c>
      <c r="AM31" s="138">
        <v>442</v>
      </c>
      <c r="AN31" s="153">
        <v>73.67</v>
      </c>
      <c r="AO31" s="139">
        <v>65</v>
      </c>
      <c r="AP31" s="140">
        <v>90</v>
      </c>
      <c r="AQ31" s="141">
        <v>65</v>
      </c>
      <c r="AR31" s="162">
        <v>61</v>
      </c>
      <c r="AS31" s="162">
        <v>61</v>
      </c>
      <c r="AT31" s="144">
        <v>100</v>
      </c>
      <c r="AU31" s="138">
        <f t="shared" si="15"/>
        <v>442</v>
      </c>
      <c r="AV31" s="153">
        <f t="shared" si="16"/>
        <v>73.666666666666671</v>
      </c>
      <c r="AW31" s="45"/>
      <c r="AX31" s="174" t="b">
        <f>IF('Refined Compare'!$D$2="All",TRUE,IF(F31='Refined Compare'!$D$2,TRUE,IF(G31='Refined Compare'!$D$2,TRUE,FALSE)))</f>
        <v>0</v>
      </c>
      <c r="AY31" s="174" t="b">
        <f>IF('Refined Compare'!$D$3="All",TRUE,IF(F31='Refined Compare'!$D$3,TRUE,IF(G31='Refined Compare'!$D$3,TRUE,FALSE)))</f>
        <v>0</v>
      </c>
      <c r="AZ31" s="174" t="b">
        <f t="shared" si="1"/>
        <v>1</v>
      </c>
    </row>
    <row r="32" spans="1:52" x14ac:dyDescent="0.35">
      <c r="A32">
        <f t="shared" si="4"/>
        <v>31</v>
      </c>
      <c r="B32" s="18">
        <v>23</v>
      </c>
      <c r="C32" s="61">
        <v>1</v>
      </c>
      <c r="D32" s="61" t="b">
        <v>0</v>
      </c>
      <c r="E32" s="61"/>
      <c r="F32" s="66" t="s">
        <v>807</v>
      </c>
      <c r="G32" s="66" t="s">
        <v>827</v>
      </c>
      <c r="H32" s="2" t="s">
        <v>264</v>
      </c>
      <c r="I32" s="39">
        <f t="shared" si="27"/>
        <v>35</v>
      </c>
      <c r="J32" s="40">
        <f t="shared" si="28"/>
        <v>60</v>
      </c>
      <c r="K32" s="41">
        <f t="shared" si="29"/>
        <v>44</v>
      </c>
      <c r="L32" s="42">
        <f t="shared" si="30"/>
        <v>40</v>
      </c>
      <c r="M32" s="43">
        <f t="shared" si="31"/>
        <v>54</v>
      </c>
      <c r="N32" s="44">
        <f t="shared" si="32"/>
        <v>55</v>
      </c>
      <c r="O32" s="45">
        <f t="shared" si="33"/>
        <v>288</v>
      </c>
      <c r="P32" s="19">
        <f t="shared" si="34"/>
        <v>48</v>
      </c>
      <c r="Q32" s="177">
        <v>35</v>
      </c>
      <c r="R32" s="40">
        <v>60</v>
      </c>
      <c r="S32" s="41">
        <v>44</v>
      </c>
      <c r="T32" s="42">
        <v>40</v>
      </c>
      <c r="U32" s="43">
        <v>54</v>
      </c>
      <c r="V32" s="44">
        <v>55</v>
      </c>
      <c r="W32" s="45">
        <f t="shared" si="25"/>
        <v>288</v>
      </c>
      <c r="X32" s="19">
        <f t="shared" si="26"/>
        <v>48</v>
      </c>
      <c r="Y32" s="3">
        <v>35</v>
      </c>
      <c r="Z32" s="4">
        <v>60</v>
      </c>
      <c r="AA32" s="5">
        <v>44</v>
      </c>
      <c r="AB32" s="6">
        <v>40</v>
      </c>
      <c r="AC32" s="7">
        <v>54</v>
      </c>
      <c r="AD32" s="8">
        <v>55</v>
      </c>
      <c r="AE32" s="1">
        <v>288</v>
      </c>
      <c r="AF32" s="19">
        <v>48</v>
      </c>
      <c r="AG32" s="139">
        <v>35</v>
      </c>
      <c r="AH32" s="140">
        <v>60</v>
      </c>
      <c r="AI32" s="141">
        <v>44</v>
      </c>
      <c r="AJ32" s="142">
        <v>40</v>
      </c>
      <c r="AK32" s="143">
        <v>54</v>
      </c>
      <c r="AL32" s="144">
        <v>55</v>
      </c>
      <c r="AM32" s="138">
        <v>288</v>
      </c>
      <c r="AN32" s="153">
        <v>48</v>
      </c>
      <c r="AO32" s="139">
        <v>35</v>
      </c>
      <c r="AP32" s="140">
        <v>60</v>
      </c>
      <c r="AQ32" s="141">
        <v>44</v>
      </c>
      <c r="AR32" s="162">
        <v>40</v>
      </c>
      <c r="AS32" s="162">
        <v>40</v>
      </c>
      <c r="AT32" s="144">
        <v>55</v>
      </c>
      <c r="AU32" s="138">
        <f t="shared" si="15"/>
        <v>274</v>
      </c>
      <c r="AV32" s="153">
        <f t="shared" si="16"/>
        <v>45.666666666666664</v>
      </c>
      <c r="AW32" s="45"/>
      <c r="AX32" s="174" t="b">
        <f>IF('Refined Compare'!$D$2="All",TRUE,IF(F32='Refined Compare'!$D$2,TRUE,IF(G32='Refined Compare'!$D$2,TRUE,FALSE)))</f>
        <v>0</v>
      </c>
      <c r="AY32" s="174" t="b">
        <f>IF('Refined Compare'!$D$3="All",TRUE,IF(F32='Refined Compare'!$D$3,TRUE,IF(G32='Refined Compare'!$D$3,TRUE,FALSE)))</f>
        <v>1</v>
      </c>
      <c r="AZ32" s="174" t="b">
        <f t="shared" si="1"/>
        <v>1</v>
      </c>
    </row>
    <row r="33" spans="1:52" x14ac:dyDescent="0.35">
      <c r="A33">
        <f t="shared" si="4"/>
        <v>32</v>
      </c>
      <c r="B33" s="18">
        <v>24</v>
      </c>
      <c r="C33" s="61">
        <v>1</v>
      </c>
      <c r="D33" s="118" t="b">
        <v>1</v>
      </c>
      <c r="E33" s="61"/>
      <c r="F33" s="66" t="s">
        <v>807</v>
      </c>
      <c r="G33" s="66" t="s">
        <v>827</v>
      </c>
      <c r="H33" s="2" t="s">
        <v>499</v>
      </c>
      <c r="I33" s="39">
        <f t="shared" si="27"/>
        <v>60</v>
      </c>
      <c r="J33" s="40">
        <f t="shared" si="28"/>
        <v>85</v>
      </c>
      <c r="K33" s="41">
        <f t="shared" si="29"/>
        <v>69</v>
      </c>
      <c r="L33" s="42">
        <f t="shared" si="30"/>
        <v>65</v>
      </c>
      <c r="M33" s="43">
        <f t="shared" si="31"/>
        <v>79</v>
      </c>
      <c r="N33" s="44">
        <f t="shared" si="32"/>
        <v>80</v>
      </c>
      <c r="O33" s="45">
        <f t="shared" si="33"/>
        <v>438</v>
      </c>
      <c r="P33" s="19">
        <f t="shared" si="34"/>
        <v>73</v>
      </c>
      <c r="Q33" s="177">
        <v>60</v>
      </c>
      <c r="R33" s="40">
        <v>95</v>
      </c>
      <c r="S33" s="41">
        <v>69</v>
      </c>
      <c r="T33" s="42">
        <v>65</v>
      </c>
      <c r="U33" s="43">
        <v>79</v>
      </c>
      <c r="V33" s="44">
        <v>80</v>
      </c>
      <c r="W33" s="45">
        <f t="shared" si="25"/>
        <v>448</v>
      </c>
      <c r="X33" s="19">
        <f t="shared" si="26"/>
        <v>74.67</v>
      </c>
      <c r="Y33" s="3">
        <v>60</v>
      </c>
      <c r="Z33" s="4">
        <v>85</v>
      </c>
      <c r="AA33" s="5">
        <v>69</v>
      </c>
      <c r="AB33" s="6">
        <v>65</v>
      </c>
      <c r="AC33" s="7">
        <v>79</v>
      </c>
      <c r="AD33" s="8">
        <v>80</v>
      </c>
      <c r="AE33" s="1">
        <v>438</v>
      </c>
      <c r="AF33" s="19">
        <v>73</v>
      </c>
      <c r="AG33" s="139">
        <v>60</v>
      </c>
      <c r="AH33" s="140">
        <v>85</v>
      </c>
      <c r="AI33" s="141">
        <v>69</v>
      </c>
      <c r="AJ33" s="142">
        <v>65</v>
      </c>
      <c r="AK33" s="143">
        <v>79</v>
      </c>
      <c r="AL33" s="144">
        <v>80</v>
      </c>
      <c r="AM33" s="138">
        <v>438</v>
      </c>
      <c r="AN33" s="153">
        <v>73</v>
      </c>
      <c r="AO33" s="139">
        <v>60</v>
      </c>
      <c r="AP33" s="140">
        <v>85</v>
      </c>
      <c r="AQ33" s="141">
        <v>69</v>
      </c>
      <c r="AR33" s="162">
        <v>65</v>
      </c>
      <c r="AS33" s="162">
        <v>65</v>
      </c>
      <c r="AT33" s="144">
        <v>80</v>
      </c>
      <c r="AU33" s="138">
        <f t="shared" si="15"/>
        <v>424</v>
      </c>
      <c r="AV33" s="153">
        <f t="shared" si="16"/>
        <v>70.666666666666671</v>
      </c>
      <c r="AW33" s="45"/>
      <c r="AX33" s="174" t="b">
        <f>IF('Refined Compare'!$D$2="All",TRUE,IF(F33='Refined Compare'!$D$2,TRUE,IF(G33='Refined Compare'!$D$2,TRUE,FALSE)))</f>
        <v>0</v>
      </c>
      <c r="AY33" s="174" t="b">
        <f>IF('Refined Compare'!$D$3="All",TRUE,IF(F33='Refined Compare'!$D$3,TRUE,IF(G33='Refined Compare'!$D$3,TRUE,FALSE)))</f>
        <v>1</v>
      </c>
      <c r="AZ33" s="174" t="b">
        <f t="shared" si="1"/>
        <v>1</v>
      </c>
    </row>
    <row r="34" spans="1:52" x14ac:dyDescent="0.35">
      <c r="A34">
        <f t="shared" si="4"/>
        <v>33</v>
      </c>
      <c r="B34" s="18">
        <v>25</v>
      </c>
      <c r="C34" s="61">
        <v>1</v>
      </c>
      <c r="D34" s="61" t="b">
        <v>0</v>
      </c>
      <c r="E34" s="61"/>
      <c r="F34" s="66" t="s">
        <v>813</v>
      </c>
      <c r="G34" s="66" t="s">
        <v>827</v>
      </c>
      <c r="H34" s="2" t="s">
        <v>574</v>
      </c>
      <c r="I34" s="39">
        <f t="shared" si="27"/>
        <v>35</v>
      </c>
      <c r="J34" s="40">
        <f t="shared" si="28"/>
        <v>55</v>
      </c>
      <c r="K34" s="41">
        <f t="shared" si="29"/>
        <v>30</v>
      </c>
      <c r="L34" s="42">
        <f t="shared" si="30"/>
        <v>50</v>
      </c>
      <c r="M34" s="43">
        <f t="shared" si="31"/>
        <v>40</v>
      </c>
      <c r="N34" s="44">
        <f t="shared" si="32"/>
        <v>90</v>
      </c>
      <c r="O34" s="45">
        <f t="shared" si="33"/>
        <v>300</v>
      </c>
      <c r="P34" s="19">
        <f t="shared" si="34"/>
        <v>50</v>
      </c>
      <c r="Q34" s="177">
        <v>35</v>
      </c>
      <c r="R34" s="40">
        <v>55</v>
      </c>
      <c r="S34" s="41">
        <v>40</v>
      </c>
      <c r="T34" s="42">
        <v>50</v>
      </c>
      <c r="U34" s="43">
        <v>50</v>
      </c>
      <c r="V34" s="44">
        <v>90</v>
      </c>
      <c r="W34" s="45">
        <f t="shared" si="25"/>
        <v>320</v>
      </c>
      <c r="X34" s="19">
        <f t="shared" si="26"/>
        <v>53.33</v>
      </c>
      <c r="Y34" s="3">
        <v>35</v>
      </c>
      <c r="Z34" s="4">
        <v>55</v>
      </c>
      <c r="AA34" s="5">
        <v>40</v>
      </c>
      <c r="AB34" s="6">
        <v>50</v>
      </c>
      <c r="AC34" s="7">
        <v>50</v>
      </c>
      <c r="AD34" s="8">
        <v>90</v>
      </c>
      <c r="AE34" s="1">
        <v>320</v>
      </c>
      <c r="AF34" s="19">
        <v>53.33</v>
      </c>
      <c r="AG34" s="139">
        <v>35</v>
      </c>
      <c r="AH34" s="140">
        <v>55</v>
      </c>
      <c r="AI34" s="141">
        <v>30</v>
      </c>
      <c r="AJ34" s="142">
        <v>50</v>
      </c>
      <c r="AK34" s="143">
        <v>40</v>
      </c>
      <c r="AL34" s="144">
        <v>90</v>
      </c>
      <c r="AM34" s="138">
        <v>300</v>
      </c>
      <c r="AN34" s="153">
        <v>50</v>
      </c>
      <c r="AO34" s="139">
        <v>35</v>
      </c>
      <c r="AP34" s="140">
        <v>55</v>
      </c>
      <c r="AQ34" s="141">
        <v>30</v>
      </c>
      <c r="AR34" s="162">
        <v>50</v>
      </c>
      <c r="AS34" s="162">
        <v>50</v>
      </c>
      <c r="AT34" s="144">
        <v>90</v>
      </c>
      <c r="AU34" s="138">
        <f t="shared" si="15"/>
        <v>310</v>
      </c>
      <c r="AV34" s="153">
        <f t="shared" si="16"/>
        <v>51.666666666666664</v>
      </c>
      <c r="AW34" s="45"/>
      <c r="AX34" s="174" t="b">
        <f>IF('Refined Compare'!$D$2="All",TRUE,IF(F34='Refined Compare'!$D$2,TRUE,IF(G34='Refined Compare'!$D$2,TRUE,FALSE)))</f>
        <v>0</v>
      </c>
      <c r="AY34" s="174" t="b">
        <f>IF('Refined Compare'!$D$3="All",TRUE,IF(F34='Refined Compare'!$D$3,TRUE,IF(G34='Refined Compare'!$D$3,TRUE,FALSE)))</f>
        <v>1</v>
      </c>
      <c r="AZ34" s="174" t="b">
        <f t="shared" si="1"/>
        <v>1</v>
      </c>
    </row>
    <row r="35" spans="1:52" x14ac:dyDescent="0.35">
      <c r="A35">
        <f t="shared" si="4"/>
        <v>34</v>
      </c>
      <c r="B35" s="18">
        <v>26</v>
      </c>
      <c r="C35" s="61">
        <v>1</v>
      </c>
      <c r="D35" s="118" t="b">
        <v>1</v>
      </c>
      <c r="E35" s="61"/>
      <c r="F35" s="66" t="s">
        <v>813</v>
      </c>
      <c r="G35" s="66" t="s">
        <v>827</v>
      </c>
      <c r="H35" s="2" t="s">
        <v>715</v>
      </c>
      <c r="I35" s="39">
        <f t="shared" si="27"/>
        <v>60</v>
      </c>
      <c r="J35" s="40">
        <f t="shared" si="28"/>
        <v>90</v>
      </c>
      <c r="K35" s="41">
        <f t="shared" si="29"/>
        <v>55</v>
      </c>
      <c r="L35" s="42">
        <f t="shared" si="30"/>
        <v>90</v>
      </c>
      <c r="M35" s="43">
        <f t="shared" si="31"/>
        <v>80</v>
      </c>
      <c r="N35" s="44">
        <f t="shared" si="32"/>
        <v>100</v>
      </c>
      <c r="O35" s="45">
        <f t="shared" si="33"/>
        <v>475</v>
      </c>
      <c r="P35" s="19">
        <f t="shared" si="34"/>
        <v>79.17</v>
      </c>
      <c r="Q35" s="177">
        <v>60</v>
      </c>
      <c r="R35" s="40">
        <v>90</v>
      </c>
      <c r="S35" s="41">
        <v>55</v>
      </c>
      <c r="T35" s="42">
        <v>90</v>
      </c>
      <c r="U35" s="43">
        <v>80</v>
      </c>
      <c r="V35" s="44">
        <v>110</v>
      </c>
      <c r="W35" s="45">
        <f t="shared" si="25"/>
        <v>485</v>
      </c>
      <c r="X35" s="19">
        <f t="shared" si="26"/>
        <v>80.83</v>
      </c>
      <c r="Y35" s="3">
        <v>60</v>
      </c>
      <c r="Z35" s="4">
        <v>90</v>
      </c>
      <c r="AA35" s="5">
        <v>55</v>
      </c>
      <c r="AB35" s="6">
        <v>90</v>
      </c>
      <c r="AC35" s="7">
        <v>80</v>
      </c>
      <c r="AD35" s="8">
        <v>110</v>
      </c>
      <c r="AE35" s="1">
        <v>485</v>
      </c>
      <c r="AF35" s="19">
        <v>80.83</v>
      </c>
      <c r="AG35" s="139">
        <v>60</v>
      </c>
      <c r="AH35" s="140">
        <v>90</v>
      </c>
      <c r="AI35" s="141">
        <v>55</v>
      </c>
      <c r="AJ35" s="142">
        <v>90</v>
      </c>
      <c r="AK35" s="143">
        <v>80</v>
      </c>
      <c r="AL35" s="144">
        <v>100</v>
      </c>
      <c r="AM35" s="138">
        <v>475</v>
      </c>
      <c r="AN35" s="153">
        <v>79.17</v>
      </c>
      <c r="AO35" s="139">
        <v>60</v>
      </c>
      <c r="AP35" s="140">
        <v>90</v>
      </c>
      <c r="AQ35" s="141">
        <v>55</v>
      </c>
      <c r="AR35" s="162">
        <v>90</v>
      </c>
      <c r="AS35" s="162">
        <v>90</v>
      </c>
      <c r="AT35" s="144">
        <v>100</v>
      </c>
      <c r="AU35" s="138">
        <f t="shared" si="15"/>
        <v>485</v>
      </c>
      <c r="AV35" s="153">
        <f t="shared" si="16"/>
        <v>80.833333333333329</v>
      </c>
      <c r="AW35" s="45"/>
      <c r="AX35" s="174" t="b">
        <f>IF('Refined Compare'!$D$2="All",TRUE,IF(F35='Refined Compare'!$D$2,TRUE,IF(G35='Refined Compare'!$D$2,TRUE,FALSE)))</f>
        <v>0</v>
      </c>
      <c r="AY35" s="174" t="b">
        <f>IF('Refined Compare'!$D$3="All",TRUE,IF(F35='Refined Compare'!$D$3,TRUE,IF(G35='Refined Compare'!$D$3,TRUE,FALSE)))</f>
        <v>1</v>
      </c>
      <c r="AZ35" s="174" t="b">
        <f t="shared" si="1"/>
        <v>1</v>
      </c>
    </row>
    <row r="36" spans="1:52" x14ac:dyDescent="0.35">
      <c r="A36">
        <f t="shared" si="4"/>
        <v>35</v>
      </c>
      <c r="B36" s="18">
        <v>26</v>
      </c>
      <c r="C36" s="61">
        <v>7</v>
      </c>
      <c r="D36" s="118" t="b">
        <v>1</v>
      </c>
      <c r="E36" s="61"/>
      <c r="F36" s="66" t="s">
        <v>813</v>
      </c>
      <c r="G36" s="66" t="s">
        <v>817</v>
      </c>
      <c r="H36" s="2" t="s">
        <v>963</v>
      </c>
      <c r="I36" s="39">
        <f t="shared" si="27"/>
        <v>0</v>
      </c>
      <c r="J36" s="40">
        <f t="shared" si="28"/>
        <v>0</v>
      </c>
      <c r="K36" s="41">
        <f t="shared" si="29"/>
        <v>0</v>
      </c>
      <c r="L36" s="42">
        <f t="shared" si="30"/>
        <v>0</v>
      </c>
      <c r="M36" s="43">
        <f t="shared" si="31"/>
        <v>0</v>
      </c>
      <c r="N36" s="44">
        <f t="shared" si="32"/>
        <v>0</v>
      </c>
      <c r="O36" s="45">
        <f t="shared" si="33"/>
        <v>0</v>
      </c>
      <c r="P36" s="19">
        <f t="shared" si="34"/>
        <v>0</v>
      </c>
      <c r="Q36" s="177">
        <v>60</v>
      </c>
      <c r="R36" s="40">
        <v>85</v>
      </c>
      <c r="S36" s="41">
        <v>50</v>
      </c>
      <c r="T36" s="42">
        <v>95</v>
      </c>
      <c r="U36" s="43">
        <v>85</v>
      </c>
      <c r="V36" s="44">
        <v>110</v>
      </c>
      <c r="W36" s="45">
        <f t="shared" si="25"/>
        <v>485</v>
      </c>
      <c r="X36" s="19">
        <f t="shared" si="26"/>
        <v>80.83</v>
      </c>
      <c r="Y36" s="3"/>
      <c r="Z36" s="4"/>
      <c r="AA36" s="5"/>
      <c r="AB36" s="6"/>
      <c r="AC36" s="7"/>
      <c r="AD36" s="8"/>
      <c r="AE36" s="1"/>
      <c r="AF36" s="19"/>
      <c r="AG36" s="139"/>
      <c r="AH36" s="140"/>
      <c r="AI36" s="141"/>
      <c r="AJ36" s="142"/>
      <c r="AK36" s="143"/>
      <c r="AL36" s="144"/>
      <c r="AM36" s="138"/>
      <c r="AN36" s="153"/>
      <c r="AO36" s="139"/>
      <c r="AP36" s="140"/>
      <c r="AQ36" s="141"/>
      <c r="AR36" s="162"/>
      <c r="AS36" s="162"/>
      <c r="AT36" s="144"/>
      <c r="AU36" s="138"/>
      <c r="AV36" s="153"/>
      <c r="AW36" s="45"/>
      <c r="AX36" s="174" t="b">
        <f>IF('Refined Compare'!$D$2="All",TRUE,IF(F36='Refined Compare'!$D$2,TRUE,IF(G36='Refined Compare'!$D$2,TRUE,FALSE)))</f>
        <v>0</v>
      </c>
      <c r="AY36" s="174" t="b">
        <f>IF('Refined Compare'!$D$3="All",TRUE,IF(F36='Refined Compare'!$D$3,TRUE,IF(G36='Refined Compare'!$D$3,TRUE,FALSE)))</f>
        <v>0</v>
      </c>
      <c r="AZ36" s="174" t="b">
        <f t="shared" si="1"/>
        <v>0</v>
      </c>
    </row>
    <row r="37" spans="1:52" x14ac:dyDescent="0.35">
      <c r="A37">
        <f t="shared" si="4"/>
        <v>36</v>
      </c>
      <c r="B37" s="18">
        <v>27</v>
      </c>
      <c r="C37" s="61">
        <v>1</v>
      </c>
      <c r="D37" s="61" t="b">
        <v>0</v>
      </c>
      <c r="E37" s="61"/>
      <c r="F37" s="66" t="s">
        <v>814</v>
      </c>
      <c r="G37" s="66" t="s">
        <v>827</v>
      </c>
      <c r="H37" s="2" t="s">
        <v>123</v>
      </c>
      <c r="I37" s="39">
        <f t="shared" si="27"/>
        <v>50</v>
      </c>
      <c r="J37" s="40">
        <f t="shared" si="28"/>
        <v>75</v>
      </c>
      <c r="K37" s="41">
        <f t="shared" si="29"/>
        <v>85</v>
      </c>
      <c r="L37" s="42">
        <f t="shared" si="30"/>
        <v>20</v>
      </c>
      <c r="M37" s="43">
        <f t="shared" si="31"/>
        <v>30</v>
      </c>
      <c r="N37" s="44">
        <f t="shared" si="32"/>
        <v>40</v>
      </c>
      <c r="O37" s="45">
        <f t="shared" si="33"/>
        <v>300</v>
      </c>
      <c r="P37" s="19">
        <f t="shared" si="34"/>
        <v>50</v>
      </c>
      <c r="Q37" s="177">
        <v>50</v>
      </c>
      <c r="R37" s="40">
        <v>75</v>
      </c>
      <c r="S37" s="41">
        <v>85</v>
      </c>
      <c r="T37" s="42">
        <v>20</v>
      </c>
      <c r="U37" s="43">
        <v>30</v>
      </c>
      <c r="V37" s="44">
        <v>40</v>
      </c>
      <c r="W37" s="45">
        <f t="shared" si="25"/>
        <v>300</v>
      </c>
      <c r="X37" s="19">
        <f t="shared" si="26"/>
        <v>50</v>
      </c>
      <c r="Y37" s="3">
        <v>50</v>
      </c>
      <c r="Z37" s="4">
        <v>75</v>
      </c>
      <c r="AA37" s="5">
        <v>85</v>
      </c>
      <c r="AB37" s="6">
        <v>20</v>
      </c>
      <c r="AC37" s="7">
        <v>30</v>
      </c>
      <c r="AD37" s="8">
        <v>40</v>
      </c>
      <c r="AE37" s="1">
        <v>300</v>
      </c>
      <c r="AF37" s="19">
        <v>50</v>
      </c>
      <c r="AG37" s="139">
        <v>50</v>
      </c>
      <c r="AH37" s="140">
        <v>75</v>
      </c>
      <c r="AI37" s="141">
        <v>85</v>
      </c>
      <c r="AJ37" s="142">
        <v>20</v>
      </c>
      <c r="AK37" s="143">
        <v>30</v>
      </c>
      <c r="AL37" s="144">
        <v>40</v>
      </c>
      <c r="AM37" s="138">
        <v>300</v>
      </c>
      <c r="AN37" s="153">
        <v>50</v>
      </c>
      <c r="AO37" s="139">
        <v>50</v>
      </c>
      <c r="AP37" s="140">
        <v>75</v>
      </c>
      <c r="AQ37" s="141">
        <v>85</v>
      </c>
      <c r="AR37" s="162">
        <v>30</v>
      </c>
      <c r="AS37" s="162">
        <v>30</v>
      </c>
      <c r="AT37" s="144">
        <v>40</v>
      </c>
      <c r="AU37" s="138">
        <f t="shared" si="15"/>
        <v>310</v>
      </c>
      <c r="AV37" s="153">
        <f t="shared" si="16"/>
        <v>51.666666666666664</v>
      </c>
      <c r="AW37" s="45"/>
      <c r="AX37" s="174" t="b">
        <f>IF('Refined Compare'!$D$2="All",TRUE,IF(F37='Refined Compare'!$D$2,TRUE,IF(G37='Refined Compare'!$D$2,TRUE,FALSE)))</f>
        <v>0</v>
      </c>
      <c r="AY37" s="174" t="b">
        <f>IF('Refined Compare'!$D$3="All",TRUE,IF(F37='Refined Compare'!$D$3,TRUE,IF(G37='Refined Compare'!$D$3,TRUE,FALSE)))</f>
        <v>1</v>
      </c>
      <c r="AZ37" s="174" t="b">
        <f t="shared" si="1"/>
        <v>1</v>
      </c>
    </row>
    <row r="38" spans="1:52" x14ac:dyDescent="0.35">
      <c r="A38">
        <f t="shared" si="4"/>
        <v>37</v>
      </c>
      <c r="B38" s="18">
        <v>27</v>
      </c>
      <c r="C38" s="61">
        <v>7</v>
      </c>
      <c r="D38" s="61"/>
      <c r="E38" s="61"/>
      <c r="F38" s="66" t="s">
        <v>820</v>
      </c>
      <c r="G38" s="66" t="s">
        <v>819</v>
      </c>
      <c r="H38" s="2" t="s">
        <v>964</v>
      </c>
      <c r="I38" s="39">
        <f t="shared" si="27"/>
        <v>0</v>
      </c>
      <c r="J38" s="40">
        <f t="shared" si="28"/>
        <v>0</v>
      </c>
      <c r="K38" s="41">
        <f t="shared" si="29"/>
        <v>0</v>
      </c>
      <c r="L38" s="42">
        <f t="shared" si="30"/>
        <v>0</v>
      </c>
      <c r="M38" s="43">
        <f t="shared" si="31"/>
        <v>0</v>
      </c>
      <c r="N38" s="44">
        <f t="shared" si="32"/>
        <v>0</v>
      </c>
      <c r="O38" s="45">
        <f t="shared" si="33"/>
        <v>0</v>
      </c>
      <c r="P38" s="19">
        <f t="shared" si="34"/>
        <v>0</v>
      </c>
      <c r="Q38" s="177">
        <v>50</v>
      </c>
      <c r="R38" s="40">
        <v>75</v>
      </c>
      <c r="S38" s="41">
        <v>90</v>
      </c>
      <c r="T38" s="42">
        <v>10</v>
      </c>
      <c r="U38" s="43">
        <v>35</v>
      </c>
      <c r="V38" s="44">
        <v>40</v>
      </c>
      <c r="W38" s="45">
        <f t="shared" si="25"/>
        <v>300</v>
      </c>
      <c r="X38" s="19">
        <f t="shared" si="26"/>
        <v>50</v>
      </c>
      <c r="Y38" s="3"/>
      <c r="Z38" s="4"/>
      <c r="AA38" s="5"/>
      <c r="AB38" s="6"/>
      <c r="AC38" s="7"/>
      <c r="AD38" s="8"/>
      <c r="AE38" s="1"/>
      <c r="AF38" s="19"/>
      <c r="AG38" s="139"/>
      <c r="AH38" s="140"/>
      <c r="AI38" s="141"/>
      <c r="AJ38" s="142"/>
      <c r="AK38" s="143"/>
      <c r="AL38" s="144"/>
      <c r="AM38" s="138"/>
      <c r="AN38" s="153"/>
      <c r="AO38" s="139"/>
      <c r="AP38" s="140"/>
      <c r="AQ38" s="141"/>
      <c r="AR38" s="162"/>
      <c r="AS38" s="162"/>
      <c r="AT38" s="144"/>
      <c r="AU38" s="138"/>
      <c r="AV38" s="153"/>
      <c r="AW38" s="45"/>
      <c r="AX38" s="174" t="b">
        <f>IF('Refined Compare'!$D$2="All",TRUE,IF(F38='Refined Compare'!$D$2,TRUE,IF(G38='Refined Compare'!$D$2,TRUE,FALSE)))</f>
        <v>0</v>
      </c>
      <c r="AY38" s="174" t="b">
        <f>IF('Refined Compare'!$D$3="All",TRUE,IF(F38='Refined Compare'!$D$3,TRUE,IF(G38='Refined Compare'!$D$3,TRUE,FALSE)))</f>
        <v>0</v>
      </c>
      <c r="AZ38" s="174" t="b">
        <f t="shared" si="1"/>
        <v>0</v>
      </c>
    </row>
    <row r="39" spans="1:52" x14ac:dyDescent="0.35">
      <c r="A39">
        <f t="shared" si="4"/>
        <v>38</v>
      </c>
      <c r="B39" s="18">
        <v>28</v>
      </c>
      <c r="C39" s="61">
        <v>1</v>
      </c>
      <c r="D39" s="118" t="b">
        <v>1</v>
      </c>
      <c r="E39" s="61"/>
      <c r="F39" s="66" t="s">
        <v>814</v>
      </c>
      <c r="G39" s="66" t="s">
        <v>827</v>
      </c>
      <c r="H39" s="2" t="s">
        <v>367</v>
      </c>
      <c r="I39" s="39">
        <f t="shared" si="27"/>
        <v>75</v>
      </c>
      <c r="J39" s="40">
        <f t="shared" si="28"/>
        <v>100</v>
      </c>
      <c r="K39" s="41">
        <f t="shared" si="29"/>
        <v>110</v>
      </c>
      <c r="L39" s="42">
        <f t="shared" si="30"/>
        <v>45</v>
      </c>
      <c r="M39" s="43">
        <f t="shared" si="31"/>
        <v>55</v>
      </c>
      <c r="N39" s="44">
        <f t="shared" si="32"/>
        <v>65</v>
      </c>
      <c r="O39" s="45">
        <f t="shared" si="33"/>
        <v>450</v>
      </c>
      <c r="P39" s="19">
        <f t="shared" si="34"/>
        <v>75</v>
      </c>
      <c r="Q39" s="177">
        <v>75</v>
      </c>
      <c r="R39" s="40">
        <v>100</v>
      </c>
      <c r="S39" s="41">
        <v>110</v>
      </c>
      <c r="T39" s="42">
        <v>45</v>
      </c>
      <c r="U39" s="43">
        <v>55</v>
      </c>
      <c r="V39" s="44">
        <v>65</v>
      </c>
      <c r="W39" s="45">
        <f t="shared" si="25"/>
        <v>450</v>
      </c>
      <c r="X39" s="19">
        <f t="shared" si="26"/>
        <v>75</v>
      </c>
      <c r="Y39" s="3">
        <v>75</v>
      </c>
      <c r="Z39" s="4">
        <v>100</v>
      </c>
      <c r="AA39" s="5">
        <v>110</v>
      </c>
      <c r="AB39" s="6">
        <v>45</v>
      </c>
      <c r="AC39" s="7">
        <v>55</v>
      </c>
      <c r="AD39" s="8">
        <v>65</v>
      </c>
      <c r="AE39" s="1">
        <v>450</v>
      </c>
      <c r="AF39" s="19">
        <v>75</v>
      </c>
      <c r="AG39" s="139">
        <v>75</v>
      </c>
      <c r="AH39" s="140">
        <v>100</v>
      </c>
      <c r="AI39" s="141">
        <v>110</v>
      </c>
      <c r="AJ39" s="142">
        <v>45</v>
      </c>
      <c r="AK39" s="143">
        <v>55</v>
      </c>
      <c r="AL39" s="144">
        <v>65</v>
      </c>
      <c r="AM39" s="138">
        <v>450</v>
      </c>
      <c r="AN39" s="153">
        <v>75</v>
      </c>
      <c r="AO39" s="139">
        <v>75</v>
      </c>
      <c r="AP39" s="140">
        <v>100</v>
      </c>
      <c r="AQ39" s="141">
        <v>110</v>
      </c>
      <c r="AR39" s="162">
        <v>55</v>
      </c>
      <c r="AS39" s="162">
        <v>55</v>
      </c>
      <c r="AT39" s="144">
        <v>65</v>
      </c>
      <c r="AU39" s="138">
        <f t="shared" si="15"/>
        <v>460</v>
      </c>
      <c r="AV39" s="153">
        <f t="shared" si="16"/>
        <v>76.666666666666671</v>
      </c>
      <c r="AW39" s="45"/>
      <c r="AX39" s="174" t="b">
        <f>IF('Refined Compare'!$D$2="All",TRUE,IF(F39='Refined Compare'!$D$2,TRUE,IF(G39='Refined Compare'!$D$2,TRUE,FALSE)))</f>
        <v>0</v>
      </c>
      <c r="AY39" s="174" t="b">
        <f>IF('Refined Compare'!$D$3="All",TRUE,IF(F39='Refined Compare'!$D$3,TRUE,IF(G39='Refined Compare'!$D$3,TRUE,FALSE)))</f>
        <v>1</v>
      </c>
      <c r="AZ39" s="174" t="b">
        <f t="shared" si="1"/>
        <v>1</v>
      </c>
    </row>
    <row r="40" spans="1:52" x14ac:dyDescent="0.35">
      <c r="A40">
        <f t="shared" si="4"/>
        <v>39</v>
      </c>
      <c r="B40" s="18">
        <v>28</v>
      </c>
      <c r="C40" s="61">
        <v>7</v>
      </c>
      <c r="D40" s="118" t="b">
        <v>1</v>
      </c>
      <c r="E40" s="61"/>
      <c r="F40" s="66" t="s">
        <v>820</v>
      </c>
      <c r="G40" s="66" t="s">
        <v>819</v>
      </c>
      <c r="H40" s="2" t="s">
        <v>965</v>
      </c>
      <c r="I40" s="39">
        <f t="shared" si="27"/>
        <v>0</v>
      </c>
      <c r="J40" s="40">
        <f t="shared" si="28"/>
        <v>0</v>
      </c>
      <c r="K40" s="41">
        <f t="shared" si="29"/>
        <v>0</v>
      </c>
      <c r="L40" s="42">
        <f t="shared" si="30"/>
        <v>0</v>
      </c>
      <c r="M40" s="43">
        <f t="shared" si="31"/>
        <v>0</v>
      </c>
      <c r="N40" s="44">
        <f t="shared" si="32"/>
        <v>0</v>
      </c>
      <c r="O40" s="45">
        <f t="shared" si="33"/>
        <v>0</v>
      </c>
      <c r="P40" s="19">
        <f t="shared" si="34"/>
        <v>0</v>
      </c>
      <c r="Q40" s="177">
        <v>75</v>
      </c>
      <c r="R40" s="40">
        <v>100</v>
      </c>
      <c r="S40" s="41">
        <v>120</v>
      </c>
      <c r="T40" s="42">
        <v>25</v>
      </c>
      <c r="U40" s="43">
        <v>65</v>
      </c>
      <c r="V40" s="44">
        <v>65</v>
      </c>
      <c r="W40" s="45">
        <f t="shared" si="25"/>
        <v>450</v>
      </c>
      <c r="X40" s="19">
        <f t="shared" si="26"/>
        <v>75</v>
      </c>
      <c r="Y40" s="3"/>
      <c r="Z40" s="4"/>
      <c r="AA40" s="5"/>
      <c r="AB40" s="6"/>
      <c r="AC40" s="7"/>
      <c r="AD40" s="8"/>
      <c r="AE40" s="1"/>
      <c r="AF40" s="19"/>
      <c r="AG40" s="139"/>
      <c r="AH40" s="140"/>
      <c r="AI40" s="141"/>
      <c r="AJ40" s="142"/>
      <c r="AK40" s="143"/>
      <c r="AL40" s="144"/>
      <c r="AM40" s="138"/>
      <c r="AN40" s="153"/>
      <c r="AO40" s="139"/>
      <c r="AP40" s="140"/>
      <c r="AQ40" s="141"/>
      <c r="AR40" s="162"/>
      <c r="AS40" s="162"/>
      <c r="AT40" s="144"/>
      <c r="AU40" s="138"/>
      <c r="AV40" s="153"/>
      <c r="AW40" s="45"/>
      <c r="AX40" s="174" t="b">
        <f>IF('Refined Compare'!$D$2="All",TRUE,IF(F40='Refined Compare'!$D$2,TRUE,IF(G40='Refined Compare'!$D$2,TRUE,FALSE)))</f>
        <v>0</v>
      </c>
      <c r="AY40" s="174" t="b">
        <f>IF('Refined Compare'!$D$3="All",TRUE,IF(F40='Refined Compare'!$D$3,TRUE,IF(G40='Refined Compare'!$D$3,TRUE,FALSE)))</f>
        <v>0</v>
      </c>
      <c r="AZ40" s="174" t="b">
        <f t="shared" si="1"/>
        <v>0</v>
      </c>
    </row>
    <row r="41" spans="1:52" x14ac:dyDescent="0.35">
      <c r="A41">
        <f t="shared" si="4"/>
        <v>40</v>
      </c>
      <c r="B41" s="18">
        <v>29</v>
      </c>
      <c r="C41" s="61">
        <v>1</v>
      </c>
      <c r="D41" s="61" t="b">
        <v>0</v>
      </c>
      <c r="E41" s="61"/>
      <c r="F41" s="66" t="s">
        <v>807</v>
      </c>
      <c r="G41" s="66" t="s">
        <v>827</v>
      </c>
      <c r="H41" s="2" t="s">
        <v>155</v>
      </c>
      <c r="I41" s="39">
        <f t="shared" si="27"/>
        <v>55</v>
      </c>
      <c r="J41" s="40">
        <f t="shared" si="28"/>
        <v>47</v>
      </c>
      <c r="K41" s="41">
        <f t="shared" si="29"/>
        <v>52</v>
      </c>
      <c r="L41" s="42">
        <f t="shared" si="30"/>
        <v>40</v>
      </c>
      <c r="M41" s="43">
        <f t="shared" si="31"/>
        <v>40</v>
      </c>
      <c r="N41" s="44">
        <f t="shared" si="32"/>
        <v>41</v>
      </c>
      <c r="O41" s="45">
        <f t="shared" si="33"/>
        <v>275</v>
      </c>
      <c r="P41" s="19">
        <f t="shared" si="34"/>
        <v>45.83</v>
      </c>
      <c r="Q41" s="177">
        <v>55</v>
      </c>
      <c r="R41" s="40">
        <v>47</v>
      </c>
      <c r="S41" s="41">
        <v>52</v>
      </c>
      <c r="T41" s="42">
        <v>40</v>
      </c>
      <c r="U41" s="43">
        <v>40</v>
      </c>
      <c r="V41" s="44">
        <v>41</v>
      </c>
      <c r="W41" s="45">
        <f t="shared" si="25"/>
        <v>275</v>
      </c>
      <c r="X41" s="19">
        <f t="shared" si="26"/>
        <v>45.83</v>
      </c>
      <c r="Y41" s="3">
        <v>55</v>
      </c>
      <c r="Z41" s="4">
        <v>47</v>
      </c>
      <c r="AA41" s="5">
        <v>52</v>
      </c>
      <c r="AB41" s="6">
        <v>40</v>
      </c>
      <c r="AC41" s="7">
        <v>40</v>
      </c>
      <c r="AD41" s="8">
        <v>41</v>
      </c>
      <c r="AE41" s="1">
        <v>275</v>
      </c>
      <c r="AF41" s="19">
        <v>45.83</v>
      </c>
      <c r="AG41" s="139">
        <v>55</v>
      </c>
      <c r="AH41" s="140">
        <v>47</v>
      </c>
      <c r="AI41" s="141">
        <v>52</v>
      </c>
      <c r="AJ41" s="142">
        <v>40</v>
      </c>
      <c r="AK41" s="143">
        <v>40</v>
      </c>
      <c r="AL41" s="144">
        <v>41</v>
      </c>
      <c r="AM41" s="138">
        <v>275</v>
      </c>
      <c r="AN41" s="153">
        <v>45.83</v>
      </c>
      <c r="AO41" s="139">
        <v>55</v>
      </c>
      <c r="AP41" s="140">
        <v>47</v>
      </c>
      <c r="AQ41" s="141">
        <v>52</v>
      </c>
      <c r="AR41" s="162">
        <v>40</v>
      </c>
      <c r="AS41" s="162">
        <v>40</v>
      </c>
      <c r="AT41" s="144">
        <v>41</v>
      </c>
      <c r="AU41" s="138">
        <f t="shared" si="15"/>
        <v>275</v>
      </c>
      <c r="AV41" s="153">
        <f t="shared" si="16"/>
        <v>45.833333333333336</v>
      </c>
      <c r="AW41" s="45"/>
      <c r="AX41" s="174" t="b">
        <f>IF('Refined Compare'!$D$2="All",TRUE,IF(F41='Refined Compare'!$D$2,TRUE,IF(G41='Refined Compare'!$D$2,TRUE,FALSE)))</f>
        <v>0</v>
      </c>
      <c r="AY41" s="174" t="b">
        <f>IF('Refined Compare'!$D$3="All",TRUE,IF(F41='Refined Compare'!$D$3,TRUE,IF(G41='Refined Compare'!$D$3,TRUE,FALSE)))</f>
        <v>1</v>
      </c>
      <c r="AZ41" s="174" t="b">
        <f t="shared" si="1"/>
        <v>1</v>
      </c>
    </row>
    <row r="42" spans="1:52" x14ac:dyDescent="0.35">
      <c r="A42">
        <f t="shared" si="4"/>
        <v>41</v>
      </c>
      <c r="B42" s="18">
        <v>30</v>
      </c>
      <c r="C42" s="61">
        <v>1</v>
      </c>
      <c r="D42" s="61" t="b">
        <v>0</v>
      </c>
      <c r="E42" s="61"/>
      <c r="F42" s="66" t="s">
        <v>807</v>
      </c>
      <c r="G42" s="66" t="s">
        <v>827</v>
      </c>
      <c r="H42" s="2" t="s">
        <v>295</v>
      </c>
      <c r="I42" s="39">
        <f t="shared" si="27"/>
        <v>70</v>
      </c>
      <c r="J42" s="40">
        <f t="shared" si="28"/>
        <v>62</v>
      </c>
      <c r="K42" s="41">
        <f t="shared" si="29"/>
        <v>67</v>
      </c>
      <c r="L42" s="42">
        <f t="shared" si="30"/>
        <v>55</v>
      </c>
      <c r="M42" s="43">
        <f t="shared" si="31"/>
        <v>55</v>
      </c>
      <c r="N42" s="44">
        <f t="shared" si="32"/>
        <v>56</v>
      </c>
      <c r="O42" s="45">
        <f t="shared" si="33"/>
        <v>365</v>
      </c>
      <c r="P42" s="19">
        <f t="shared" si="34"/>
        <v>60.83</v>
      </c>
      <c r="Q42" s="177">
        <v>70</v>
      </c>
      <c r="R42" s="40">
        <v>62</v>
      </c>
      <c r="S42" s="41">
        <v>67</v>
      </c>
      <c r="T42" s="42">
        <v>55</v>
      </c>
      <c r="U42" s="43">
        <v>55</v>
      </c>
      <c r="V42" s="44">
        <v>56</v>
      </c>
      <c r="W42" s="45">
        <f t="shared" si="25"/>
        <v>365</v>
      </c>
      <c r="X42" s="19">
        <f t="shared" si="26"/>
        <v>60.83</v>
      </c>
      <c r="Y42" s="3">
        <v>70</v>
      </c>
      <c r="Z42" s="4">
        <v>62</v>
      </c>
      <c r="AA42" s="5">
        <v>67</v>
      </c>
      <c r="AB42" s="6">
        <v>55</v>
      </c>
      <c r="AC42" s="7">
        <v>55</v>
      </c>
      <c r="AD42" s="8">
        <v>56</v>
      </c>
      <c r="AE42" s="1">
        <v>365</v>
      </c>
      <c r="AF42" s="19">
        <v>60.83</v>
      </c>
      <c r="AG42" s="139">
        <v>70</v>
      </c>
      <c r="AH42" s="140">
        <v>62</v>
      </c>
      <c r="AI42" s="141">
        <v>67</v>
      </c>
      <c r="AJ42" s="142">
        <v>55</v>
      </c>
      <c r="AK42" s="143">
        <v>55</v>
      </c>
      <c r="AL42" s="144">
        <v>56</v>
      </c>
      <c r="AM42" s="138">
        <v>365</v>
      </c>
      <c r="AN42" s="153">
        <v>60.83</v>
      </c>
      <c r="AO42" s="139">
        <v>70</v>
      </c>
      <c r="AP42" s="140">
        <v>62</v>
      </c>
      <c r="AQ42" s="141">
        <v>67</v>
      </c>
      <c r="AR42" s="162">
        <v>55</v>
      </c>
      <c r="AS42" s="162">
        <v>55</v>
      </c>
      <c r="AT42" s="144">
        <v>56</v>
      </c>
      <c r="AU42" s="138">
        <f t="shared" si="15"/>
        <v>365</v>
      </c>
      <c r="AV42" s="153">
        <f t="shared" si="16"/>
        <v>60.833333333333336</v>
      </c>
      <c r="AW42" s="45"/>
      <c r="AX42" s="174" t="b">
        <f>IF('Refined Compare'!$D$2="All",TRUE,IF(F42='Refined Compare'!$D$2,TRUE,IF(G42='Refined Compare'!$D$2,TRUE,FALSE)))</f>
        <v>0</v>
      </c>
      <c r="AY42" s="174" t="b">
        <f>IF('Refined Compare'!$D$3="All",TRUE,IF(F42='Refined Compare'!$D$3,TRUE,IF(G42='Refined Compare'!$D$3,TRUE,FALSE)))</f>
        <v>1</v>
      </c>
      <c r="AZ42" s="174" t="b">
        <f t="shared" si="1"/>
        <v>1</v>
      </c>
    </row>
    <row r="43" spans="1:52" x14ac:dyDescent="0.35">
      <c r="A43">
        <f t="shared" si="4"/>
        <v>42</v>
      </c>
      <c r="B43" s="18">
        <v>31</v>
      </c>
      <c r="C43" s="61">
        <v>1</v>
      </c>
      <c r="D43" s="118" t="b">
        <v>1</v>
      </c>
      <c r="E43" s="61"/>
      <c r="F43" s="66" t="s">
        <v>807</v>
      </c>
      <c r="G43" s="66" t="s">
        <v>814</v>
      </c>
      <c r="H43" s="2" t="s">
        <v>486</v>
      </c>
      <c r="I43" s="39">
        <f t="shared" si="27"/>
        <v>90</v>
      </c>
      <c r="J43" s="40">
        <f t="shared" si="28"/>
        <v>82</v>
      </c>
      <c r="K43" s="41">
        <f t="shared" si="29"/>
        <v>87</v>
      </c>
      <c r="L43" s="42">
        <f t="shared" si="30"/>
        <v>75</v>
      </c>
      <c r="M43" s="43">
        <f t="shared" si="31"/>
        <v>85</v>
      </c>
      <c r="N43" s="44">
        <f t="shared" si="32"/>
        <v>76</v>
      </c>
      <c r="O43" s="45">
        <f t="shared" si="33"/>
        <v>495</v>
      </c>
      <c r="P43" s="19">
        <f t="shared" si="34"/>
        <v>82.5</v>
      </c>
      <c r="Q43" s="177">
        <v>90</v>
      </c>
      <c r="R43" s="40">
        <v>92</v>
      </c>
      <c r="S43" s="41">
        <v>87</v>
      </c>
      <c r="T43" s="42">
        <v>75</v>
      </c>
      <c r="U43" s="43">
        <v>85</v>
      </c>
      <c r="V43" s="44">
        <v>76</v>
      </c>
      <c r="W43" s="45">
        <f t="shared" si="25"/>
        <v>505</v>
      </c>
      <c r="X43" s="19">
        <f t="shared" si="26"/>
        <v>84.17</v>
      </c>
      <c r="Y43" s="3">
        <v>90</v>
      </c>
      <c r="Z43" s="4">
        <v>92</v>
      </c>
      <c r="AA43" s="5">
        <v>87</v>
      </c>
      <c r="AB43" s="6">
        <v>75</v>
      </c>
      <c r="AC43" s="7">
        <v>85</v>
      </c>
      <c r="AD43" s="8">
        <v>76</v>
      </c>
      <c r="AE43" s="1">
        <v>505</v>
      </c>
      <c r="AF43" s="19">
        <v>84.17</v>
      </c>
      <c r="AG43" s="139">
        <v>90</v>
      </c>
      <c r="AH43" s="140">
        <v>82</v>
      </c>
      <c r="AI43" s="141">
        <v>87</v>
      </c>
      <c r="AJ43" s="142">
        <v>75</v>
      </c>
      <c r="AK43" s="143">
        <v>85</v>
      </c>
      <c r="AL43" s="144">
        <v>76</v>
      </c>
      <c r="AM43" s="138">
        <v>495</v>
      </c>
      <c r="AN43" s="153">
        <v>82.5</v>
      </c>
      <c r="AO43" s="139">
        <v>90</v>
      </c>
      <c r="AP43" s="140">
        <v>82</v>
      </c>
      <c r="AQ43" s="141">
        <v>87</v>
      </c>
      <c r="AR43" s="162">
        <v>75</v>
      </c>
      <c r="AS43" s="162">
        <v>75</v>
      </c>
      <c r="AT43" s="144">
        <v>76</v>
      </c>
      <c r="AU43" s="138">
        <f t="shared" si="15"/>
        <v>485</v>
      </c>
      <c r="AV43" s="153">
        <f t="shared" si="16"/>
        <v>80.833333333333329</v>
      </c>
      <c r="AW43" s="45"/>
      <c r="AX43" s="174" t="b">
        <f>IF('Refined Compare'!$D$2="All",TRUE,IF(F43='Refined Compare'!$D$2,TRUE,IF(G43='Refined Compare'!$D$2,TRUE,FALSE)))</f>
        <v>0</v>
      </c>
      <c r="AY43" s="174" t="b">
        <f>IF('Refined Compare'!$D$3="All",TRUE,IF(F43='Refined Compare'!$D$3,TRUE,IF(G43='Refined Compare'!$D$3,TRUE,FALSE)))</f>
        <v>0</v>
      </c>
      <c r="AZ43" s="174" t="b">
        <f t="shared" si="1"/>
        <v>1</v>
      </c>
    </row>
    <row r="44" spans="1:52" x14ac:dyDescent="0.35">
      <c r="A44">
        <f t="shared" si="4"/>
        <v>43</v>
      </c>
      <c r="B44" s="18">
        <v>32</v>
      </c>
      <c r="C44" s="61">
        <v>1</v>
      </c>
      <c r="D44" s="61" t="b">
        <v>0</v>
      </c>
      <c r="E44" s="61"/>
      <c r="F44" s="66" t="s">
        <v>807</v>
      </c>
      <c r="G44" s="66" t="s">
        <v>827</v>
      </c>
      <c r="H44" s="2" t="s">
        <v>212</v>
      </c>
      <c r="I44" s="39">
        <f t="shared" si="27"/>
        <v>46</v>
      </c>
      <c r="J44" s="40">
        <f t="shared" si="28"/>
        <v>57</v>
      </c>
      <c r="K44" s="41">
        <f t="shared" si="29"/>
        <v>40</v>
      </c>
      <c r="L44" s="42">
        <f t="shared" si="30"/>
        <v>40</v>
      </c>
      <c r="M44" s="43">
        <f t="shared" si="31"/>
        <v>40</v>
      </c>
      <c r="N44" s="44">
        <f t="shared" si="32"/>
        <v>50</v>
      </c>
      <c r="O44" s="45">
        <f t="shared" si="33"/>
        <v>273</v>
      </c>
      <c r="P44" s="19">
        <f t="shared" si="34"/>
        <v>45.5</v>
      </c>
      <c r="Q44" s="177">
        <v>46</v>
      </c>
      <c r="R44" s="40">
        <v>57</v>
      </c>
      <c r="S44" s="41">
        <v>40</v>
      </c>
      <c r="T44" s="42">
        <v>40</v>
      </c>
      <c r="U44" s="43">
        <v>40</v>
      </c>
      <c r="V44" s="44">
        <v>50</v>
      </c>
      <c r="W44" s="45">
        <f t="shared" si="25"/>
        <v>273</v>
      </c>
      <c r="X44" s="19">
        <f t="shared" si="26"/>
        <v>45.5</v>
      </c>
      <c r="Y44" s="3">
        <v>46</v>
      </c>
      <c r="Z44" s="4">
        <v>57</v>
      </c>
      <c r="AA44" s="5">
        <v>40</v>
      </c>
      <c r="AB44" s="6">
        <v>40</v>
      </c>
      <c r="AC44" s="7">
        <v>40</v>
      </c>
      <c r="AD44" s="8">
        <v>50</v>
      </c>
      <c r="AE44" s="1">
        <v>273</v>
      </c>
      <c r="AF44" s="19">
        <v>45.5</v>
      </c>
      <c r="AG44" s="139">
        <v>46</v>
      </c>
      <c r="AH44" s="140">
        <v>57</v>
      </c>
      <c r="AI44" s="141">
        <v>40</v>
      </c>
      <c r="AJ44" s="142">
        <v>40</v>
      </c>
      <c r="AK44" s="143">
        <v>40</v>
      </c>
      <c r="AL44" s="144">
        <v>50</v>
      </c>
      <c r="AM44" s="138">
        <v>273</v>
      </c>
      <c r="AN44" s="153">
        <v>45.5</v>
      </c>
      <c r="AO44" s="139">
        <v>46</v>
      </c>
      <c r="AP44" s="140">
        <v>57</v>
      </c>
      <c r="AQ44" s="141">
        <v>40</v>
      </c>
      <c r="AR44" s="162">
        <v>40</v>
      </c>
      <c r="AS44" s="162">
        <v>40</v>
      </c>
      <c r="AT44" s="144">
        <v>50</v>
      </c>
      <c r="AU44" s="138">
        <f t="shared" si="15"/>
        <v>273</v>
      </c>
      <c r="AV44" s="153">
        <f t="shared" si="16"/>
        <v>45.5</v>
      </c>
      <c r="AW44" s="45"/>
      <c r="AX44" s="174" t="b">
        <f>IF('Refined Compare'!$D$2="All",TRUE,IF(F44='Refined Compare'!$D$2,TRUE,IF(G44='Refined Compare'!$D$2,TRUE,FALSE)))</f>
        <v>0</v>
      </c>
      <c r="AY44" s="174" t="b">
        <f>IF('Refined Compare'!$D$3="All",TRUE,IF(F44='Refined Compare'!$D$3,TRUE,IF(G44='Refined Compare'!$D$3,TRUE,FALSE)))</f>
        <v>1</v>
      </c>
      <c r="AZ44" s="174" t="b">
        <f t="shared" si="1"/>
        <v>1</v>
      </c>
    </row>
    <row r="45" spans="1:52" x14ac:dyDescent="0.35">
      <c r="A45">
        <f t="shared" si="4"/>
        <v>44</v>
      </c>
      <c r="B45" s="18">
        <v>33</v>
      </c>
      <c r="C45" s="61">
        <v>1</v>
      </c>
      <c r="D45" s="61" t="b">
        <v>0</v>
      </c>
      <c r="E45" s="61"/>
      <c r="F45" s="66" t="s">
        <v>807</v>
      </c>
      <c r="G45" s="66" t="s">
        <v>827</v>
      </c>
      <c r="H45" s="2" t="s">
        <v>368</v>
      </c>
      <c r="I45" s="39">
        <f t="shared" si="27"/>
        <v>61</v>
      </c>
      <c r="J45" s="40">
        <f t="shared" si="28"/>
        <v>72</v>
      </c>
      <c r="K45" s="41">
        <f t="shared" si="29"/>
        <v>57</v>
      </c>
      <c r="L45" s="42">
        <f t="shared" si="30"/>
        <v>55</v>
      </c>
      <c r="M45" s="43">
        <f t="shared" si="31"/>
        <v>55</v>
      </c>
      <c r="N45" s="44">
        <f t="shared" si="32"/>
        <v>65</v>
      </c>
      <c r="O45" s="45">
        <f t="shared" si="33"/>
        <v>365</v>
      </c>
      <c r="P45" s="19">
        <f t="shared" si="34"/>
        <v>60.83</v>
      </c>
      <c r="Q45" s="177">
        <v>61</v>
      </c>
      <c r="R45" s="40">
        <v>72</v>
      </c>
      <c r="S45" s="41">
        <v>57</v>
      </c>
      <c r="T45" s="42">
        <v>55</v>
      </c>
      <c r="U45" s="43">
        <v>55</v>
      </c>
      <c r="V45" s="44">
        <v>65</v>
      </c>
      <c r="W45" s="45">
        <f t="shared" si="25"/>
        <v>365</v>
      </c>
      <c r="X45" s="19">
        <f t="shared" si="26"/>
        <v>60.83</v>
      </c>
      <c r="Y45" s="3">
        <v>61</v>
      </c>
      <c r="Z45" s="4">
        <v>72</v>
      </c>
      <c r="AA45" s="5">
        <v>57</v>
      </c>
      <c r="AB45" s="6">
        <v>55</v>
      </c>
      <c r="AC45" s="7">
        <v>55</v>
      </c>
      <c r="AD45" s="8">
        <v>65</v>
      </c>
      <c r="AE45" s="1">
        <v>365</v>
      </c>
      <c r="AF45" s="19">
        <v>60.83</v>
      </c>
      <c r="AG45" s="139">
        <v>61</v>
      </c>
      <c r="AH45" s="140">
        <v>72</v>
      </c>
      <c r="AI45" s="141">
        <v>57</v>
      </c>
      <c r="AJ45" s="142">
        <v>55</v>
      </c>
      <c r="AK45" s="143">
        <v>55</v>
      </c>
      <c r="AL45" s="144">
        <v>65</v>
      </c>
      <c r="AM45" s="138">
        <v>365</v>
      </c>
      <c r="AN45" s="153">
        <v>60.83</v>
      </c>
      <c r="AO45" s="139">
        <v>61</v>
      </c>
      <c r="AP45" s="140">
        <v>72</v>
      </c>
      <c r="AQ45" s="141">
        <v>57</v>
      </c>
      <c r="AR45" s="162">
        <v>55</v>
      </c>
      <c r="AS45" s="162">
        <v>55</v>
      </c>
      <c r="AT45" s="144">
        <v>65</v>
      </c>
      <c r="AU45" s="138">
        <f t="shared" si="15"/>
        <v>365</v>
      </c>
      <c r="AV45" s="153">
        <f t="shared" si="16"/>
        <v>60.833333333333336</v>
      </c>
      <c r="AW45" s="45"/>
      <c r="AX45" s="174" t="b">
        <f>IF('Refined Compare'!$D$2="All",TRUE,IF(F45='Refined Compare'!$D$2,TRUE,IF(G45='Refined Compare'!$D$2,TRUE,FALSE)))</f>
        <v>0</v>
      </c>
      <c r="AY45" s="174" t="b">
        <f>IF('Refined Compare'!$D$3="All",TRUE,IF(F45='Refined Compare'!$D$3,TRUE,IF(G45='Refined Compare'!$D$3,TRUE,FALSE)))</f>
        <v>1</v>
      </c>
      <c r="AZ45" s="174" t="b">
        <f t="shared" si="1"/>
        <v>1</v>
      </c>
    </row>
    <row r="46" spans="1:52" x14ac:dyDescent="0.35">
      <c r="A46">
        <f t="shared" si="4"/>
        <v>45</v>
      </c>
      <c r="B46" s="18">
        <v>34</v>
      </c>
      <c r="C46" s="61">
        <v>1</v>
      </c>
      <c r="D46" s="118" t="b">
        <v>1</v>
      </c>
      <c r="E46" s="61"/>
      <c r="F46" s="66" t="s">
        <v>807</v>
      </c>
      <c r="G46" s="66" t="s">
        <v>814</v>
      </c>
      <c r="H46" s="2" t="s">
        <v>539</v>
      </c>
      <c r="I46" s="39">
        <f t="shared" si="27"/>
        <v>81</v>
      </c>
      <c r="J46" s="40">
        <f t="shared" si="28"/>
        <v>92</v>
      </c>
      <c r="K46" s="41">
        <f t="shared" si="29"/>
        <v>77</v>
      </c>
      <c r="L46" s="42">
        <f t="shared" si="30"/>
        <v>85</v>
      </c>
      <c r="M46" s="43">
        <f t="shared" si="31"/>
        <v>75</v>
      </c>
      <c r="N46" s="44">
        <f t="shared" si="32"/>
        <v>85</v>
      </c>
      <c r="O46" s="45">
        <f t="shared" si="33"/>
        <v>495</v>
      </c>
      <c r="P46" s="19">
        <f t="shared" si="34"/>
        <v>82.5</v>
      </c>
      <c r="Q46" s="177">
        <v>81</v>
      </c>
      <c r="R46" s="40">
        <v>102</v>
      </c>
      <c r="S46" s="41">
        <v>77</v>
      </c>
      <c r="T46" s="42">
        <v>85</v>
      </c>
      <c r="U46" s="43">
        <v>75</v>
      </c>
      <c r="V46" s="44">
        <v>85</v>
      </c>
      <c r="W46" s="45">
        <f t="shared" si="25"/>
        <v>505</v>
      </c>
      <c r="X46" s="19">
        <f t="shared" si="26"/>
        <v>84.17</v>
      </c>
      <c r="Y46" s="3">
        <v>81</v>
      </c>
      <c r="Z46" s="4">
        <v>102</v>
      </c>
      <c r="AA46" s="5">
        <v>77</v>
      </c>
      <c r="AB46" s="6">
        <v>85</v>
      </c>
      <c r="AC46" s="7">
        <v>75</v>
      </c>
      <c r="AD46" s="8">
        <v>85</v>
      </c>
      <c r="AE46" s="1">
        <v>505</v>
      </c>
      <c r="AF46" s="19">
        <v>84.17</v>
      </c>
      <c r="AG46" s="139">
        <v>81</v>
      </c>
      <c r="AH46" s="140">
        <v>92</v>
      </c>
      <c r="AI46" s="141">
        <v>77</v>
      </c>
      <c r="AJ46" s="142">
        <v>85</v>
      </c>
      <c r="AK46" s="143">
        <v>75</v>
      </c>
      <c r="AL46" s="144">
        <v>85</v>
      </c>
      <c r="AM46" s="138">
        <v>495</v>
      </c>
      <c r="AN46" s="153">
        <v>82.5</v>
      </c>
      <c r="AO46" s="139">
        <v>81</v>
      </c>
      <c r="AP46" s="140">
        <v>92</v>
      </c>
      <c r="AQ46" s="141">
        <v>77</v>
      </c>
      <c r="AR46" s="162">
        <v>75</v>
      </c>
      <c r="AS46" s="162">
        <v>75</v>
      </c>
      <c r="AT46" s="144">
        <v>85</v>
      </c>
      <c r="AU46" s="138">
        <f t="shared" si="15"/>
        <v>485</v>
      </c>
      <c r="AV46" s="153">
        <f t="shared" si="16"/>
        <v>80.833333333333329</v>
      </c>
      <c r="AW46" s="45"/>
      <c r="AX46" s="174" t="b">
        <f>IF('Refined Compare'!$D$2="All",TRUE,IF(F46='Refined Compare'!$D$2,TRUE,IF(G46='Refined Compare'!$D$2,TRUE,FALSE)))</f>
        <v>0</v>
      </c>
      <c r="AY46" s="174" t="b">
        <f>IF('Refined Compare'!$D$3="All",TRUE,IF(F46='Refined Compare'!$D$3,TRUE,IF(G46='Refined Compare'!$D$3,TRUE,FALSE)))</f>
        <v>0</v>
      </c>
      <c r="AZ46" s="174" t="b">
        <f t="shared" si="1"/>
        <v>1</v>
      </c>
    </row>
    <row r="47" spans="1:52" x14ac:dyDescent="0.35">
      <c r="A47">
        <f t="shared" si="4"/>
        <v>46</v>
      </c>
      <c r="B47" s="18">
        <v>35</v>
      </c>
      <c r="C47" s="61">
        <v>1</v>
      </c>
      <c r="D47" s="61" t="b">
        <v>0</v>
      </c>
      <c r="E47" s="61"/>
      <c r="F47" s="66" t="str">
        <f>IF($AW$2&lt;6,"Normal","Fairy")</f>
        <v>Normal</v>
      </c>
      <c r="G47" s="66" t="s">
        <v>827</v>
      </c>
      <c r="H47" s="2" t="s">
        <v>96</v>
      </c>
      <c r="I47" s="39">
        <f t="shared" si="27"/>
        <v>70</v>
      </c>
      <c r="J47" s="40">
        <f t="shared" si="28"/>
        <v>45</v>
      </c>
      <c r="K47" s="41">
        <f t="shared" si="29"/>
        <v>48</v>
      </c>
      <c r="L47" s="42">
        <f t="shared" si="30"/>
        <v>60</v>
      </c>
      <c r="M47" s="43">
        <f t="shared" si="31"/>
        <v>65</v>
      </c>
      <c r="N47" s="44">
        <f t="shared" si="32"/>
        <v>35</v>
      </c>
      <c r="O47" s="45">
        <f t="shared" si="33"/>
        <v>323</v>
      </c>
      <c r="P47" s="19">
        <f t="shared" si="34"/>
        <v>53.83</v>
      </c>
      <c r="Q47" s="177">
        <v>70</v>
      </c>
      <c r="R47" s="40">
        <v>45</v>
      </c>
      <c r="S47" s="41">
        <v>48</v>
      </c>
      <c r="T47" s="42">
        <v>60</v>
      </c>
      <c r="U47" s="43">
        <v>65</v>
      </c>
      <c r="V47" s="44">
        <v>35</v>
      </c>
      <c r="W47" s="45">
        <f t="shared" si="25"/>
        <v>323</v>
      </c>
      <c r="X47" s="19">
        <f t="shared" si="26"/>
        <v>53.83</v>
      </c>
      <c r="Y47" s="3">
        <v>70</v>
      </c>
      <c r="Z47" s="4">
        <v>45</v>
      </c>
      <c r="AA47" s="5">
        <v>48</v>
      </c>
      <c r="AB47" s="6">
        <v>60</v>
      </c>
      <c r="AC47" s="7">
        <v>65</v>
      </c>
      <c r="AD47" s="8">
        <v>35</v>
      </c>
      <c r="AE47" s="1">
        <v>323</v>
      </c>
      <c r="AF47" s="19">
        <v>53.83</v>
      </c>
      <c r="AG47" s="139">
        <v>70</v>
      </c>
      <c r="AH47" s="140">
        <v>45</v>
      </c>
      <c r="AI47" s="141">
        <v>48</v>
      </c>
      <c r="AJ47" s="142">
        <v>60</v>
      </c>
      <c r="AK47" s="143">
        <v>65</v>
      </c>
      <c r="AL47" s="144">
        <v>35</v>
      </c>
      <c r="AM47" s="138">
        <v>323</v>
      </c>
      <c r="AN47" s="153">
        <v>53.83</v>
      </c>
      <c r="AO47" s="139">
        <v>70</v>
      </c>
      <c r="AP47" s="140">
        <v>45</v>
      </c>
      <c r="AQ47" s="141">
        <v>48</v>
      </c>
      <c r="AR47" s="162">
        <v>60</v>
      </c>
      <c r="AS47" s="162">
        <v>60</v>
      </c>
      <c r="AT47" s="144">
        <v>35</v>
      </c>
      <c r="AU47" s="138">
        <f t="shared" si="15"/>
        <v>318</v>
      </c>
      <c r="AV47" s="153">
        <f t="shared" si="16"/>
        <v>53</v>
      </c>
      <c r="AW47" s="45"/>
      <c r="AX47" s="174" t="b">
        <f>IF('Refined Compare'!$D$2="All",TRUE,IF(F47='Refined Compare'!$D$2,TRUE,IF(G47='Refined Compare'!$D$2,TRUE,FALSE)))</f>
        <v>0</v>
      </c>
      <c r="AY47" s="174" t="b">
        <f>IF('Refined Compare'!$D$3="All",TRUE,IF(F47='Refined Compare'!$D$3,TRUE,IF(G47='Refined Compare'!$D$3,TRUE,FALSE)))</f>
        <v>1</v>
      </c>
      <c r="AZ47" s="174" t="b">
        <f t="shared" si="1"/>
        <v>1</v>
      </c>
    </row>
    <row r="48" spans="1:52" x14ac:dyDescent="0.35">
      <c r="A48">
        <f t="shared" si="4"/>
        <v>47</v>
      </c>
      <c r="B48" s="18">
        <v>36</v>
      </c>
      <c r="C48" s="61">
        <v>1</v>
      </c>
      <c r="D48" s="118" t="b">
        <v>1</v>
      </c>
      <c r="E48" s="61"/>
      <c r="F48" s="66" t="str">
        <f>IF($AW$2&lt;6,"Normal","Fairy")</f>
        <v>Normal</v>
      </c>
      <c r="G48" s="66" t="s">
        <v>827</v>
      </c>
      <c r="H48" s="2" t="s">
        <v>313</v>
      </c>
      <c r="I48" s="39">
        <f t="shared" si="27"/>
        <v>95</v>
      </c>
      <c r="J48" s="40">
        <f t="shared" si="28"/>
        <v>70</v>
      </c>
      <c r="K48" s="41">
        <f t="shared" si="29"/>
        <v>73</v>
      </c>
      <c r="L48" s="42">
        <f t="shared" si="30"/>
        <v>85</v>
      </c>
      <c r="M48" s="43">
        <f t="shared" si="31"/>
        <v>90</v>
      </c>
      <c r="N48" s="44">
        <f t="shared" si="32"/>
        <v>60</v>
      </c>
      <c r="O48" s="45">
        <f t="shared" si="33"/>
        <v>473</v>
      </c>
      <c r="P48" s="19">
        <f t="shared" si="34"/>
        <v>78.83</v>
      </c>
      <c r="Q48" s="177">
        <v>95</v>
      </c>
      <c r="R48" s="40">
        <v>70</v>
      </c>
      <c r="S48" s="41">
        <v>73</v>
      </c>
      <c r="T48" s="42">
        <v>95</v>
      </c>
      <c r="U48" s="43">
        <v>90</v>
      </c>
      <c r="V48" s="44">
        <v>60</v>
      </c>
      <c r="W48" s="45">
        <f t="shared" si="25"/>
        <v>483</v>
      </c>
      <c r="X48" s="19">
        <f t="shared" si="26"/>
        <v>80.5</v>
      </c>
      <c r="Y48" s="3">
        <v>95</v>
      </c>
      <c r="Z48" s="4">
        <v>70</v>
      </c>
      <c r="AA48" s="5">
        <v>73</v>
      </c>
      <c r="AB48" s="6">
        <v>95</v>
      </c>
      <c r="AC48" s="7">
        <v>90</v>
      </c>
      <c r="AD48" s="8">
        <v>60</v>
      </c>
      <c r="AE48" s="1">
        <v>483</v>
      </c>
      <c r="AF48" s="19">
        <v>80.5</v>
      </c>
      <c r="AG48" s="139">
        <v>95</v>
      </c>
      <c r="AH48" s="140">
        <v>70</v>
      </c>
      <c r="AI48" s="141">
        <v>73</v>
      </c>
      <c r="AJ48" s="142">
        <v>85</v>
      </c>
      <c r="AK48" s="143">
        <v>90</v>
      </c>
      <c r="AL48" s="144">
        <v>60</v>
      </c>
      <c r="AM48" s="138">
        <v>473</v>
      </c>
      <c r="AN48" s="153">
        <v>78.83</v>
      </c>
      <c r="AO48" s="139">
        <v>95</v>
      </c>
      <c r="AP48" s="140">
        <v>70</v>
      </c>
      <c r="AQ48" s="141">
        <v>73</v>
      </c>
      <c r="AR48" s="162">
        <v>85</v>
      </c>
      <c r="AS48" s="162">
        <v>85</v>
      </c>
      <c r="AT48" s="144">
        <v>60</v>
      </c>
      <c r="AU48" s="138">
        <f t="shared" si="15"/>
        <v>468</v>
      </c>
      <c r="AV48" s="153">
        <f t="shared" si="16"/>
        <v>78</v>
      </c>
      <c r="AW48" s="45"/>
      <c r="AX48" s="174" t="b">
        <f>IF('Refined Compare'!$D$2="All",TRUE,IF(F48='Refined Compare'!$D$2,TRUE,IF(G48='Refined Compare'!$D$2,TRUE,FALSE)))</f>
        <v>0</v>
      </c>
      <c r="AY48" s="174" t="b">
        <f>IF('Refined Compare'!$D$3="All",TRUE,IF(F48='Refined Compare'!$D$3,TRUE,IF(G48='Refined Compare'!$D$3,TRUE,FALSE)))</f>
        <v>1</v>
      </c>
      <c r="AZ48" s="174" t="b">
        <f t="shared" si="1"/>
        <v>1</v>
      </c>
    </row>
    <row r="49" spans="1:52" x14ac:dyDescent="0.35">
      <c r="A49">
        <f t="shared" si="4"/>
        <v>48</v>
      </c>
      <c r="B49" s="18">
        <v>37</v>
      </c>
      <c r="C49" s="61">
        <v>1</v>
      </c>
      <c r="D49" s="61" t="b">
        <v>0</v>
      </c>
      <c r="E49" s="61"/>
      <c r="F49" s="66" t="s">
        <v>808</v>
      </c>
      <c r="G49" s="66" t="s">
        <v>827</v>
      </c>
      <c r="H49" s="2" t="s">
        <v>369</v>
      </c>
      <c r="I49" s="39">
        <f t="shared" si="27"/>
        <v>38</v>
      </c>
      <c r="J49" s="40">
        <f t="shared" si="28"/>
        <v>41</v>
      </c>
      <c r="K49" s="41">
        <f t="shared" si="29"/>
        <v>40</v>
      </c>
      <c r="L49" s="42">
        <f t="shared" si="30"/>
        <v>50</v>
      </c>
      <c r="M49" s="43">
        <f t="shared" si="31"/>
        <v>65</v>
      </c>
      <c r="N49" s="44">
        <f t="shared" si="32"/>
        <v>65</v>
      </c>
      <c r="O49" s="45">
        <f t="shared" si="33"/>
        <v>299</v>
      </c>
      <c r="P49" s="19">
        <f t="shared" si="34"/>
        <v>49.83</v>
      </c>
      <c r="Q49" s="177">
        <v>38</v>
      </c>
      <c r="R49" s="40">
        <v>41</v>
      </c>
      <c r="S49" s="41">
        <v>40</v>
      </c>
      <c r="T49" s="42">
        <v>50</v>
      </c>
      <c r="U49" s="43">
        <v>65</v>
      </c>
      <c r="V49" s="44">
        <v>65</v>
      </c>
      <c r="W49" s="45">
        <f t="shared" si="25"/>
        <v>299</v>
      </c>
      <c r="X49" s="19">
        <f t="shared" si="26"/>
        <v>49.83</v>
      </c>
      <c r="Y49" s="3">
        <v>38</v>
      </c>
      <c r="Z49" s="4">
        <v>41</v>
      </c>
      <c r="AA49" s="5">
        <v>40</v>
      </c>
      <c r="AB49" s="6">
        <v>50</v>
      </c>
      <c r="AC49" s="7">
        <v>65</v>
      </c>
      <c r="AD49" s="8">
        <v>65</v>
      </c>
      <c r="AE49" s="1">
        <v>299</v>
      </c>
      <c r="AF49" s="19">
        <v>49.83</v>
      </c>
      <c r="AG49" s="139">
        <v>38</v>
      </c>
      <c r="AH49" s="140">
        <v>41</v>
      </c>
      <c r="AI49" s="141">
        <v>40</v>
      </c>
      <c r="AJ49" s="142">
        <v>50</v>
      </c>
      <c r="AK49" s="143">
        <v>65</v>
      </c>
      <c r="AL49" s="144">
        <v>65</v>
      </c>
      <c r="AM49" s="138">
        <v>299</v>
      </c>
      <c r="AN49" s="153">
        <v>49.83</v>
      </c>
      <c r="AO49" s="139">
        <v>38</v>
      </c>
      <c r="AP49" s="140">
        <v>41</v>
      </c>
      <c r="AQ49" s="141">
        <v>40</v>
      </c>
      <c r="AR49" s="162">
        <v>65</v>
      </c>
      <c r="AS49" s="162">
        <v>65</v>
      </c>
      <c r="AT49" s="144">
        <v>65</v>
      </c>
      <c r="AU49" s="138">
        <f t="shared" si="15"/>
        <v>314</v>
      </c>
      <c r="AV49" s="153">
        <f t="shared" si="16"/>
        <v>52.333333333333336</v>
      </c>
      <c r="AW49" s="45"/>
      <c r="AX49" s="174" t="b">
        <f>IF('Refined Compare'!$D$2="All",TRUE,IF(F49='Refined Compare'!$D$2,TRUE,IF(G49='Refined Compare'!$D$2,TRUE,FALSE)))</f>
        <v>0</v>
      </c>
      <c r="AY49" s="174" t="b">
        <f>IF('Refined Compare'!$D$3="All",TRUE,IF(F49='Refined Compare'!$D$3,TRUE,IF(G49='Refined Compare'!$D$3,TRUE,FALSE)))</f>
        <v>1</v>
      </c>
      <c r="AZ49" s="174" t="b">
        <f t="shared" si="1"/>
        <v>1</v>
      </c>
    </row>
    <row r="50" spans="1:52" x14ac:dyDescent="0.35">
      <c r="A50">
        <f t="shared" si="4"/>
        <v>49</v>
      </c>
      <c r="B50" s="18">
        <v>37</v>
      </c>
      <c r="C50" s="61">
        <v>7</v>
      </c>
      <c r="D50" s="61"/>
      <c r="E50" s="61"/>
      <c r="F50" s="66" t="s">
        <v>820</v>
      </c>
      <c r="G50" s="66" t="s">
        <v>827</v>
      </c>
      <c r="H50" s="2" t="s">
        <v>966</v>
      </c>
      <c r="I50" s="39">
        <f t="shared" si="27"/>
        <v>0</v>
      </c>
      <c r="J50" s="40">
        <f t="shared" si="28"/>
        <v>0</v>
      </c>
      <c r="K50" s="41">
        <f t="shared" si="29"/>
        <v>0</v>
      </c>
      <c r="L50" s="42">
        <f t="shared" si="30"/>
        <v>0</v>
      </c>
      <c r="M50" s="43">
        <f t="shared" si="31"/>
        <v>0</v>
      </c>
      <c r="N50" s="44">
        <f t="shared" si="32"/>
        <v>0</v>
      </c>
      <c r="O50" s="45">
        <f t="shared" si="33"/>
        <v>0</v>
      </c>
      <c r="P50" s="19">
        <f t="shared" si="34"/>
        <v>0</v>
      </c>
      <c r="Q50" s="177">
        <v>38</v>
      </c>
      <c r="R50" s="40">
        <v>41</v>
      </c>
      <c r="S50" s="41">
        <v>40</v>
      </c>
      <c r="T50" s="42">
        <v>50</v>
      </c>
      <c r="U50" s="43">
        <v>65</v>
      </c>
      <c r="V50" s="44">
        <v>65</v>
      </c>
      <c r="W50" s="45">
        <f t="shared" si="25"/>
        <v>299</v>
      </c>
      <c r="X50" s="19">
        <f t="shared" si="26"/>
        <v>49.83</v>
      </c>
      <c r="Y50" s="3"/>
      <c r="Z50" s="4"/>
      <c r="AA50" s="5"/>
      <c r="AB50" s="6"/>
      <c r="AC50" s="7"/>
      <c r="AD50" s="8"/>
      <c r="AE50" s="1"/>
      <c r="AF50" s="19"/>
      <c r="AG50" s="139"/>
      <c r="AH50" s="140"/>
      <c r="AI50" s="141"/>
      <c r="AJ50" s="142"/>
      <c r="AK50" s="143"/>
      <c r="AL50" s="144"/>
      <c r="AM50" s="138"/>
      <c r="AN50" s="153"/>
      <c r="AO50" s="139"/>
      <c r="AP50" s="140"/>
      <c r="AQ50" s="141"/>
      <c r="AR50" s="162"/>
      <c r="AS50" s="162"/>
      <c r="AT50" s="144"/>
      <c r="AU50" s="138"/>
      <c r="AV50" s="153"/>
      <c r="AW50" s="45"/>
      <c r="AX50" s="174" t="b">
        <f>IF('Refined Compare'!$D$2="All",TRUE,IF(F50='Refined Compare'!$D$2,TRUE,IF(G50='Refined Compare'!$D$2,TRUE,FALSE)))</f>
        <v>0</v>
      </c>
      <c r="AY50" s="174" t="b">
        <f>IF('Refined Compare'!$D$3="All",TRUE,IF(F50='Refined Compare'!$D$3,TRUE,IF(G50='Refined Compare'!$D$3,TRUE,FALSE)))</f>
        <v>1</v>
      </c>
      <c r="AZ50" s="174" t="b">
        <f t="shared" si="1"/>
        <v>0</v>
      </c>
    </row>
    <row r="51" spans="1:52" x14ac:dyDescent="0.35">
      <c r="A51">
        <f t="shared" si="4"/>
        <v>50</v>
      </c>
      <c r="B51" s="18">
        <v>38</v>
      </c>
      <c r="C51" s="61">
        <v>1</v>
      </c>
      <c r="D51" s="118" t="b">
        <v>1</v>
      </c>
      <c r="E51" s="61"/>
      <c r="F51" s="66" t="s">
        <v>808</v>
      </c>
      <c r="G51" s="66" t="s">
        <v>827</v>
      </c>
      <c r="H51" s="2" t="s">
        <v>657</v>
      </c>
      <c r="I51" s="39">
        <f t="shared" si="27"/>
        <v>73</v>
      </c>
      <c r="J51" s="40">
        <f t="shared" si="28"/>
        <v>76</v>
      </c>
      <c r="K51" s="41">
        <f t="shared" si="29"/>
        <v>75</v>
      </c>
      <c r="L51" s="42">
        <f t="shared" si="30"/>
        <v>81</v>
      </c>
      <c r="M51" s="43">
        <f t="shared" si="31"/>
        <v>100</v>
      </c>
      <c r="N51" s="44">
        <f t="shared" si="32"/>
        <v>100</v>
      </c>
      <c r="O51" s="45">
        <f t="shared" si="33"/>
        <v>505</v>
      </c>
      <c r="P51" s="19">
        <f t="shared" si="34"/>
        <v>84.17</v>
      </c>
      <c r="Q51" s="177">
        <v>73</v>
      </c>
      <c r="R51" s="40">
        <v>76</v>
      </c>
      <c r="S51" s="41">
        <v>75</v>
      </c>
      <c r="T51" s="42">
        <v>81</v>
      </c>
      <c r="U51" s="43">
        <v>100</v>
      </c>
      <c r="V51" s="44">
        <v>100</v>
      </c>
      <c r="W51" s="45">
        <f t="shared" si="25"/>
        <v>505</v>
      </c>
      <c r="X51" s="19">
        <f t="shared" si="26"/>
        <v>84.17</v>
      </c>
      <c r="Y51" s="3">
        <v>73</v>
      </c>
      <c r="Z51" s="4">
        <v>76</v>
      </c>
      <c r="AA51" s="5">
        <v>75</v>
      </c>
      <c r="AB51" s="6">
        <v>81</v>
      </c>
      <c r="AC51" s="7">
        <v>100</v>
      </c>
      <c r="AD51" s="8">
        <v>100</v>
      </c>
      <c r="AE51" s="1">
        <v>505</v>
      </c>
      <c r="AF51" s="19">
        <v>84.17</v>
      </c>
      <c r="AG51" s="139">
        <v>73</v>
      </c>
      <c r="AH51" s="140">
        <v>76</v>
      </c>
      <c r="AI51" s="141">
        <v>75</v>
      </c>
      <c r="AJ51" s="142">
        <v>81</v>
      </c>
      <c r="AK51" s="143">
        <v>100</v>
      </c>
      <c r="AL51" s="144">
        <v>100</v>
      </c>
      <c r="AM51" s="138">
        <v>505</v>
      </c>
      <c r="AN51" s="153">
        <v>84.17</v>
      </c>
      <c r="AO51" s="139">
        <v>73</v>
      </c>
      <c r="AP51" s="140">
        <v>76</v>
      </c>
      <c r="AQ51" s="141">
        <v>75</v>
      </c>
      <c r="AR51" s="162">
        <v>100</v>
      </c>
      <c r="AS51" s="162">
        <v>100</v>
      </c>
      <c r="AT51" s="144">
        <v>100</v>
      </c>
      <c r="AU51" s="138">
        <f t="shared" si="15"/>
        <v>524</v>
      </c>
      <c r="AV51" s="153">
        <f t="shared" si="16"/>
        <v>87.333333333333329</v>
      </c>
      <c r="AW51" s="45"/>
      <c r="AX51" s="174" t="b">
        <f>IF('Refined Compare'!$D$2="All",TRUE,IF(F51='Refined Compare'!$D$2,TRUE,IF(G51='Refined Compare'!$D$2,TRUE,FALSE)))</f>
        <v>0</v>
      </c>
      <c r="AY51" s="174" t="b">
        <f>IF('Refined Compare'!$D$3="All",TRUE,IF(F51='Refined Compare'!$D$3,TRUE,IF(G51='Refined Compare'!$D$3,TRUE,FALSE)))</f>
        <v>1</v>
      </c>
      <c r="AZ51" s="174" t="b">
        <f t="shared" si="1"/>
        <v>1</v>
      </c>
    </row>
    <row r="52" spans="1:52" x14ac:dyDescent="0.35">
      <c r="A52">
        <f t="shared" si="4"/>
        <v>51</v>
      </c>
      <c r="B52" s="18">
        <v>38</v>
      </c>
      <c r="C52" s="61">
        <v>7</v>
      </c>
      <c r="D52" s="118" t="b">
        <v>1</v>
      </c>
      <c r="E52" s="61"/>
      <c r="F52" s="66" t="s">
        <v>820</v>
      </c>
      <c r="G52" s="66" t="s">
        <v>815</v>
      </c>
      <c r="H52" s="2" t="s">
        <v>967</v>
      </c>
      <c r="I52" s="39">
        <f t="shared" si="27"/>
        <v>0</v>
      </c>
      <c r="J52" s="40">
        <f t="shared" si="28"/>
        <v>0</v>
      </c>
      <c r="K52" s="41">
        <f t="shared" si="29"/>
        <v>0</v>
      </c>
      <c r="L52" s="42">
        <f t="shared" si="30"/>
        <v>0</v>
      </c>
      <c r="M52" s="43">
        <f t="shared" si="31"/>
        <v>0</v>
      </c>
      <c r="N52" s="44">
        <f t="shared" si="32"/>
        <v>0</v>
      </c>
      <c r="O52" s="45">
        <f t="shared" si="33"/>
        <v>0</v>
      </c>
      <c r="P52" s="19">
        <f t="shared" si="34"/>
        <v>0</v>
      </c>
      <c r="Q52" s="177">
        <v>73</v>
      </c>
      <c r="R52" s="40">
        <v>67</v>
      </c>
      <c r="S52" s="41">
        <v>75</v>
      </c>
      <c r="T52" s="42">
        <v>81</v>
      </c>
      <c r="U52" s="43">
        <v>100</v>
      </c>
      <c r="V52" s="44">
        <v>109</v>
      </c>
      <c r="W52" s="45">
        <f t="shared" si="25"/>
        <v>505</v>
      </c>
      <c r="X52" s="19">
        <f t="shared" si="26"/>
        <v>84.17</v>
      </c>
      <c r="Y52" s="3"/>
      <c r="Z52" s="4"/>
      <c r="AA52" s="5"/>
      <c r="AB52" s="6"/>
      <c r="AC52" s="7"/>
      <c r="AD52" s="8"/>
      <c r="AE52" s="1"/>
      <c r="AF52" s="19"/>
      <c r="AG52" s="139"/>
      <c r="AH52" s="140"/>
      <c r="AI52" s="141"/>
      <c r="AJ52" s="142"/>
      <c r="AK52" s="143"/>
      <c r="AL52" s="144"/>
      <c r="AM52" s="138"/>
      <c r="AN52" s="153"/>
      <c r="AO52" s="139"/>
      <c r="AP52" s="140"/>
      <c r="AQ52" s="141"/>
      <c r="AR52" s="162"/>
      <c r="AS52" s="162"/>
      <c r="AT52" s="144"/>
      <c r="AU52" s="138"/>
      <c r="AV52" s="153"/>
      <c r="AW52" s="45"/>
      <c r="AX52" s="174" t="b">
        <f>IF('Refined Compare'!$D$2="All",TRUE,IF(F52='Refined Compare'!$D$2,TRUE,IF(G52='Refined Compare'!$D$2,TRUE,FALSE)))</f>
        <v>0</v>
      </c>
      <c r="AY52" s="174" t="b">
        <f>IF('Refined Compare'!$D$3="All",TRUE,IF(F52='Refined Compare'!$D$3,TRUE,IF(G52='Refined Compare'!$D$3,TRUE,FALSE)))</f>
        <v>0</v>
      </c>
      <c r="AZ52" s="174" t="b">
        <f t="shared" si="1"/>
        <v>0</v>
      </c>
    </row>
    <row r="53" spans="1:52" x14ac:dyDescent="0.35">
      <c r="A53">
        <f t="shared" si="4"/>
        <v>52</v>
      </c>
      <c r="B53" s="18">
        <v>39</v>
      </c>
      <c r="C53" s="61">
        <v>1</v>
      </c>
      <c r="D53" s="61" t="b">
        <v>0</v>
      </c>
      <c r="E53" s="61"/>
      <c r="F53" s="66" t="s">
        <v>812</v>
      </c>
      <c r="G53" s="66" t="str">
        <f>IF($AW$2&lt;6,"Single type","Fairy")</f>
        <v>Single type</v>
      </c>
      <c r="H53" s="2" t="s">
        <v>14</v>
      </c>
      <c r="I53" s="39">
        <f t="shared" si="27"/>
        <v>115</v>
      </c>
      <c r="J53" s="40">
        <f t="shared" si="28"/>
        <v>45</v>
      </c>
      <c r="K53" s="41">
        <f t="shared" si="29"/>
        <v>20</v>
      </c>
      <c r="L53" s="42">
        <f t="shared" si="30"/>
        <v>45</v>
      </c>
      <c r="M53" s="43">
        <f t="shared" si="31"/>
        <v>25</v>
      </c>
      <c r="N53" s="44">
        <f t="shared" si="32"/>
        <v>20</v>
      </c>
      <c r="O53" s="45">
        <f t="shared" si="33"/>
        <v>270</v>
      </c>
      <c r="P53" s="19">
        <f t="shared" si="34"/>
        <v>45</v>
      </c>
      <c r="Q53" s="177">
        <v>115</v>
      </c>
      <c r="R53" s="40">
        <v>45</v>
      </c>
      <c r="S53" s="41">
        <v>20</v>
      </c>
      <c r="T53" s="42">
        <v>45</v>
      </c>
      <c r="U53" s="43">
        <v>25</v>
      </c>
      <c r="V53" s="44">
        <v>20</v>
      </c>
      <c r="W53" s="45">
        <f t="shared" si="25"/>
        <v>270</v>
      </c>
      <c r="X53" s="19">
        <f t="shared" si="26"/>
        <v>45</v>
      </c>
      <c r="Y53" s="3">
        <v>115</v>
      </c>
      <c r="Z53" s="4">
        <v>45</v>
      </c>
      <c r="AA53" s="5">
        <v>20</v>
      </c>
      <c r="AB53" s="6">
        <v>45</v>
      </c>
      <c r="AC53" s="7">
        <v>25</v>
      </c>
      <c r="AD53" s="8">
        <v>20</v>
      </c>
      <c r="AE53" s="1">
        <v>270</v>
      </c>
      <c r="AF53" s="19">
        <v>45</v>
      </c>
      <c r="AG53" s="139">
        <v>115</v>
      </c>
      <c r="AH53" s="140">
        <v>45</v>
      </c>
      <c r="AI53" s="141">
        <v>20</v>
      </c>
      <c r="AJ53" s="142">
        <v>45</v>
      </c>
      <c r="AK53" s="143">
        <v>25</v>
      </c>
      <c r="AL53" s="144">
        <v>20</v>
      </c>
      <c r="AM53" s="138">
        <v>270</v>
      </c>
      <c r="AN53" s="153">
        <v>45</v>
      </c>
      <c r="AO53" s="139">
        <v>115</v>
      </c>
      <c r="AP53" s="140">
        <v>45</v>
      </c>
      <c r="AQ53" s="141">
        <v>20</v>
      </c>
      <c r="AR53" s="162">
        <v>25</v>
      </c>
      <c r="AS53" s="162">
        <v>25</v>
      </c>
      <c r="AT53" s="144">
        <v>20</v>
      </c>
      <c r="AU53" s="138">
        <f t="shared" si="15"/>
        <v>250</v>
      </c>
      <c r="AV53" s="153">
        <f t="shared" si="16"/>
        <v>41.666666666666664</v>
      </c>
      <c r="AW53" s="45"/>
      <c r="AX53" s="174" t="b">
        <f>IF('Refined Compare'!$D$2="All",TRUE,IF(F53='Refined Compare'!$D$2,TRUE,IF(G53='Refined Compare'!$D$2,TRUE,FALSE)))</f>
        <v>0</v>
      </c>
      <c r="AY53" s="174" t="b">
        <f>IF('Refined Compare'!$D$3="All",TRUE,IF(F53='Refined Compare'!$D$3,TRUE,IF(G53='Refined Compare'!$D$3,TRUE,FALSE)))</f>
        <v>1</v>
      </c>
      <c r="AZ53" s="174" t="b">
        <f t="shared" si="1"/>
        <v>1</v>
      </c>
    </row>
    <row r="54" spans="1:52" x14ac:dyDescent="0.35">
      <c r="A54">
        <f t="shared" si="4"/>
        <v>53</v>
      </c>
      <c r="B54" s="18">
        <v>40</v>
      </c>
      <c r="C54" s="61">
        <v>1</v>
      </c>
      <c r="D54" s="118" t="b">
        <v>1</v>
      </c>
      <c r="E54" s="61"/>
      <c r="F54" s="66" t="s">
        <v>812</v>
      </c>
      <c r="G54" s="66" t="str">
        <f>IF($AW$2&lt;6,"Single type","Fairy")</f>
        <v>Single type</v>
      </c>
      <c r="H54" s="2" t="s">
        <v>173</v>
      </c>
      <c r="I54" s="39">
        <f t="shared" si="27"/>
        <v>140</v>
      </c>
      <c r="J54" s="40">
        <f t="shared" si="28"/>
        <v>70</v>
      </c>
      <c r="K54" s="41">
        <f t="shared" si="29"/>
        <v>45</v>
      </c>
      <c r="L54" s="42">
        <f t="shared" si="30"/>
        <v>75</v>
      </c>
      <c r="M54" s="43">
        <f t="shared" si="31"/>
        <v>50</v>
      </c>
      <c r="N54" s="44">
        <f t="shared" si="32"/>
        <v>45</v>
      </c>
      <c r="O54" s="45">
        <f t="shared" si="33"/>
        <v>425</v>
      </c>
      <c r="P54" s="19">
        <f t="shared" si="34"/>
        <v>70.83</v>
      </c>
      <c r="Q54" s="177">
        <v>140</v>
      </c>
      <c r="R54" s="40">
        <v>70</v>
      </c>
      <c r="S54" s="41">
        <v>45</v>
      </c>
      <c r="T54" s="42">
        <v>85</v>
      </c>
      <c r="U54" s="43">
        <v>50</v>
      </c>
      <c r="V54" s="44">
        <v>45</v>
      </c>
      <c r="W54" s="45">
        <f t="shared" si="25"/>
        <v>435</v>
      </c>
      <c r="X54" s="19">
        <f t="shared" si="26"/>
        <v>72.5</v>
      </c>
      <c r="Y54" s="3">
        <v>140</v>
      </c>
      <c r="Z54" s="4">
        <v>70</v>
      </c>
      <c r="AA54" s="5">
        <v>45</v>
      </c>
      <c r="AB54" s="6">
        <v>85</v>
      </c>
      <c r="AC54" s="7">
        <v>50</v>
      </c>
      <c r="AD54" s="8">
        <v>45</v>
      </c>
      <c r="AE54" s="1">
        <v>435</v>
      </c>
      <c r="AF54" s="19">
        <v>72.5</v>
      </c>
      <c r="AG54" s="139">
        <v>140</v>
      </c>
      <c r="AH54" s="140">
        <v>70</v>
      </c>
      <c r="AI54" s="141">
        <v>45</v>
      </c>
      <c r="AJ54" s="142">
        <v>75</v>
      </c>
      <c r="AK54" s="143">
        <v>50</v>
      </c>
      <c r="AL54" s="144">
        <v>45</v>
      </c>
      <c r="AM54" s="138">
        <v>425</v>
      </c>
      <c r="AN54" s="153">
        <v>70.83</v>
      </c>
      <c r="AO54" s="139">
        <v>140</v>
      </c>
      <c r="AP54" s="140">
        <v>70</v>
      </c>
      <c r="AQ54" s="141">
        <v>45</v>
      </c>
      <c r="AR54" s="162">
        <v>50</v>
      </c>
      <c r="AS54" s="162">
        <v>50</v>
      </c>
      <c r="AT54" s="144">
        <v>45</v>
      </c>
      <c r="AU54" s="138">
        <f t="shared" si="15"/>
        <v>400</v>
      </c>
      <c r="AV54" s="153">
        <f t="shared" si="16"/>
        <v>66.666666666666671</v>
      </c>
      <c r="AW54" s="45"/>
      <c r="AX54" s="174" t="b">
        <f>IF('Refined Compare'!$D$2="All",TRUE,IF(F54='Refined Compare'!$D$2,TRUE,IF(G54='Refined Compare'!$D$2,TRUE,FALSE)))</f>
        <v>0</v>
      </c>
      <c r="AY54" s="174" t="b">
        <f>IF('Refined Compare'!$D$3="All",TRUE,IF(F54='Refined Compare'!$D$3,TRUE,IF(G54='Refined Compare'!$D$3,TRUE,FALSE)))</f>
        <v>1</v>
      </c>
      <c r="AZ54" s="174" t="b">
        <f t="shared" si="1"/>
        <v>1</v>
      </c>
    </row>
    <row r="55" spans="1:52" x14ac:dyDescent="0.35">
      <c r="A55">
        <f t="shared" si="4"/>
        <v>54</v>
      </c>
      <c r="B55" s="18">
        <v>41</v>
      </c>
      <c r="C55" s="61">
        <v>1</v>
      </c>
      <c r="D55" s="61" t="b">
        <v>0</v>
      </c>
      <c r="E55" s="61"/>
      <c r="F55" s="66" t="s">
        <v>807</v>
      </c>
      <c r="G55" s="66" t="s">
        <v>809</v>
      </c>
      <c r="H55" s="2" t="s">
        <v>265</v>
      </c>
      <c r="I55" s="39">
        <f t="shared" si="27"/>
        <v>40</v>
      </c>
      <c r="J55" s="40">
        <f t="shared" si="28"/>
        <v>45</v>
      </c>
      <c r="K55" s="41">
        <f t="shared" si="29"/>
        <v>35</v>
      </c>
      <c r="L55" s="42">
        <f t="shared" si="30"/>
        <v>30</v>
      </c>
      <c r="M55" s="43">
        <f t="shared" si="31"/>
        <v>40</v>
      </c>
      <c r="N55" s="44">
        <f t="shared" si="32"/>
        <v>55</v>
      </c>
      <c r="O55" s="45">
        <f t="shared" si="33"/>
        <v>245</v>
      </c>
      <c r="P55" s="19">
        <f t="shared" si="34"/>
        <v>40.83</v>
      </c>
      <c r="Q55" s="177">
        <v>40</v>
      </c>
      <c r="R55" s="40">
        <v>45</v>
      </c>
      <c r="S55" s="41">
        <v>35</v>
      </c>
      <c r="T55" s="42">
        <v>30</v>
      </c>
      <c r="U55" s="43">
        <v>40</v>
      </c>
      <c r="V55" s="44">
        <v>55</v>
      </c>
      <c r="W55" s="45">
        <f t="shared" si="25"/>
        <v>245</v>
      </c>
      <c r="X55" s="19">
        <f t="shared" si="26"/>
        <v>40.83</v>
      </c>
      <c r="Y55" s="3">
        <v>40</v>
      </c>
      <c r="Z55" s="4">
        <v>45</v>
      </c>
      <c r="AA55" s="5">
        <v>35</v>
      </c>
      <c r="AB55" s="6">
        <v>30</v>
      </c>
      <c r="AC55" s="7">
        <v>40</v>
      </c>
      <c r="AD55" s="8">
        <v>55</v>
      </c>
      <c r="AE55" s="1">
        <v>245</v>
      </c>
      <c r="AF55" s="19">
        <v>40.83</v>
      </c>
      <c r="AG55" s="139">
        <v>40</v>
      </c>
      <c r="AH55" s="140">
        <v>45</v>
      </c>
      <c r="AI55" s="141">
        <v>35</v>
      </c>
      <c r="AJ55" s="142">
        <v>30</v>
      </c>
      <c r="AK55" s="143">
        <v>40</v>
      </c>
      <c r="AL55" s="144">
        <v>55</v>
      </c>
      <c r="AM55" s="138">
        <v>245</v>
      </c>
      <c r="AN55" s="153">
        <v>40.83</v>
      </c>
      <c r="AO55" s="139">
        <v>40</v>
      </c>
      <c r="AP55" s="140">
        <v>45</v>
      </c>
      <c r="AQ55" s="141">
        <v>35</v>
      </c>
      <c r="AR55" s="162">
        <v>40</v>
      </c>
      <c r="AS55" s="162">
        <v>40</v>
      </c>
      <c r="AT55" s="144">
        <v>55</v>
      </c>
      <c r="AU55" s="138">
        <f t="shared" si="15"/>
        <v>255</v>
      </c>
      <c r="AV55" s="153">
        <f t="shared" si="16"/>
        <v>42.5</v>
      </c>
      <c r="AW55" s="45"/>
      <c r="AX55" s="174" t="b">
        <f>IF('Refined Compare'!$D$2="All",TRUE,IF(F55='Refined Compare'!$D$2,TRUE,IF(G55='Refined Compare'!$D$2,TRUE,FALSE)))</f>
        <v>0</v>
      </c>
      <c r="AY55" s="174" t="b">
        <f>IF('Refined Compare'!$D$3="All",TRUE,IF(F55='Refined Compare'!$D$3,TRUE,IF(G55='Refined Compare'!$D$3,TRUE,FALSE)))</f>
        <v>0</v>
      </c>
      <c r="AZ55" s="174" t="b">
        <f t="shared" si="1"/>
        <v>1</v>
      </c>
    </row>
    <row r="56" spans="1:52" x14ac:dyDescent="0.35">
      <c r="A56">
        <f t="shared" si="4"/>
        <v>55</v>
      </c>
      <c r="B56" s="18">
        <v>42</v>
      </c>
      <c r="C56" s="61">
        <v>1</v>
      </c>
      <c r="D56" s="118" t="b">
        <f>IF($AW$2&lt;2,TRUE,FALSE)</f>
        <v>0</v>
      </c>
      <c r="E56" s="61"/>
      <c r="F56" s="66" t="s">
        <v>807</v>
      </c>
      <c r="G56" s="66" t="s">
        <v>809</v>
      </c>
      <c r="H56" s="2" t="s">
        <v>575</v>
      </c>
      <c r="I56" s="39">
        <f t="shared" si="27"/>
        <v>75</v>
      </c>
      <c r="J56" s="40">
        <f t="shared" si="28"/>
        <v>80</v>
      </c>
      <c r="K56" s="41">
        <f t="shared" si="29"/>
        <v>70</v>
      </c>
      <c r="L56" s="42">
        <f t="shared" si="30"/>
        <v>65</v>
      </c>
      <c r="M56" s="43">
        <f t="shared" si="31"/>
        <v>75</v>
      </c>
      <c r="N56" s="44">
        <f t="shared" si="32"/>
        <v>90</v>
      </c>
      <c r="O56" s="45">
        <f t="shared" si="33"/>
        <v>455</v>
      </c>
      <c r="P56" s="19">
        <f t="shared" si="34"/>
        <v>75.83</v>
      </c>
      <c r="Q56" s="177">
        <v>75</v>
      </c>
      <c r="R56" s="40">
        <v>80</v>
      </c>
      <c r="S56" s="41">
        <v>70</v>
      </c>
      <c r="T56" s="42">
        <v>65</v>
      </c>
      <c r="U56" s="43">
        <v>75</v>
      </c>
      <c r="V56" s="44">
        <v>90</v>
      </c>
      <c r="W56" s="45">
        <f t="shared" si="25"/>
        <v>455</v>
      </c>
      <c r="X56" s="19">
        <f t="shared" si="26"/>
        <v>75.83</v>
      </c>
      <c r="Y56" s="3">
        <v>75</v>
      </c>
      <c r="Z56" s="4">
        <v>80</v>
      </c>
      <c r="AA56" s="5">
        <v>70</v>
      </c>
      <c r="AB56" s="6">
        <v>65</v>
      </c>
      <c r="AC56" s="7">
        <v>75</v>
      </c>
      <c r="AD56" s="8">
        <v>90</v>
      </c>
      <c r="AE56" s="1">
        <v>455</v>
      </c>
      <c r="AF56" s="19">
        <v>75.83</v>
      </c>
      <c r="AG56" s="139">
        <v>75</v>
      </c>
      <c r="AH56" s="140">
        <v>80</v>
      </c>
      <c r="AI56" s="141">
        <v>70</v>
      </c>
      <c r="AJ56" s="142">
        <v>65</v>
      </c>
      <c r="AK56" s="143">
        <v>75</v>
      </c>
      <c r="AL56" s="144">
        <v>90</v>
      </c>
      <c r="AM56" s="138">
        <v>455</v>
      </c>
      <c r="AN56" s="153">
        <v>75.83</v>
      </c>
      <c r="AO56" s="139">
        <v>75</v>
      </c>
      <c r="AP56" s="140">
        <v>80</v>
      </c>
      <c r="AQ56" s="141">
        <v>70</v>
      </c>
      <c r="AR56" s="162">
        <v>75</v>
      </c>
      <c r="AS56" s="162">
        <v>75</v>
      </c>
      <c r="AT56" s="144">
        <v>90</v>
      </c>
      <c r="AU56" s="138">
        <f t="shared" si="15"/>
        <v>465</v>
      </c>
      <c r="AV56" s="153">
        <f t="shared" si="16"/>
        <v>77.5</v>
      </c>
      <c r="AW56" s="45"/>
      <c r="AX56" s="174" t="b">
        <f>IF('Refined Compare'!$D$2="All",TRUE,IF(F56='Refined Compare'!$D$2,TRUE,IF(G56='Refined Compare'!$D$2,TRUE,FALSE)))</f>
        <v>0</v>
      </c>
      <c r="AY56" s="174" t="b">
        <f>IF('Refined Compare'!$D$3="All",TRUE,IF(F56='Refined Compare'!$D$3,TRUE,IF(G56='Refined Compare'!$D$3,TRUE,FALSE)))</f>
        <v>0</v>
      </c>
      <c r="AZ56" s="174" t="b">
        <f t="shared" si="1"/>
        <v>1</v>
      </c>
    </row>
    <row r="57" spans="1:52" x14ac:dyDescent="0.35">
      <c r="A57">
        <f t="shared" si="4"/>
        <v>56</v>
      </c>
      <c r="B57" s="18">
        <v>43</v>
      </c>
      <c r="C57" s="61">
        <v>1</v>
      </c>
      <c r="D57" s="61" t="b">
        <v>0</v>
      </c>
      <c r="E57" s="61"/>
      <c r="F57" s="66" t="s">
        <v>806</v>
      </c>
      <c r="G57" s="66" t="s">
        <v>807</v>
      </c>
      <c r="H57" s="2" t="s">
        <v>53</v>
      </c>
      <c r="I57" s="39">
        <f t="shared" si="27"/>
        <v>45</v>
      </c>
      <c r="J57" s="40">
        <f t="shared" si="28"/>
        <v>50</v>
      </c>
      <c r="K57" s="41">
        <f t="shared" si="29"/>
        <v>55</v>
      </c>
      <c r="L57" s="42">
        <f t="shared" si="30"/>
        <v>75</v>
      </c>
      <c r="M57" s="43">
        <f t="shared" si="31"/>
        <v>65</v>
      </c>
      <c r="N57" s="44">
        <f t="shared" si="32"/>
        <v>30</v>
      </c>
      <c r="O57" s="45">
        <f t="shared" si="33"/>
        <v>320</v>
      </c>
      <c r="P57" s="19">
        <f t="shared" si="34"/>
        <v>53.33</v>
      </c>
      <c r="Q57" s="177">
        <v>45</v>
      </c>
      <c r="R57" s="40">
        <v>50</v>
      </c>
      <c r="S57" s="41">
        <v>55</v>
      </c>
      <c r="T57" s="42">
        <v>75</v>
      </c>
      <c r="U57" s="43">
        <v>65</v>
      </c>
      <c r="V57" s="44">
        <v>30</v>
      </c>
      <c r="W57" s="45">
        <f t="shared" si="25"/>
        <v>320</v>
      </c>
      <c r="X57" s="19">
        <f t="shared" si="26"/>
        <v>53.33</v>
      </c>
      <c r="Y57" s="3">
        <v>45</v>
      </c>
      <c r="Z57" s="4">
        <v>50</v>
      </c>
      <c r="AA57" s="5">
        <v>55</v>
      </c>
      <c r="AB57" s="6">
        <v>75</v>
      </c>
      <c r="AC57" s="7">
        <v>65</v>
      </c>
      <c r="AD57" s="8">
        <v>30</v>
      </c>
      <c r="AE57" s="1">
        <v>320</v>
      </c>
      <c r="AF57" s="19">
        <v>53.33</v>
      </c>
      <c r="AG57" s="139">
        <v>45</v>
      </c>
      <c r="AH57" s="140">
        <v>50</v>
      </c>
      <c r="AI57" s="141">
        <v>55</v>
      </c>
      <c r="AJ57" s="142">
        <v>75</v>
      </c>
      <c r="AK57" s="143">
        <v>65</v>
      </c>
      <c r="AL57" s="144">
        <v>30</v>
      </c>
      <c r="AM57" s="138">
        <v>320</v>
      </c>
      <c r="AN57" s="153">
        <v>53.33</v>
      </c>
      <c r="AO57" s="139">
        <v>45</v>
      </c>
      <c r="AP57" s="140">
        <v>50</v>
      </c>
      <c r="AQ57" s="141">
        <v>55</v>
      </c>
      <c r="AR57" s="162">
        <v>75</v>
      </c>
      <c r="AS57" s="162">
        <v>75</v>
      </c>
      <c r="AT57" s="144">
        <v>30</v>
      </c>
      <c r="AU57" s="138">
        <f t="shared" si="15"/>
        <v>330</v>
      </c>
      <c r="AV57" s="153">
        <f t="shared" si="16"/>
        <v>55</v>
      </c>
      <c r="AW57" s="45"/>
      <c r="AX57" s="174" t="b">
        <f>IF('Refined Compare'!$D$2="All",TRUE,IF(F57='Refined Compare'!$D$2,TRUE,IF(G57='Refined Compare'!$D$2,TRUE,FALSE)))</f>
        <v>0</v>
      </c>
      <c r="AY57" s="174" t="b">
        <f>IF('Refined Compare'!$D$3="All",TRUE,IF(F57='Refined Compare'!$D$3,TRUE,IF(G57='Refined Compare'!$D$3,TRUE,FALSE)))</f>
        <v>0</v>
      </c>
      <c r="AZ57" s="174" t="b">
        <f t="shared" si="1"/>
        <v>1</v>
      </c>
    </row>
    <row r="58" spans="1:52" x14ac:dyDescent="0.35">
      <c r="A58">
        <f t="shared" si="4"/>
        <v>57</v>
      </c>
      <c r="B58" s="18">
        <v>44</v>
      </c>
      <c r="C58" s="61">
        <v>1</v>
      </c>
      <c r="D58" s="61" t="b">
        <v>0</v>
      </c>
      <c r="E58" s="61"/>
      <c r="F58" s="66" t="s">
        <v>806</v>
      </c>
      <c r="G58" s="66" t="s">
        <v>807</v>
      </c>
      <c r="H58" s="2" t="s">
        <v>124</v>
      </c>
      <c r="I58" s="39">
        <f t="shared" si="27"/>
        <v>60</v>
      </c>
      <c r="J58" s="40">
        <f t="shared" si="28"/>
        <v>65</v>
      </c>
      <c r="K58" s="41">
        <f t="shared" si="29"/>
        <v>70</v>
      </c>
      <c r="L58" s="42">
        <f t="shared" si="30"/>
        <v>85</v>
      </c>
      <c r="M58" s="43">
        <f t="shared" si="31"/>
        <v>75</v>
      </c>
      <c r="N58" s="44">
        <f t="shared" si="32"/>
        <v>40</v>
      </c>
      <c r="O58" s="45">
        <f t="shared" si="33"/>
        <v>395</v>
      </c>
      <c r="P58" s="19">
        <f t="shared" si="34"/>
        <v>65.83</v>
      </c>
      <c r="Q58" s="177">
        <v>60</v>
      </c>
      <c r="R58" s="40">
        <v>65</v>
      </c>
      <c r="S58" s="41">
        <v>70</v>
      </c>
      <c r="T58" s="42">
        <v>85</v>
      </c>
      <c r="U58" s="43">
        <v>75</v>
      </c>
      <c r="V58" s="44">
        <v>40</v>
      </c>
      <c r="W58" s="45">
        <f t="shared" si="25"/>
        <v>395</v>
      </c>
      <c r="X58" s="19">
        <f t="shared" si="26"/>
        <v>65.83</v>
      </c>
      <c r="Y58" s="3">
        <v>60</v>
      </c>
      <c r="Z58" s="4">
        <v>65</v>
      </c>
      <c r="AA58" s="5">
        <v>70</v>
      </c>
      <c r="AB58" s="6">
        <v>85</v>
      </c>
      <c r="AC58" s="7">
        <v>75</v>
      </c>
      <c r="AD58" s="8">
        <v>40</v>
      </c>
      <c r="AE58" s="1">
        <v>395</v>
      </c>
      <c r="AF58" s="19">
        <v>65.83</v>
      </c>
      <c r="AG58" s="139">
        <v>60</v>
      </c>
      <c r="AH58" s="140">
        <v>65</v>
      </c>
      <c r="AI58" s="141">
        <v>70</v>
      </c>
      <c r="AJ58" s="142">
        <v>85</v>
      </c>
      <c r="AK58" s="143">
        <v>75</v>
      </c>
      <c r="AL58" s="144">
        <v>40</v>
      </c>
      <c r="AM58" s="138">
        <v>395</v>
      </c>
      <c r="AN58" s="153">
        <v>65.83</v>
      </c>
      <c r="AO58" s="139">
        <v>60</v>
      </c>
      <c r="AP58" s="140">
        <v>65</v>
      </c>
      <c r="AQ58" s="141">
        <v>70</v>
      </c>
      <c r="AR58" s="162">
        <v>85</v>
      </c>
      <c r="AS58" s="162">
        <v>85</v>
      </c>
      <c r="AT58" s="144">
        <v>40</v>
      </c>
      <c r="AU58" s="138">
        <f t="shared" si="15"/>
        <v>405</v>
      </c>
      <c r="AV58" s="153">
        <f t="shared" si="16"/>
        <v>67.5</v>
      </c>
      <c r="AW58" s="45"/>
      <c r="AX58" s="174" t="b">
        <f>IF('Refined Compare'!$D$2="All",TRUE,IF(F58='Refined Compare'!$D$2,TRUE,IF(G58='Refined Compare'!$D$2,TRUE,FALSE)))</f>
        <v>0</v>
      </c>
      <c r="AY58" s="174" t="b">
        <f>IF('Refined Compare'!$D$3="All",TRUE,IF(F58='Refined Compare'!$D$3,TRUE,IF(G58='Refined Compare'!$D$3,TRUE,FALSE)))</f>
        <v>0</v>
      </c>
      <c r="AZ58" s="174" t="b">
        <f t="shared" si="1"/>
        <v>1</v>
      </c>
    </row>
    <row r="59" spans="1:52" x14ac:dyDescent="0.35">
      <c r="A59">
        <f t="shared" si="4"/>
        <v>58</v>
      </c>
      <c r="B59" s="18">
        <v>45</v>
      </c>
      <c r="C59" s="61">
        <v>1</v>
      </c>
      <c r="D59" s="118" t="b">
        <v>1</v>
      </c>
      <c r="E59" s="61"/>
      <c r="F59" s="66" t="s">
        <v>806</v>
      </c>
      <c r="G59" s="66" t="s">
        <v>807</v>
      </c>
      <c r="H59" s="2" t="s">
        <v>213</v>
      </c>
      <c r="I59" s="39">
        <f t="shared" si="27"/>
        <v>75</v>
      </c>
      <c r="J59" s="40">
        <f t="shared" si="28"/>
        <v>80</v>
      </c>
      <c r="K59" s="41">
        <f t="shared" si="29"/>
        <v>85</v>
      </c>
      <c r="L59" s="42">
        <f t="shared" si="30"/>
        <v>100</v>
      </c>
      <c r="M59" s="43">
        <f t="shared" si="31"/>
        <v>90</v>
      </c>
      <c r="N59" s="44">
        <f t="shared" si="32"/>
        <v>50</v>
      </c>
      <c r="O59" s="45">
        <f t="shared" si="33"/>
        <v>480</v>
      </c>
      <c r="P59" s="19">
        <f t="shared" si="34"/>
        <v>80</v>
      </c>
      <c r="Q59" s="177">
        <v>75</v>
      </c>
      <c r="R59" s="40">
        <v>80</v>
      </c>
      <c r="S59" s="41">
        <v>85</v>
      </c>
      <c r="T59" s="42">
        <v>110</v>
      </c>
      <c r="U59" s="43">
        <v>90</v>
      </c>
      <c r="V59" s="44">
        <v>50</v>
      </c>
      <c r="W59" s="45">
        <f t="shared" si="25"/>
        <v>490</v>
      </c>
      <c r="X59" s="19">
        <f t="shared" si="26"/>
        <v>81.67</v>
      </c>
      <c r="Y59" s="3">
        <v>75</v>
      </c>
      <c r="Z59" s="4">
        <v>80</v>
      </c>
      <c r="AA59" s="5">
        <v>85</v>
      </c>
      <c r="AB59" s="6">
        <v>110</v>
      </c>
      <c r="AC59" s="7">
        <v>90</v>
      </c>
      <c r="AD59" s="8">
        <v>50</v>
      </c>
      <c r="AE59" s="1">
        <v>490</v>
      </c>
      <c r="AF59" s="19">
        <v>81.67</v>
      </c>
      <c r="AG59" s="139">
        <v>75</v>
      </c>
      <c r="AH59" s="140">
        <v>80</v>
      </c>
      <c r="AI59" s="141">
        <v>85</v>
      </c>
      <c r="AJ59" s="142">
        <v>100</v>
      </c>
      <c r="AK59" s="143">
        <v>90</v>
      </c>
      <c r="AL59" s="144">
        <v>50</v>
      </c>
      <c r="AM59" s="138">
        <v>480</v>
      </c>
      <c r="AN59" s="153">
        <v>80</v>
      </c>
      <c r="AO59" s="139">
        <v>75</v>
      </c>
      <c r="AP59" s="140">
        <v>80</v>
      </c>
      <c r="AQ59" s="141">
        <v>85</v>
      </c>
      <c r="AR59" s="162">
        <v>100</v>
      </c>
      <c r="AS59" s="162">
        <v>100</v>
      </c>
      <c r="AT59" s="144">
        <v>50</v>
      </c>
      <c r="AU59" s="138">
        <f t="shared" si="15"/>
        <v>490</v>
      </c>
      <c r="AV59" s="153">
        <f t="shared" si="16"/>
        <v>81.666666666666671</v>
      </c>
      <c r="AW59" s="45"/>
      <c r="AX59" s="174" t="b">
        <f>IF('Refined Compare'!$D$2="All",TRUE,IF(F59='Refined Compare'!$D$2,TRUE,IF(G59='Refined Compare'!$D$2,TRUE,FALSE)))</f>
        <v>0</v>
      </c>
      <c r="AY59" s="174" t="b">
        <f>IF('Refined Compare'!$D$3="All",TRUE,IF(F59='Refined Compare'!$D$3,TRUE,IF(G59='Refined Compare'!$D$3,TRUE,FALSE)))</f>
        <v>0</v>
      </c>
      <c r="AZ59" s="174" t="b">
        <f t="shared" si="1"/>
        <v>1</v>
      </c>
    </row>
    <row r="60" spans="1:52" x14ac:dyDescent="0.35">
      <c r="A60">
        <f t="shared" si="4"/>
        <v>59</v>
      </c>
      <c r="B60" s="18">
        <v>46</v>
      </c>
      <c r="C60" s="61">
        <v>1</v>
      </c>
      <c r="D60" s="61" t="b">
        <v>0</v>
      </c>
      <c r="E60" s="61"/>
      <c r="F60" s="66" t="s">
        <v>811</v>
      </c>
      <c r="G60" s="66" t="s">
        <v>806</v>
      </c>
      <c r="H60" s="2" t="s">
        <v>35</v>
      </c>
      <c r="I60" s="39">
        <f t="shared" si="27"/>
        <v>35</v>
      </c>
      <c r="J60" s="40">
        <f t="shared" si="28"/>
        <v>70</v>
      </c>
      <c r="K60" s="41">
        <f t="shared" si="29"/>
        <v>55</v>
      </c>
      <c r="L60" s="42">
        <f t="shared" si="30"/>
        <v>45</v>
      </c>
      <c r="M60" s="43">
        <f t="shared" si="31"/>
        <v>55</v>
      </c>
      <c r="N60" s="44">
        <f t="shared" si="32"/>
        <v>25</v>
      </c>
      <c r="O60" s="45">
        <f t="shared" si="33"/>
        <v>285</v>
      </c>
      <c r="P60" s="19">
        <f t="shared" si="34"/>
        <v>47.5</v>
      </c>
      <c r="Q60" s="177">
        <v>35</v>
      </c>
      <c r="R60" s="40">
        <v>70</v>
      </c>
      <c r="S60" s="41">
        <v>55</v>
      </c>
      <c r="T60" s="42">
        <v>45</v>
      </c>
      <c r="U60" s="43">
        <v>55</v>
      </c>
      <c r="V60" s="44">
        <v>25</v>
      </c>
      <c r="W60" s="45">
        <f t="shared" si="25"/>
        <v>285</v>
      </c>
      <c r="X60" s="19">
        <f t="shared" si="26"/>
        <v>47.5</v>
      </c>
      <c r="Y60" s="3">
        <v>35</v>
      </c>
      <c r="Z60" s="4">
        <v>70</v>
      </c>
      <c r="AA60" s="5">
        <v>55</v>
      </c>
      <c r="AB60" s="6">
        <v>45</v>
      </c>
      <c r="AC60" s="7">
        <v>55</v>
      </c>
      <c r="AD60" s="8">
        <v>25</v>
      </c>
      <c r="AE60" s="1">
        <v>285</v>
      </c>
      <c r="AF60" s="19">
        <v>47.5</v>
      </c>
      <c r="AG60" s="139">
        <v>35</v>
      </c>
      <c r="AH60" s="140">
        <v>70</v>
      </c>
      <c r="AI60" s="141">
        <v>55</v>
      </c>
      <c r="AJ60" s="142">
        <v>45</v>
      </c>
      <c r="AK60" s="143">
        <v>55</v>
      </c>
      <c r="AL60" s="144">
        <v>25</v>
      </c>
      <c r="AM60" s="138">
        <v>285</v>
      </c>
      <c r="AN60" s="153">
        <v>47.5</v>
      </c>
      <c r="AO60" s="139">
        <v>35</v>
      </c>
      <c r="AP60" s="140">
        <v>70</v>
      </c>
      <c r="AQ60" s="141">
        <v>55</v>
      </c>
      <c r="AR60" s="162">
        <v>55</v>
      </c>
      <c r="AS60" s="162">
        <v>55</v>
      </c>
      <c r="AT60" s="144">
        <v>25</v>
      </c>
      <c r="AU60" s="138">
        <f t="shared" si="15"/>
        <v>295</v>
      </c>
      <c r="AV60" s="153">
        <f t="shared" si="16"/>
        <v>49.166666666666664</v>
      </c>
      <c r="AW60" s="45"/>
      <c r="AX60" s="174" t="b">
        <f>IF('Refined Compare'!$D$2="All",TRUE,IF(F60='Refined Compare'!$D$2,TRUE,IF(G60='Refined Compare'!$D$2,TRUE,FALSE)))</f>
        <v>0</v>
      </c>
      <c r="AY60" s="174" t="b">
        <f>IF('Refined Compare'!$D$3="All",TRUE,IF(F60='Refined Compare'!$D$3,TRUE,IF(G60='Refined Compare'!$D$3,TRUE,FALSE)))</f>
        <v>0</v>
      </c>
      <c r="AZ60" s="174" t="b">
        <f t="shared" si="1"/>
        <v>1</v>
      </c>
    </row>
    <row r="61" spans="1:52" x14ac:dyDescent="0.35">
      <c r="A61">
        <f t="shared" si="4"/>
        <v>60</v>
      </c>
      <c r="B61" s="18">
        <v>47</v>
      </c>
      <c r="C61" s="61">
        <v>1</v>
      </c>
      <c r="D61" s="118" t="b">
        <v>1</v>
      </c>
      <c r="E61" s="61"/>
      <c r="F61" s="66" t="s">
        <v>811</v>
      </c>
      <c r="G61" s="66" t="s">
        <v>806</v>
      </c>
      <c r="H61" s="2" t="s">
        <v>54</v>
      </c>
      <c r="I61" s="39">
        <f t="shared" si="27"/>
        <v>60</v>
      </c>
      <c r="J61" s="40">
        <f t="shared" si="28"/>
        <v>95</v>
      </c>
      <c r="K61" s="41">
        <f t="shared" si="29"/>
        <v>80</v>
      </c>
      <c r="L61" s="42">
        <f t="shared" si="30"/>
        <v>60</v>
      </c>
      <c r="M61" s="43">
        <f t="shared" si="31"/>
        <v>80</v>
      </c>
      <c r="N61" s="44">
        <f t="shared" si="32"/>
        <v>30</v>
      </c>
      <c r="O61" s="45">
        <f t="shared" si="33"/>
        <v>405</v>
      </c>
      <c r="P61" s="19">
        <f t="shared" si="34"/>
        <v>67.5</v>
      </c>
      <c r="Q61" s="177">
        <v>60</v>
      </c>
      <c r="R61" s="40">
        <v>95</v>
      </c>
      <c r="S61" s="41">
        <v>80</v>
      </c>
      <c r="T61" s="42">
        <v>60</v>
      </c>
      <c r="U61" s="43">
        <v>80</v>
      </c>
      <c r="V61" s="44">
        <v>30</v>
      </c>
      <c r="W61" s="45">
        <f t="shared" si="25"/>
        <v>405</v>
      </c>
      <c r="X61" s="19">
        <f t="shared" si="26"/>
        <v>67.5</v>
      </c>
      <c r="Y61" s="3">
        <v>60</v>
      </c>
      <c r="Z61" s="4">
        <v>95</v>
      </c>
      <c r="AA61" s="5">
        <v>80</v>
      </c>
      <c r="AB61" s="6">
        <v>60</v>
      </c>
      <c r="AC61" s="7">
        <v>80</v>
      </c>
      <c r="AD61" s="8">
        <v>30</v>
      </c>
      <c r="AE61" s="1">
        <v>405</v>
      </c>
      <c r="AF61" s="19">
        <v>67.5</v>
      </c>
      <c r="AG61" s="139">
        <v>60</v>
      </c>
      <c r="AH61" s="140">
        <v>95</v>
      </c>
      <c r="AI61" s="141">
        <v>80</v>
      </c>
      <c r="AJ61" s="142">
        <v>60</v>
      </c>
      <c r="AK61" s="143">
        <v>80</v>
      </c>
      <c r="AL61" s="144">
        <v>30</v>
      </c>
      <c r="AM61" s="138">
        <v>405</v>
      </c>
      <c r="AN61" s="153">
        <v>67.5</v>
      </c>
      <c r="AO61" s="139">
        <v>60</v>
      </c>
      <c r="AP61" s="140">
        <v>95</v>
      </c>
      <c r="AQ61" s="141">
        <v>80</v>
      </c>
      <c r="AR61" s="162">
        <v>80</v>
      </c>
      <c r="AS61" s="162">
        <v>80</v>
      </c>
      <c r="AT61" s="144">
        <v>30</v>
      </c>
      <c r="AU61" s="138">
        <f t="shared" si="15"/>
        <v>425</v>
      </c>
      <c r="AV61" s="153">
        <f t="shared" si="16"/>
        <v>70.833333333333329</v>
      </c>
      <c r="AW61" s="45"/>
      <c r="AX61" s="174" t="b">
        <f>IF('Refined Compare'!$D$2="All",TRUE,IF(F61='Refined Compare'!$D$2,TRUE,IF(G61='Refined Compare'!$D$2,TRUE,FALSE)))</f>
        <v>0</v>
      </c>
      <c r="AY61" s="174" t="b">
        <f>IF('Refined Compare'!$D$3="All",TRUE,IF(F61='Refined Compare'!$D$3,TRUE,IF(G61='Refined Compare'!$D$3,TRUE,FALSE)))</f>
        <v>0</v>
      </c>
      <c r="AZ61" s="174" t="b">
        <f t="shared" si="1"/>
        <v>1</v>
      </c>
    </row>
    <row r="62" spans="1:52" x14ac:dyDescent="0.35">
      <c r="A62">
        <f t="shared" si="4"/>
        <v>61</v>
      </c>
      <c r="B62" s="18">
        <v>48</v>
      </c>
      <c r="C62" s="61">
        <v>1</v>
      </c>
      <c r="D62" s="61" t="b">
        <v>0</v>
      </c>
      <c r="E62" s="61"/>
      <c r="F62" s="66" t="s">
        <v>811</v>
      </c>
      <c r="G62" s="66" t="s">
        <v>807</v>
      </c>
      <c r="H62" s="2" t="s">
        <v>174</v>
      </c>
      <c r="I62" s="39">
        <f t="shared" si="27"/>
        <v>60</v>
      </c>
      <c r="J62" s="40">
        <f t="shared" si="28"/>
        <v>55</v>
      </c>
      <c r="K62" s="41">
        <f t="shared" si="29"/>
        <v>50</v>
      </c>
      <c r="L62" s="42">
        <f t="shared" si="30"/>
        <v>40</v>
      </c>
      <c r="M62" s="43">
        <f t="shared" si="31"/>
        <v>55</v>
      </c>
      <c r="N62" s="44">
        <f t="shared" si="32"/>
        <v>45</v>
      </c>
      <c r="O62" s="45">
        <f t="shared" si="33"/>
        <v>305</v>
      </c>
      <c r="P62" s="19">
        <f t="shared" si="34"/>
        <v>50.83</v>
      </c>
      <c r="Q62" s="177">
        <v>60</v>
      </c>
      <c r="R62" s="40">
        <v>55</v>
      </c>
      <c r="S62" s="41">
        <v>50</v>
      </c>
      <c r="T62" s="42">
        <v>40</v>
      </c>
      <c r="U62" s="43">
        <v>55</v>
      </c>
      <c r="V62" s="44">
        <v>45</v>
      </c>
      <c r="W62" s="45">
        <f t="shared" si="25"/>
        <v>305</v>
      </c>
      <c r="X62" s="19">
        <f t="shared" si="26"/>
        <v>50.83</v>
      </c>
      <c r="Y62" s="3">
        <v>60</v>
      </c>
      <c r="Z62" s="4">
        <v>55</v>
      </c>
      <c r="AA62" s="5">
        <v>50</v>
      </c>
      <c r="AB62" s="6">
        <v>40</v>
      </c>
      <c r="AC62" s="7">
        <v>55</v>
      </c>
      <c r="AD62" s="8">
        <v>45</v>
      </c>
      <c r="AE62" s="1">
        <v>305</v>
      </c>
      <c r="AF62" s="19">
        <v>50.83</v>
      </c>
      <c r="AG62" s="139">
        <v>60</v>
      </c>
      <c r="AH62" s="140">
        <v>55</v>
      </c>
      <c r="AI62" s="141">
        <v>50</v>
      </c>
      <c r="AJ62" s="142">
        <v>40</v>
      </c>
      <c r="AK62" s="143">
        <v>55</v>
      </c>
      <c r="AL62" s="144">
        <v>45</v>
      </c>
      <c r="AM62" s="138">
        <v>305</v>
      </c>
      <c r="AN62" s="153">
        <v>50.83</v>
      </c>
      <c r="AO62" s="139">
        <v>60</v>
      </c>
      <c r="AP62" s="140">
        <v>55</v>
      </c>
      <c r="AQ62" s="141">
        <v>50</v>
      </c>
      <c r="AR62" s="162">
        <v>40</v>
      </c>
      <c r="AS62" s="162">
        <v>40</v>
      </c>
      <c r="AT62" s="144">
        <v>45</v>
      </c>
      <c r="AU62" s="138">
        <f t="shared" si="15"/>
        <v>290</v>
      </c>
      <c r="AV62" s="153">
        <f t="shared" si="16"/>
        <v>48.333333333333336</v>
      </c>
      <c r="AW62" s="45"/>
      <c r="AX62" s="174" t="b">
        <f>IF('Refined Compare'!$D$2="All",TRUE,IF(F62='Refined Compare'!$D$2,TRUE,IF(G62='Refined Compare'!$D$2,TRUE,FALSE)))</f>
        <v>0</v>
      </c>
      <c r="AY62" s="174" t="b">
        <f>IF('Refined Compare'!$D$3="All",TRUE,IF(F62='Refined Compare'!$D$3,TRUE,IF(G62='Refined Compare'!$D$3,TRUE,FALSE)))</f>
        <v>0</v>
      </c>
      <c r="AZ62" s="174" t="b">
        <f t="shared" si="1"/>
        <v>1</v>
      </c>
    </row>
    <row r="63" spans="1:52" x14ac:dyDescent="0.35">
      <c r="A63">
        <f t="shared" si="4"/>
        <v>62</v>
      </c>
      <c r="B63" s="18">
        <v>49</v>
      </c>
      <c r="C63" s="61">
        <v>1</v>
      </c>
      <c r="D63" s="118" t="b">
        <v>1</v>
      </c>
      <c r="E63" s="61"/>
      <c r="F63" s="66" t="s">
        <v>811</v>
      </c>
      <c r="G63" s="66" t="s">
        <v>807</v>
      </c>
      <c r="H63" s="2" t="s">
        <v>576</v>
      </c>
      <c r="I63" s="39">
        <f t="shared" si="27"/>
        <v>70</v>
      </c>
      <c r="J63" s="40">
        <f t="shared" si="28"/>
        <v>65</v>
      </c>
      <c r="K63" s="41">
        <f t="shared" si="29"/>
        <v>60</v>
      </c>
      <c r="L63" s="42">
        <f t="shared" si="30"/>
        <v>90</v>
      </c>
      <c r="M63" s="43">
        <f t="shared" si="31"/>
        <v>75</v>
      </c>
      <c r="N63" s="44">
        <f t="shared" si="32"/>
        <v>90</v>
      </c>
      <c r="O63" s="45">
        <f t="shared" si="33"/>
        <v>450</v>
      </c>
      <c r="P63" s="19">
        <f t="shared" si="34"/>
        <v>75</v>
      </c>
      <c r="Q63" s="177">
        <v>70</v>
      </c>
      <c r="R63" s="40">
        <v>65</v>
      </c>
      <c r="S63" s="41">
        <v>60</v>
      </c>
      <c r="T63" s="42">
        <v>90</v>
      </c>
      <c r="U63" s="43">
        <v>75</v>
      </c>
      <c r="V63" s="44">
        <v>90</v>
      </c>
      <c r="W63" s="45">
        <f t="shared" si="25"/>
        <v>450</v>
      </c>
      <c r="X63" s="19">
        <f t="shared" si="26"/>
        <v>75</v>
      </c>
      <c r="Y63" s="3">
        <v>70</v>
      </c>
      <c r="Z63" s="4">
        <v>65</v>
      </c>
      <c r="AA63" s="5">
        <v>60</v>
      </c>
      <c r="AB63" s="6">
        <v>90</v>
      </c>
      <c r="AC63" s="7">
        <v>75</v>
      </c>
      <c r="AD63" s="8">
        <v>90</v>
      </c>
      <c r="AE63" s="1">
        <v>450</v>
      </c>
      <c r="AF63" s="19">
        <v>75</v>
      </c>
      <c r="AG63" s="139">
        <v>70</v>
      </c>
      <c r="AH63" s="140">
        <v>65</v>
      </c>
      <c r="AI63" s="141">
        <v>60</v>
      </c>
      <c r="AJ63" s="142">
        <v>90</v>
      </c>
      <c r="AK63" s="143">
        <v>75</v>
      </c>
      <c r="AL63" s="144">
        <v>90</v>
      </c>
      <c r="AM63" s="138">
        <v>450</v>
      </c>
      <c r="AN63" s="153">
        <v>75</v>
      </c>
      <c r="AO63" s="139">
        <v>70</v>
      </c>
      <c r="AP63" s="140">
        <v>65</v>
      </c>
      <c r="AQ63" s="141">
        <v>60</v>
      </c>
      <c r="AR63" s="162">
        <v>90</v>
      </c>
      <c r="AS63" s="162">
        <v>90</v>
      </c>
      <c r="AT63" s="144">
        <v>90</v>
      </c>
      <c r="AU63" s="138">
        <f t="shared" si="15"/>
        <v>465</v>
      </c>
      <c r="AV63" s="153">
        <f t="shared" si="16"/>
        <v>77.5</v>
      </c>
      <c r="AW63" s="45"/>
      <c r="AX63" s="174" t="b">
        <f>IF('Refined Compare'!$D$2="All",TRUE,IF(F63='Refined Compare'!$D$2,TRUE,IF(G63='Refined Compare'!$D$2,TRUE,FALSE)))</f>
        <v>0</v>
      </c>
      <c r="AY63" s="174" t="b">
        <f>IF('Refined Compare'!$D$3="All",TRUE,IF(F63='Refined Compare'!$D$3,TRUE,IF(G63='Refined Compare'!$D$3,TRUE,FALSE)))</f>
        <v>0</v>
      </c>
      <c r="AZ63" s="174" t="b">
        <f t="shared" si="1"/>
        <v>1</v>
      </c>
    </row>
    <row r="64" spans="1:52" x14ac:dyDescent="0.35">
      <c r="A64">
        <f t="shared" si="4"/>
        <v>63</v>
      </c>
      <c r="B64" s="18">
        <v>50</v>
      </c>
      <c r="C64" s="61">
        <v>1</v>
      </c>
      <c r="D64" s="61" t="b">
        <v>0</v>
      </c>
      <c r="E64" s="61"/>
      <c r="F64" s="66" t="s">
        <v>814</v>
      </c>
      <c r="G64" s="66" t="s">
        <v>827</v>
      </c>
      <c r="H64" s="2" t="s">
        <v>615</v>
      </c>
      <c r="I64" s="39">
        <f t="shared" si="27"/>
        <v>10</v>
      </c>
      <c r="J64" s="40">
        <f t="shared" si="28"/>
        <v>55</v>
      </c>
      <c r="K64" s="41">
        <f t="shared" si="29"/>
        <v>25</v>
      </c>
      <c r="L64" s="42">
        <f t="shared" si="30"/>
        <v>35</v>
      </c>
      <c r="M64" s="43">
        <f t="shared" si="31"/>
        <v>45</v>
      </c>
      <c r="N64" s="44">
        <f t="shared" si="32"/>
        <v>95</v>
      </c>
      <c r="O64" s="45">
        <f t="shared" si="33"/>
        <v>265</v>
      </c>
      <c r="P64" s="19">
        <f t="shared" si="34"/>
        <v>44.17</v>
      </c>
      <c r="Q64" s="177">
        <v>10</v>
      </c>
      <c r="R64" s="40">
        <v>55</v>
      </c>
      <c r="S64" s="41">
        <v>25</v>
      </c>
      <c r="T64" s="42">
        <v>35</v>
      </c>
      <c r="U64" s="43">
        <v>45</v>
      </c>
      <c r="V64" s="44">
        <v>95</v>
      </c>
      <c r="W64" s="45">
        <f t="shared" si="25"/>
        <v>265</v>
      </c>
      <c r="X64" s="19">
        <f t="shared" si="26"/>
        <v>44.17</v>
      </c>
      <c r="Y64" s="3">
        <v>10</v>
      </c>
      <c r="Z64" s="4">
        <v>55</v>
      </c>
      <c r="AA64" s="5">
        <v>25</v>
      </c>
      <c r="AB64" s="6">
        <v>35</v>
      </c>
      <c r="AC64" s="7">
        <v>45</v>
      </c>
      <c r="AD64" s="8">
        <v>95</v>
      </c>
      <c r="AE64" s="1">
        <v>265</v>
      </c>
      <c r="AF64" s="19">
        <v>44.17</v>
      </c>
      <c r="AG64" s="139">
        <v>10</v>
      </c>
      <c r="AH64" s="140">
        <v>55</v>
      </c>
      <c r="AI64" s="141">
        <v>25</v>
      </c>
      <c r="AJ64" s="142">
        <v>35</v>
      </c>
      <c r="AK64" s="143">
        <v>45</v>
      </c>
      <c r="AL64" s="144">
        <v>95</v>
      </c>
      <c r="AM64" s="138">
        <v>265</v>
      </c>
      <c r="AN64" s="153">
        <v>44.17</v>
      </c>
      <c r="AO64" s="139">
        <v>10</v>
      </c>
      <c r="AP64" s="140">
        <v>55</v>
      </c>
      <c r="AQ64" s="141">
        <v>25</v>
      </c>
      <c r="AR64" s="162">
        <v>45</v>
      </c>
      <c r="AS64" s="162">
        <v>45</v>
      </c>
      <c r="AT64" s="144">
        <v>95</v>
      </c>
      <c r="AU64" s="138">
        <f t="shared" si="15"/>
        <v>275</v>
      </c>
      <c r="AV64" s="153">
        <f t="shared" si="16"/>
        <v>45.833333333333336</v>
      </c>
      <c r="AW64" s="45"/>
      <c r="AX64" s="174" t="b">
        <f>IF('Refined Compare'!$D$2="All",TRUE,IF(F64='Refined Compare'!$D$2,TRUE,IF(G64='Refined Compare'!$D$2,TRUE,FALSE)))</f>
        <v>0</v>
      </c>
      <c r="AY64" s="174" t="b">
        <f>IF('Refined Compare'!$D$3="All",TRUE,IF(F64='Refined Compare'!$D$3,TRUE,IF(G64='Refined Compare'!$D$3,TRUE,FALSE)))</f>
        <v>1</v>
      </c>
      <c r="AZ64" s="174" t="b">
        <f t="shared" si="1"/>
        <v>1</v>
      </c>
    </row>
    <row r="65" spans="1:52" x14ac:dyDescent="0.35">
      <c r="A65">
        <f t="shared" si="4"/>
        <v>64</v>
      </c>
      <c r="B65" s="18">
        <v>50</v>
      </c>
      <c r="C65" s="61">
        <v>7</v>
      </c>
      <c r="D65" s="61"/>
      <c r="E65" s="61"/>
      <c r="F65" s="66" t="s">
        <v>814</v>
      </c>
      <c r="G65" s="66" t="s">
        <v>819</v>
      </c>
      <c r="H65" s="2" t="s">
        <v>968</v>
      </c>
      <c r="I65" s="39">
        <f t="shared" si="27"/>
        <v>0</v>
      </c>
      <c r="J65" s="40">
        <f t="shared" si="28"/>
        <v>0</v>
      </c>
      <c r="K65" s="41">
        <f t="shared" si="29"/>
        <v>0</v>
      </c>
      <c r="L65" s="42">
        <f t="shared" si="30"/>
        <v>0</v>
      </c>
      <c r="M65" s="43">
        <f t="shared" si="31"/>
        <v>0</v>
      </c>
      <c r="N65" s="44">
        <f t="shared" si="32"/>
        <v>0</v>
      </c>
      <c r="O65" s="45">
        <f t="shared" si="33"/>
        <v>0</v>
      </c>
      <c r="P65" s="19">
        <f t="shared" si="34"/>
        <v>0</v>
      </c>
      <c r="Q65" s="177">
        <v>10</v>
      </c>
      <c r="R65" s="40">
        <v>55</v>
      </c>
      <c r="S65" s="41">
        <v>30</v>
      </c>
      <c r="T65" s="42">
        <v>35</v>
      </c>
      <c r="U65" s="43">
        <v>45</v>
      </c>
      <c r="V65" s="44">
        <v>90</v>
      </c>
      <c r="W65" s="45">
        <f t="shared" si="25"/>
        <v>265</v>
      </c>
      <c r="X65" s="19">
        <f t="shared" si="26"/>
        <v>44.17</v>
      </c>
      <c r="Y65" s="3"/>
      <c r="Z65" s="4"/>
      <c r="AA65" s="5"/>
      <c r="AB65" s="6"/>
      <c r="AC65" s="7"/>
      <c r="AD65" s="8"/>
      <c r="AE65" s="1"/>
      <c r="AF65" s="19"/>
      <c r="AG65" s="139"/>
      <c r="AH65" s="140"/>
      <c r="AI65" s="141"/>
      <c r="AJ65" s="142"/>
      <c r="AK65" s="143"/>
      <c r="AL65" s="144"/>
      <c r="AM65" s="138"/>
      <c r="AN65" s="153"/>
      <c r="AO65" s="139"/>
      <c r="AP65" s="140"/>
      <c r="AQ65" s="141"/>
      <c r="AR65" s="162"/>
      <c r="AS65" s="162"/>
      <c r="AT65" s="144"/>
      <c r="AU65" s="138"/>
      <c r="AV65" s="153"/>
      <c r="AW65" s="45"/>
      <c r="AX65" s="174" t="b">
        <f>IF('Refined Compare'!$D$2="All",TRUE,IF(F65='Refined Compare'!$D$2,TRUE,IF(G65='Refined Compare'!$D$2,TRUE,FALSE)))</f>
        <v>0</v>
      </c>
      <c r="AY65" s="174" t="b">
        <f>IF('Refined Compare'!$D$3="All",TRUE,IF(F65='Refined Compare'!$D$3,TRUE,IF(G65='Refined Compare'!$D$3,TRUE,FALSE)))</f>
        <v>0</v>
      </c>
      <c r="AZ65" s="174" t="b">
        <f t="shared" si="1"/>
        <v>0</v>
      </c>
    </row>
    <row r="66" spans="1:52" x14ac:dyDescent="0.35">
      <c r="A66">
        <f t="shared" si="4"/>
        <v>65</v>
      </c>
      <c r="B66" s="18">
        <v>51</v>
      </c>
      <c r="C66" s="61">
        <v>1</v>
      </c>
      <c r="D66" s="118" t="b">
        <v>1</v>
      </c>
      <c r="E66" s="61"/>
      <c r="F66" s="66" t="s">
        <v>814</v>
      </c>
      <c r="G66" s="66" t="s">
        <v>827</v>
      </c>
      <c r="H66" s="2" t="s">
        <v>749</v>
      </c>
      <c r="I66" s="39">
        <f t="shared" si="27"/>
        <v>35</v>
      </c>
      <c r="J66" s="40">
        <f t="shared" si="28"/>
        <v>80</v>
      </c>
      <c r="K66" s="41">
        <f t="shared" si="29"/>
        <v>50</v>
      </c>
      <c r="L66" s="42">
        <f t="shared" si="30"/>
        <v>50</v>
      </c>
      <c r="M66" s="43">
        <f t="shared" si="31"/>
        <v>70</v>
      </c>
      <c r="N66" s="44">
        <f t="shared" si="32"/>
        <v>120</v>
      </c>
      <c r="O66" s="45">
        <f t="shared" si="33"/>
        <v>405</v>
      </c>
      <c r="P66" s="19">
        <f t="shared" si="34"/>
        <v>67.5</v>
      </c>
      <c r="Q66" s="177">
        <v>35</v>
      </c>
      <c r="R66" s="40">
        <v>100</v>
      </c>
      <c r="S66" s="41">
        <v>50</v>
      </c>
      <c r="T66" s="42">
        <v>50</v>
      </c>
      <c r="U66" s="43">
        <v>70</v>
      </c>
      <c r="V66" s="44">
        <v>120</v>
      </c>
      <c r="W66" s="45">
        <f t="shared" si="25"/>
        <v>425</v>
      </c>
      <c r="X66" s="19">
        <f t="shared" si="26"/>
        <v>70.83</v>
      </c>
      <c r="Y66" s="3">
        <v>35</v>
      </c>
      <c r="Z66" s="4">
        <v>80</v>
      </c>
      <c r="AA66" s="5">
        <v>50</v>
      </c>
      <c r="AB66" s="6">
        <v>50</v>
      </c>
      <c r="AC66" s="7">
        <v>70</v>
      </c>
      <c r="AD66" s="8">
        <v>120</v>
      </c>
      <c r="AE66" s="1">
        <v>405</v>
      </c>
      <c r="AF66" s="19">
        <v>67.5</v>
      </c>
      <c r="AG66" s="139">
        <v>35</v>
      </c>
      <c r="AH66" s="140">
        <v>80</v>
      </c>
      <c r="AI66" s="141">
        <v>50</v>
      </c>
      <c r="AJ66" s="142">
        <v>50</v>
      </c>
      <c r="AK66" s="143">
        <v>70</v>
      </c>
      <c r="AL66" s="144">
        <v>120</v>
      </c>
      <c r="AM66" s="138">
        <v>405</v>
      </c>
      <c r="AN66" s="153">
        <v>67.5</v>
      </c>
      <c r="AO66" s="139">
        <v>35</v>
      </c>
      <c r="AP66" s="140">
        <v>80</v>
      </c>
      <c r="AQ66" s="141">
        <v>50</v>
      </c>
      <c r="AR66" s="162">
        <v>70</v>
      </c>
      <c r="AS66" s="162">
        <v>70</v>
      </c>
      <c r="AT66" s="144">
        <v>120</v>
      </c>
      <c r="AU66" s="138">
        <f t="shared" si="15"/>
        <v>425</v>
      </c>
      <c r="AV66" s="153">
        <f t="shared" si="16"/>
        <v>70.833333333333329</v>
      </c>
      <c r="AW66" s="45"/>
      <c r="AX66" s="174" t="b">
        <f>IF('Refined Compare'!$D$2="All",TRUE,IF(F66='Refined Compare'!$D$2,TRUE,IF(G66='Refined Compare'!$D$2,TRUE,FALSE)))</f>
        <v>0</v>
      </c>
      <c r="AY66" s="174" t="b">
        <f>IF('Refined Compare'!$D$3="All",TRUE,IF(F66='Refined Compare'!$D$3,TRUE,IF(G66='Refined Compare'!$D$3,TRUE,FALSE)))</f>
        <v>1</v>
      </c>
      <c r="AZ66" s="174" t="b">
        <f t="shared" ref="AZ66:AZ129" si="35">IF(C66&lt;=$AW$2,TRUE,FALSE)</f>
        <v>1</v>
      </c>
    </row>
    <row r="67" spans="1:52" x14ac:dyDescent="0.35">
      <c r="A67">
        <f t="shared" si="4"/>
        <v>66</v>
      </c>
      <c r="B67" s="18">
        <v>51</v>
      </c>
      <c r="C67" s="61">
        <v>7</v>
      </c>
      <c r="D67" s="118" t="b">
        <v>1</v>
      </c>
      <c r="E67" s="61"/>
      <c r="F67" s="66" t="s">
        <v>814</v>
      </c>
      <c r="G67" s="66" t="s">
        <v>819</v>
      </c>
      <c r="H67" s="2" t="s">
        <v>969</v>
      </c>
      <c r="I67" s="39">
        <f t="shared" si="27"/>
        <v>0</v>
      </c>
      <c r="J67" s="40">
        <f t="shared" si="28"/>
        <v>0</v>
      </c>
      <c r="K67" s="41">
        <f t="shared" si="29"/>
        <v>0</v>
      </c>
      <c r="L67" s="42">
        <f t="shared" si="30"/>
        <v>0</v>
      </c>
      <c r="M67" s="43">
        <f t="shared" si="31"/>
        <v>0</v>
      </c>
      <c r="N67" s="44">
        <f t="shared" si="32"/>
        <v>0</v>
      </c>
      <c r="O67" s="45">
        <f t="shared" si="33"/>
        <v>0</v>
      </c>
      <c r="P67" s="19">
        <f t="shared" si="34"/>
        <v>0</v>
      </c>
      <c r="Q67" s="177">
        <v>35</v>
      </c>
      <c r="R67" s="40">
        <v>100</v>
      </c>
      <c r="S67" s="41">
        <v>60</v>
      </c>
      <c r="T67" s="42">
        <v>50</v>
      </c>
      <c r="U67" s="43">
        <v>70</v>
      </c>
      <c r="V67" s="44">
        <v>110</v>
      </c>
      <c r="W67" s="45">
        <f t="shared" si="25"/>
        <v>425</v>
      </c>
      <c r="X67" s="19">
        <f t="shared" si="26"/>
        <v>70.83</v>
      </c>
      <c r="Y67" s="3"/>
      <c r="Z67" s="4"/>
      <c r="AA67" s="5"/>
      <c r="AB67" s="6"/>
      <c r="AC67" s="7"/>
      <c r="AD67" s="8"/>
      <c r="AE67" s="1"/>
      <c r="AF67" s="19"/>
      <c r="AG67" s="139"/>
      <c r="AH67" s="140"/>
      <c r="AI67" s="141"/>
      <c r="AJ67" s="142"/>
      <c r="AK67" s="143"/>
      <c r="AL67" s="144"/>
      <c r="AM67" s="138"/>
      <c r="AN67" s="153"/>
      <c r="AO67" s="139"/>
      <c r="AP67" s="140"/>
      <c r="AQ67" s="141"/>
      <c r="AR67" s="162"/>
      <c r="AS67" s="162"/>
      <c r="AT67" s="144"/>
      <c r="AU67" s="138"/>
      <c r="AV67" s="153"/>
      <c r="AW67" s="45"/>
      <c r="AX67" s="174" t="b">
        <f>IF('Refined Compare'!$D$2="All",TRUE,IF(F67='Refined Compare'!$D$2,TRUE,IF(G67='Refined Compare'!$D$2,TRUE,FALSE)))</f>
        <v>0</v>
      </c>
      <c r="AY67" s="174" t="b">
        <f>IF('Refined Compare'!$D$3="All",TRUE,IF(F67='Refined Compare'!$D$3,TRUE,IF(G67='Refined Compare'!$D$3,TRUE,FALSE)))</f>
        <v>0</v>
      </c>
      <c r="AZ67" s="174" t="b">
        <f t="shared" si="35"/>
        <v>0</v>
      </c>
    </row>
    <row r="68" spans="1:52" x14ac:dyDescent="0.35">
      <c r="A68">
        <f t="shared" si="4"/>
        <v>67</v>
      </c>
      <c r="B68" s="18">
        <v>52</v>
      </c>
      <c r="C68" s="61">
        <v>1</v>
      </c>
      <c r="D68" s="61" t="b">
        <v>0</v>
      </c>
      <c r="E68" s="61"/>
      <c r="F68" s="66" t="s">
        <v>812</v>
      </c>
      <c r="G68" s="66" t="s">
        <v>827</v>
      </c>
      <c r="H68" s="2" t="s">
        <v>577</v>
      </c>
      <c r="I68" s="39">
        <f t="shared" si="27"/>
        <v>40</v>
      </c>
      <c r="J68" s="40">
        <f t="shared" si="28"/>
        <v>45</v>
      </c>
      <c r="K68" s="41">
        <f t="shared" si="29"/>
        <v>35</v>
      </c>
      <c r="L68" s="42">
        <f t="shared" si="30"/>
        <v>40</v>
      </c>
      <c r="M68" s="43">
        <f t="shared" si="31"/>
        <v>40</v>
      </c>
      <c r="N68" s="44">
        <f t="shared" si="32"/>
        <v>90</v>
      </c>
      <c r="O68" s="45">
        <f t="shared" si="33"/>
        <v>290</v>
      </c>
      <c r="P68" s="19">
        <f t="shared" si="34"/>
        <v>48.33</v>
      </c>
      <c r="Q68" s="177">
        <v>40</v>
      </c>
      <c r="R68" s="40">
        <v>45</v>
      </c>
      <c r="S68" s="41">
        <v>35</v>
      </c>
      <c r="T68" s="42">
        <v>40</v>
      </c>
      <c r="U68" s="43">
        <v>40</v>
      </c>
      <c r="V68" s="44">
        <v>90</v>
      </c>
      <c r="W68" s="45">
        <f t="shared" si="25"/>
        <v>290</v>
      </c>
      <c r="X68" s="19">
        <f t="shared" si="26"/>
        <v>48.33</v>
      </c>
      <c r="Y68" s="3">
        <v>40</v>
      </c>
      <c r="Z68" s="4">
        <v>45</v>
      </c>
      <c r="AA68" s="5">
        <v>35</v>
      </c>
      <c r="AB68" s="6">
        <v>40</v>
      </c>
      <c r="AC68" s="7">
        <v>40</v>
      </c>
      <c r="AD68" s="8">
        <v>90</v>
      </c>
      <c r="AE68" s="1">
        <v>290</v>
      </c>
      <c r="AF68" s="19">
        <v>48.33</v>
      </c>
      <c r="AG68" s="139">
        <v>40</v>
      </c>
      <c r="AH68" s="140">
        <v>45</v>
      </c>
      <c r="AI68" s="141">
        <v>35</v>
      </c>
      <c r="AJ68" s="142">
        <v>40</v>
      </c>
      <c r="AK68" s="143">
        <v>40</v>
      </c>
      <c r="AL68" s="144">
        <v>90</v>
      </c>
      <c r="AM68" s="138">
        <v>290</v>
      </c>
      <c r="AN68" s="153">
        <v>48.33</v>
      </c>
      <c r="AO68" s="139">
        <v>40</v>
      </c>
      <c r="AP68" s="140">
        <v>45</v>
      </c>
      <c r="AQ68" s="141">
        <v>35</v>
      </c>
      <c r="AR68" s="162">
        <v>40</v>
      </c>
      <c r="AS68" s="162">
        <v>40</v>
      </c>
      <c r="AT68" s="144">
        <v>90</v>
      </c>
      <c r="AU68" s="138">
        <f t="shared" si="15"/>
        <v>290</v>
      </c>
      <c r="AV68" s="153">
        <f t="shared" si="16"/>
        <v>48.333333333333336</v>
      </c>
      <c r="AW68" s="45"/>
      <c r="AX68" s="174" t="b">
        <f>IF('Refined Compare'!$D$2="All",TRUE,IF(F68='Refined Compare'!$D$2,TRUE,IF(G68='Refined Compare'!$D$2,TRUE,FALSE)))</f>
        <v>0</v>
      </c>
      <c r="AY68" s="174" t="b">
        <f>IF('Refined Compare'!$D$3="All",TRUE,IF(F68='Refined Compare'!$D$3,TRUE,IF(G68='Refined Compare'!$D$3,TRUE,FALSE)))</f>
        <v>1</v>
      </c>
      <c r="AZ68" s="174" t="b">
        <f t="shared" si="35"/>
        <v>1</v>
      </c>
    </row>
    <row r="69" spans="1:52" x14ac:dyDescent="0.35">
      <c r="A69">
        <f t="shared" si="4"/>
        <v>68</v>
      </c>
      <c r="B69" s="18">
        <v>52</v>
      </c>
      <c r="C69" s="61">
        <v>7</v>
      </c>
      <c r="D69" s="118"/>
      <c r="E69" s="61"/>
      <c r="F69" s="66" t="s">
        <v>823</v>
      </c>
      <c r="G69" s="66" t="s">
        <v>827</v>
      </c>
      <c r="H69" s="2" t="s">
        <v>970</v>
      </c>
      <c r="I69" s="39">
        <f t="shared" si="27"/>
        <v>0</v>
      </c>
      <c r="J69" s="40">
        <f t="shared" si="28"/>
        <v>0</v>
      </c>
      <c r="K69" s="41">
        <f t="shared" si="29"/>
        <v>0</v>
      </c>
      <c r="L69" s="42">
        <f t="shared" si="30"/>
        <v>0</v>
      </c>
      <c r="M69" s="43">
        <f t="shared" si="31"/>
        <v>0</v>
      </c>
      <c r="N69" s="44">
        <f t="shared" si="32"/>
        <v>0</v>
      </c>
      <c r="O69" s="45">
        <f t="shared" si="33"/>
        <v>0</v>
      </c>
      <c r="P69" s="19">
        <f t="shared" si="34"/>
        <v>0</v>
      </c>
      <c r="Q69" s="177">
        <v>40</v>
      </c>
      <c r="R69" s="40">
        <v>35</v>
      </c>
      <c r="S69" s="41">
        <v>35</v>
      </c>
      <c r="T69" s="42">
        <v>50</v>
      </c>
      <c r="U69" s="43">
        <v>40</v>
      </c>
      <c r="V69" s="44">
        <v>90</v>
      </c>
      <c r="W69" s="45">
        <f t="shared" si="25"/>
        <v>290</v>
      </c>
      <c r="X69" s="19">
        <f t="shared" si="26"/>
        <v>48.33</v>
      </c>
      <c r="Y69" s="3"/>
      <c r="Z69" s="4"/>
      <c r="AA69" s="5"/>
      <c r="AB69" s="6"/>
      <c r="AC69" s="7"/>
      <c r="AD69" s="8"/>
      <c r="AE69" s="1"/>
      <c r="AF69" s="19"/>
      <c r="AG69" s="139"/>
      <c r="AH69" s="140"/>
      <c r="AI69" s="141"/>
      <c r="AJ69" s="142"/>
      <c r="AK69" s="143"/>
      <c r="AL69" s="144"/>
      <c r="AM69" s="138"/>
      <c r="AN69" s="153"/>
      <c r="AO69" s="139"/>
      <c r="AP69" s="140"/>
      <c r="AQ69" s="141"/>
      <c r="AR69" s="162"/>
      <c r="AS69" s="162"/>
      <c r="AT69" s="144"/>
      <c r="AU69" s="138"/>
      <c r="AV69" s="153"/>
      <c r="AW69" s="45"/>
      <c r="AX69" s="174" t="b">
        <f>IF('Refined Compare'!$D$2="All",TRUE,IF(F69='Refined Compare'!$D$2,TRUE,IF(G69='Refined Compare'!$D$2,TRUE,FALSE)))</f>
        <v>1</v>
      </c>
      <c r="AY69" s="174" t="b">
        <f>IF('Refined Compare'!$D$3="All",TRUE,IF(F69='Refined Compare'!$D$3,TRUE,IF(G69='Refined Compare'!$D$3,TRUE,FALSE)))</f>
        <v>1</v>
      </c>
      <c r="AZ69" s="174" t="b">
        <f t="shared" si="35"/>
        <v>0</v>
      </c>
    </row>
    <row r="70" spans="1:52" x14ac:dyDescent="0.35">
      <c r="A70">
        <f t="shared" si="4"/>
        <v>69</v>
      </c>
      <c r="B70" s="18">
        <v>53</v>
      </c>
      <c r="C70" s="61">
        <v>1</v>
      </c>
      <c r="D70" s="118" t="b">
        <v>1</v>
      </c>
      <c r="E70" s="61"/>
      <c r="F70" s="66" t="s">
        <v>812</v>
      </c>
      <c r="G70" s="66" t="s">
        <v>827</v>
      </c>
      <c r="H70" s="2" t="s">
        <v>735</v>
      </c>
      <c r="I70" s="39">
        <f t="shared" si="27"/>
        <v>65</v>
      </c>
      <c r="J70" s="40">
        <f t="shared" si="28"/>
        <v>70</v>
      </c>
      <c r="K70" s="41">
        <f t="shared" si="29"/>
        <v>60</v>
      </c>
      <c r="L70" s="42">
        <f t="shared" si="30"/>
        <v>65</v>
      </c>
      <c r="M70" s="43">
        <f t="shared" si="31"/>
        <v>65</v>
      </c>
      <c r="N70" s="44">
        <f t="shared" si="32"/>
        <v>115</v>
      </c>
      <c r="O70" s="45">
        <f t="shared" si="33"/>
        <v>440</v>
      </c>
      <c r="P70" s="19">
        <f t="shared" si="34"/>
        <v>73.33</v>
      </c>
      <c r="Q70" s="177">
        <v>65</v>
      </c>
      <c r="R70" s="40">
        <v>70</v>
      </c>
      <c r="S70" s="41">
        <v>60</v>
      </c>
      <c r="T70" s="42">
        <v>65</v>
      </c>
      <c r="U70" s="43">
        <v>65</v>
      </c>
      <c r="V70" s="44">
        <v>115</v>
      </c>
      <c r="W70" s="45">
        <f t="shared" si="25"/>
        <v>440</v>
      </c>
      <c r="X70" s="19">
        <f t="shared" si="26"/>
        <v>73.33</v>
      </c>
      <c r="Y70" s="3">
        <v>65</v>
      </c>
      <c r="Z70" s="4">
        <v>70</v>
      </c>
      <c r="AA70" s="5">
        <v>60</v>
      </c>
      <c r="AB70" s="6">
        <v>65</v>
      </c>
      <c r="AC70" s="7">
        <v>65</v>
      </c>
      <c r="AD70" s="8">
        <v>115</v>
      </c>
      <c r="AE70" s="1">
        <v>440</v>
      </c>
      <c r="AF70" s="19">
        <v>73.33</v>
      </c>
      <c r="AG70" s="139">
        <v>65</v>
      </c>
      <c r="AH70" s="140">
        <v>70</v>
      </c>
      <c r="AI70" s="141">
        <v>60</v>
      </c>
      <c r="AJ70" s="142">
        <v>65</v>
      </c>
      <c r="AK70" s="143">
        <v>65</v>
      </c>
      <c r="AL70" s="144">
        <v>115</v>
      </c>
      <c r="AM70" s="138">
        <v>440</v>
      </c>
      <c r="AN70" s="153">
        <v>73.33</v>
      </c>
      <c r="AO70" s="139">
        <v>65</v>
      </c>
      <c r="AP70" s="140">
        <v>70</v>
      </c>
      <c r="AQ70" s="141">
        <v>60</v>
      </c>
      <c r="AR70" s="162">
        <v>65</v>
      </c>
      <c r="AS70" s="162">
        <v>65</v>
      </c>
      <c r="AT70" s="144">
        <v>115</v>
      </c>
      <c r="AU70" s="138">
        <f t="shared" si="15"/>
        <v>440</v>
      </c>
      <c r="AV70" s="153">
        <f t="shared" si="16"/>
        <v>73.333333333333329</v>
      </c>
      <c r="AW70" s="45"/>
      <c r="AX70" s="174" t="b">
        <f>IF('Refined Compare'!$D$2="All",TRUE,IF(F70='Refined Compare'!$D$2,TRUE,IF(G70='Refined Compare'!$D$2,TRUE,FALSE)))</f>
        <v>0</v>
      </c>
      <c r="AY70" s="174" t="b">
        <f>IF('Refined Compare'!$D$3="All",TRUE,IF(F70='Refined Compare'!$D$3,TRUE,IF(G70='Refined Compare'!$D$3,TRUE,FALSE)))</f>
        <v>1</v>
      </c>
      <c r="AZ70" s="174" t="b">
        <f t="shared" si="35"/>
        <v>1</v>
      </c>
    </row>
    <row r="71" spans="1:52" x14ac:dyDescent="0.35">
      <c r="A71">
        <f t="shared" si="4"/>
        <v>70</v>
      </c>
      <c r="B71" s="18">
        <v>53</v>
      </c>
      <c r="C71" s="61">
        <v>7</v>
      </c>
      <c r="D71" s="118" t="b">
        <v>1</v>
      </c>
      <c r="E71" s="61"/>
      <c r="F71" s="66" t="s">
        <v>823</v>
      </c>
      <c r="G71" s="66" t="s">
        <v>827</v>
      </c>
      <c r="H71" s="2" t="s">
        <v>971</v>
      </c>
      <c r="I71" s="39">
        <f t="shared" si="27"/>
        <v>0</v>
      </c>
      <c r="J71" s="40">
        <f t="shared" si="28"/>
        <v>0</v>
      </c>
      <c r="K71" s="41">
        <f t="shared" si="29"/>
        <v>0</v>
      </c>
      <c r="L71" s="42">
        <f t="shared" si="30"/>
        <v>0</v>
      </c>
      <c r="M71" s="43">
        <f t="shared" si="31"/>
        <v>0</v>
      </c>
      <c r="N71" s="44">
        <f t="shared" si="32"/>
        <v>0</v>
      </c>
      <c r="O71" s="45">
        <f t="shared" si="33"/>
        <v>0</v>
      </c>
      <c r="P71" s="19">
        <f t="shared" si="34"/>
        <v>0</v>
      </c>
      <c r="Q71" s="177">
        <v>65</v>
      </c>
      <c r="R71" s="40">
        <v>60</v>
      </c>
      <c r="S71" s="41">
        <v>60</v>
      </c>
      <c r="T71" s="42">
        <v>75</v>
      </c>
      <c r="U71" s="43">
        <v>65</v>
      </c>
      <c r="V71" s="44">
        <v>115</v>
      </c>
      <c r="W71" s="45">
        <f t="shared" si="25"/>
        <v>440</v>
      </c>
      <c r="X71" s="19">
        <f t="shared" si="26"/>
        <v>73.33</v>
      </c>
      <c r="Y71" s="3"/>
      <c r="Z71" s="4"/>
      <c r="AA71" s="5"/>
      <c r="AB71" s="6"/>
      <c r="AC71" s="7"/>
      <c r="AD71" s="8"/>
      <c r="AE71" s="1"/>
      <c r="AF71" s="19"/>
      <c r="AG71" s="139"/>
      <c r="AH71" s="140"/>
      <c r="AI71" s="141"/>
      <c r="AJ71" s="142"/>
      <c r="AK71" s="143"/>
      <c r="AL71" s="144"/>
      <c r="AM71" s="138"/>
      <c r="AN71" s="153"/>
      <c r="AO71" s="139"/>
      <c r="AP71" s="140"/>
      <c r="AQ71" s="141"/>
      <c r="AR71" s="162"/>
      <c r="AS71" s="162"/>
      <c r="AT71" s="144"/>
      <c r="AU71" s="138"/>
      <c r="AV71" s="153"/>
      <c r="AW71" s="45"/>
      <c r="AX71" s="174" t="b">
        <f>IF('Refined Compare'!$D$2="All",TRUE,IF(F71='Refined Compare'!$D$2,TRUE,IF(G71='Refined Compare'!$D$2,TRUE,FALSE)))</f>
        <v>1</v>
      </c>
      <c r="AY71" s="174" t="b">
        <f>IF('Refined Compare'!$D$3="All",TRUE,IF(F71='Refined Compare'!$D$3,TRUE,IF(G71='Refined Compare'!$D$3,TRUE,FALSE)))</f>
        <v>1</v>
      </c>
      <c r="AZ71" s="174" t="b">
        <f t="shared" si="35"/>
        <v>0</v>
      </c>
    </row>
    <row r="72" spans="1:52" x14ac:dyDescent="0.35">
      <c r="A72">
        <f t="shared" si="4"/>
        <v>71</v>
      </c>
      <c r="B72" s="18">
        <v>54</v>
      </c>
      <c r="C72" s="61">
        <v>1</v>
      </c>
      <c r="D72" s="61" t="b">
        <v>0</v>
      </c>
      <c r="E72" s="61"/>
      <c r="F72" s="66" t="s">
        <v>810</v>
      </c>
      <c r="G72" s="66" t="s">
        <v>827</v>
      </c>
      <c r="H72" s="2" t="s">
        <v>266</v>
      </c>
      <c r="I72" s="39">
        <f t="shared" si="27"/>
        <v>50</v>
      </c>
      <c r="J72" s="40">
        <f t="shared" si="28"/>
        <v>52</v>
      </c>
      <c r="K72" s="41">
        <f t="shared" si="29"/>
        <v>48</v>
      </c>
      <c r="L72" s="42">
        <f t="shared" si="30"/>
        <v>65</v>
      </c>
      <c r="M72" s="43">
        <f t="shared" si="31"/>
        <v>50</v>
      </c>
      <c r="N72" s="44">
        <f t="shared" si="32"/>
        <v>55</v>
      </c>
      <c r="O72" s="45">
        <f t="shared" si="33"/>
        <v>320</v>
      </c>
      <c r="P72" s="19">
        <f t="shared" si="34"/>
        <v>53.33</v>
      </c>
      <c r="Q72" s="177">
        <v>50</v>
      </c>
      <c r="R72" s="40">
        <v>52</v>
      </c>
      <c r="S72" s="41">
        <v>48</v>
      </c>
      <c r="T72" s="42">
        <v>65</v>
      </c>
      <c r="U72" s="43">
        <v>50</v>
      </c>
      <c r="V72" s="44">
        <v>55</v>
      </c>
      <c r="W72" s="45">
        <f t="shared" si="25"/>
        <v>320</v>
      </c>
      <c r="X72" s="19">
        <f t="shared" si="26"/>
        <v>53.33</v>
      </c>
      <c r="Y72" s="3">
        <v>50</v>
      </c>
      <c r="Z72" s="4">
        <v>52</v>
      </c>
      <c r="AA72" s="5">
        <v>48</v>
      </c>
      <c r="AB72" s="6">
        <v>65</v>
      </c>
      <c r="AC72" s="7">
        <v>50</v>
      </c>
      <c r="AD72" s="8">
        <v>55</v>
      </c>
      <c r="AE72" s="1">
        <v>320</v>
      </c>
      <c r="AF72" s="19">
        <v>53.33</v>
      </c>
      <c r="AG72" s="139">
        <v>50</v>
      </c>
      <c r="AH72" s="140">
        <v>52</v>
      </c>
      <c r="AI72" s="141">
        <v>48</v>
      </c>
      <c r="AJ72" s="142">
        <v>65</v>
      </c>
      <c r="AK72" s="143">
        <v>50</v>
      </c>
      <c r="AL72" s="144">
        <v>55</v>
      </c>
      <c r="AM72" s="138">
        <v>320</v>
      </c>
      <c r="AN72" s="153">
        <v>53.33</v>
      </c>
      <c r="AO72" s="139">
        <v>50</v>
      </c>
      <c r="AP72" s="140">
        <v>52</v>
      </c>
      <c r="AQ72" s="141">
        <v>48</v>
      </c>
      <c r="AR72" s="162">
        <v>50</v>
      </c>
      <c r="AS72" s="162">
        <v>50</v>
      </c>
      <c r="AT72" s="144">
        <v>55</v>
      </c>
      <c r="AU72" s="138">
        <f t="shared" si="15"/>
        <v>305</v>
      </c>
      <c r="AV72" s="153">
        <f t="shared" si="16"/>
        <v>50.833333333333336</v>
      </c>
      <c r="AW72" s="45"/>
      <c r="AX72" s="174" t="b">
        <f>IF('Refined Compare'!$D$2="All",TRUE,IF(F72='Refined Compare'!$D$2,TRUE,IF(G72='Refined Compare'!$D$2,TRUE,FALSE)))</f>
        <v>0</v>
      </c>
      <c r="AY72" s="174" t="b">
        <f>IF('Refined Compare'!$D$3="All",TRUE,IF(F72='Refined Compare'!$D$3,TRUE,IF(G72='Refined Compare'!$D$3,TRUE,FALSE)))</f>
        <v>1</v>
      </c>
      <c r="AZ72" s="174" t="b">
        <f t="shared" si="35"/>
        <v>1</v>
      </c>
    </row>
    <row r="73" spans="1:52" x14ac:dyDescent="0.35">
      <c r="A73">
        <f t="shared" si="4"/>
        <v>72</v>
      </c>
      <c r="B73" s="18">
        <v>55</v>
      </c>
      <c r="C73" s="61">
        <v>1</v>
      </c>
      <c r="D73" s="118" t="b">
        <v>1</v>
      </c>
      <c r="E73" s="61"/>
      <c r="F73" s="66" t="s">
        <v>810</v>
      </c>
      <c r="G73" s="66" t="s">
        <v>827</v>
      </c>
      <c r="H73" s="2" t="s">
        <v>540</v>
      </c>
      <c r="I73" s="39">
        <f t="shared" si="27"/>
        <v>80</v>
      </c>
      <c r="J73" s="40">
        <f t="shared" si="28"/>
        <v>82</v>
      </c>
      <c r="K73" s="41">
        <f t="shared" si="29"/>
        <v>78</v>
      </c>
      <c r="L73" s="42">
        <f t="shared" si="30"/>
        <v>95</v>
      </c>
      <c r="M73" s="43">
        <f t="shared" si="31"/>
        <v>80</v>
      </c>
      <c r="N73" s="44">
        <f t="shared" si="32"/>
        <v>85</v>
      </c>
      <c r="O73" s="45">
        <f t="shared" si="33"/>
        <v>500</v>
      </c>
      <c r="P73" s="19">
        <f t="shared" si="34"/>
        <v>83.33</v>
      </c>
      <c r="Q73" s="177">
        <v>80</v>
      </c>
      <c r="R73" s="40">
        <v>82</v>
      </c>
      <c r="S73" s="41">
        <v>78</v>
      </c>
      <c r="T73" s="42">
        <v>95</v>
      </c>
      <c r="U73" s="43">
        <v>80</v>
      </c>
      <c r="V73" s="44">
        <v>85</v>
      </c>
      <c r="W73" s="45">
        <f t="shared" si="25"/>
        <v>500</v>
      </c>
      <c r="X73" s="19">
        <f t="shared" si="26"/>
        <v>83.33</v>
      </c>
      <c r="Y73" s="3">
        <v>80</v>
      </c>
      <c r="Z73" s="4">
        <v>82</v>
      </c>
      <c r="AA73" s="5">
        <v>78</v>
      </c>
      <c r="AB73" s="6">
        <v>95</v>
      </c>
      <c r="AC73" s="7">
        <v>80</v>
      </c>
      <c r="AD73" s="8">
        <v>85</v>
      </c>
      <c r="AE73" s="1">
        <v>500</v>
      </c>
      <c r="AF73" s="19">
        <v>83.33</v>
      </c>
      <c r="AG73" s="139">
        <v>80</v>
      </c>
      <c r="AH73" s="140">
        <v>82</v>
      </c>
      <c r="AI73" s="141">
        <v>78</v>
      </c>
      <c r="AJ73" s="142">
        <v>95</v>
      </c>
      <c r="AK73" s="143">
        <v>80</v>
      </c>
      <c r="AL73" s="144">
        <v>85</v>
      </c>
      <c r="AM73" s="138">
        <v>500</v>
      </c>
      <c r="AN73" s="153">
        <v>83.33</v>
      </c>
      <c r="AO73" s="139">
        <v>80</v>
      </c>
      <c r="AP73" s="140">
        <v>82</v>
      </c>
      <c r="AQ73" s="141">
        <v>78</v>
      </c>
      <c r="AR73" s="162">
        <v>80</v>
      </c>
      <c r="AS73" s="162">
        <v>80</v>
      </c>
      <c r="AT73" s="144">
        <v>85</v>
      </c>
      <c r="AU73" s="138">
        <f t="shared" si="15"/>
        <v>485</v>
      </c>
      <c r="AV73" s="153">
        <f t="shared" si="16"/>
        <v>80.833333333333329</v>
      </c>
      <c r="AW73" s="45"/>
      <c r="AX73" s="174" t="b">
        <f>IF('Refined Compare'!$D$2="All",TRUE,IF(F73='Refined Compare'!$D$2,TRUE,IF(G73='Refined Compare'!$D$2,TRUE,FALSE)))</f>
        <v>0</v>
      </c>
      <c r="AY73" s="174" t="b">
        <f>IF('Refined Compare'!$D$3="All",TRUE,IF(F73='Refined Compare'!$D$3,TRUE,IF(G73='Refined Compare'!$D$3,TRUE,FALSE)))</f>
        <v>1</v>
      </c>
      <c r="AZ73" s="174" t="b">
        <f t="shared" si="35"/>
        <v>1</v>
      </c>
    </row>
    <row r="74" spans="1:52" x14ac:dyDescent="0.35">
      <c r="A74">
        <f t="shared" si="4"/>
        <v>73</v>
      </c>
      <c r="B74" s="18">
        <v>56</v>
      </c>
      <c r="C74" s="61">
        <v>1</v>
      </c>
      <c r="D74" s="61" t="b">
        <v>0</v>
      </c>
      <c r="E74" s="61"/>
      <c r="F74" s="66" t="s">
        <v>816</v>
      </c>
      <c r="G74" s="66" t="s">
        <v>827</v>
      </c>
      <c r="H74" s="2" t="s">
        <v>420</v>
      </c>
      <c r="I74" s="39">
        <f t="shared" si="27"/>
        <v>40</v>
      </c>
      <c r="J74" s="40">
        <f t="shared" si="28"/>
        <v>80</v>
      </c>
      <c r="K74" s="41">
        <f t="shared" si="29"/>
        <v>35</v>
      </c>
      <c r="L74" s="42">
        <f t="shared" si="30"/>
        <v>35</v>
      </c>
      <c r="M74" s="43">
        <f t="shared" si="31"/>
        <v>45</v>
      </c>
      <c r="N74" s="44">
        <f t="shared" si="32"/>
        <v>70</v>
      </c>
      <c r="O74" s="45">
        <f t="shared" si="33"/>
        <v>305</v>
      </c>
      <c r="P74" s="19">
        <f t="shared" si="34"/>
        <v>50.83</v>
      </c>
      <c r="Q74" s="177">
        <v>40</v>
      </c>
      <c r="R74" s="40">
        <v>80</v>
      </c>
      <c r="S74" s="41">
        <v>35</v>
      </c>
      <c r="T74" s="42">
        <v>35</v>
      </c>
      <c r="U74" s="43">
        <v>45</v>
      </c>
      <c r="V74" s="44">
        <v>70</v>
      </c>
      <c r="W74" s="45">
        <f t="shared" si="25"/>
        <v>305</v>
      </c>
      <c r="X74" s="19">
        <f t="shared" si="26"/>
        <v>50.83</v>
      </c>
      <c r="Y74" s="3">
        <v>40</v>
      </c>
      <c r="Z74" s="4">
        <v>80</v>
      </c>
      <c r="AA74" s="5">
        <v>35</v>
      </c>
      <c r="AB74" s="6">
        <v>35</v>
      </c>
      <c r="AC74" s="7">
        <v>45</v>
      </c>
      <c r="AD74" s="8">
        <v>70</v>
      </c>
      <c r="AE74" s="1">
        <v>305</v>
      </c>
      <c r="AF74" s="19">
        <v>50.83</v>
      </c>
      <c r="AG74" s="139">
        <v>40</v>
      </c>
      <c r="AH74" s="140">
        <v>80</v>
      </c>
      <c r="AI74" s="141">
        <v>35</v>
      </c>
      <c r="AJ74" s="142">
        <v>35</v>
      </c>
      <c r="AK74" s="143">
        <v>45</v>
      </c>
      <c r="AL74" s="144">
        <v>70</v>
      </c>
      <c r="AM74" s="138">
        <v>305</v>
      </c>
      <c r="AN74" s="153">
        <v>50.83</v>
      </c>
      <c r="AO74" s="139">
        <v>40</v>
      </c>
      <c r="AP74" s="140">
        <v>80</v>
      </c>
      <c r="AQ74" s="141">
        <v>35</v>
      </c>
      <c r="AR74" s="162">
        <v>35</v>
      </c>
      <c r="AS74" s="162">
        <v>35</v>
      </c>
      <c r="AT74" s="144">
        <v>70</v>
      </c>
      <c r="AU74" s="138">
        <f t="shared" si="15"/>
        <v>295</v>
      </c>
      <c r="AV74" s="153">
        <f t="shared" si="16"/>
        <v>49.166666666666664</v>
      </c>
      <c r="AW74" s="45"/>
      <c r="AX74" s="174" t="b">
        <f>IF('Refined Compare'!$D$2="All",TRUE,IF(F74='Refined Compare'!$D$2,TRUE,IF(G74='Refined Compare'!$D$2,TRUE,FALSE)))</f>
        <v>0</v>
      </c>
      <c r="AY74" s="174" t="b">
        <f>IF('Refined Compare'!$D$3="All",TRUE,IF(F74='Refined Compare'!$D$3,TRUE,IF(G74='Refined Compare'!$D$3,TRUE,FALSE)))</f>
        <v>1</v>
      </c>
      <c r="AZ74" s="174" t="b">
        <f t="shared" si="35"/>
        <v>1</v>
      </c>
    </row>
    <row r="75" spans="1:52" x14ac:dyDescent="0.35">
      <c r="A75">
        <f t="shared" si="4"/>
        <v>74</v>
      </c>
      <c r="B75" s="18">
        <v>57</v>
      </c>
      <c r="C75" s="61">
        <v>1</v>
      </c>
      <c r="D75" s="118" t="b">
        <v>1</v>
      </c>
      <c r="E75" s="61"/>
      <c r="F75" s="66" t="s">
        <v>816</v>
      </c>
      <c r="G75" s="66" t="s">
        <v>827</v>
      </c>
      <c r="H75" s="2" t="s">
        <v>616</v>
      </c>
      <c r="I75" s="39">
        <f t="shared" si="27"/>
        <v>65</v>
      </c>
      <c r="J75" s="40">
        <f t="shared" si="28"/>
        <v>105</v>
      </c>
      <c r="K75" s="41">
        <f t="shared" si="29"/>
        <v>60</v>
      </c>
      <c r="L75" s="42">
        <f t="shared" si="30"/>
        <v>60</v>
      </c>
      <c r="M75" s="43">
        <f t="shared" si="31"/>
        <v>70</v>
      </c>
      <c r="N75" s="44">
        <f t="shared" si="32"/>
        <v>95</v>
      </c>
      <c r="O75" s="45">
        <f t="shared" si="33"/>
        <v>455</v>
      </c>
      <c r="P75" s="19">
        <f t="shared" si="34"/>
        <v>75.83</v>
      </c>
      <c r="Q75" s="177">
        <v>65</v>
      </c>
      <c r="R75" s="40">
        <v>105</v>
      </c>
      <c r="S75" s="41">
        <v>60</v>
      </c>
      <c r="T75" s="42">
        <v>60</v>
      </c>
      <c r="U75" s="43">
        <v>70</v>
      </c>
      <c r="V75" s="44">
        <v>95</v>
      </c>
      <c r="W75" s="45">
        <f t="shared" si="25"/>
        <v>455</v>
      </c>
      <c r="X75" s="19">
        <f t="shared" si="26"/>
        <v>75.83</v>
      </c>
      <c r="Y75" s="3">
        <v>65</v>
      </c>
      <c r="Z75" s="4">
        <v>105</v>
      </c>
      <c r="AA75" s="5">
        <v>60</v>
      </c>
      <c r="AB75" s="6">
        <v>60</v>
      </c>
      <c r="AC75" s="7">
        <v>70</v>
      </c>
      <c r="AD75" s="8">
        <v>95</v>
      </c>
      <c r="AE75" s="1">
        <v>455</v>
      </c>
      <c r="AF75" s="19">
        <v>75.83</v>
      </c>
      <c r="AG75" s="139">
        <v>65</v>
      </c>
      <c r="AH75" s="140">
        <v>105</v>
      </c>
      <c r="AI75" s="141">
        <v>60</v>
      </c>
      <c r="AJ75" s="142">
        <v>60</v>
      </c>
      <c r="AK75" s="143">
        <v>70</v>
      </c>
      <c r="AL75" s="144">
        <v>95</v>
      </c>
      <c r="AM75" s="138">
        <v>455</v>
      </c>
      <c r="AN75" s="153">
        <v>75.83</v>
      </c>
      <c r="AO75" s="139">
        <v>65</v>
      </c>
      <c r="AP75" s="140">
        <v>105</v>
      </c>
      <c r="AQ75" s="141">
        <v>60</v>
      </c>
      <c r="AR75" s="162">
        <v>60</v>
      </c>
      <c r="AS75" s="162">
        <v>60</v>
      </c>
      <c r="AT75" s="144">
        <v>95</v>
      </c>
      <c r="AU75" s="138">
        <f t="shared" si="15"/>
        <v>445</v>
      </c>
      <c r="AV75" s="153">
        <f t="shared" si="16"/>
        <v>74.166666666666671</v>
      </c>
      <c r="AW75" s="45"/>
      <c r="AX75" s="174" t="b">
        <f>IF('Refined Compare'!$D$2="All",TRUE,IF(F75='Refined Compare'!$D$2,TRUE,IF(G75='Refined Compare'!$D$2,TRUE,FALSE)))</f>
        <v>0</v>
      </c>
      <c r="AY75" s="174" t="b">
        <f>IF('Refined Compare'!$D$3="All",TRUE,IF(F75='Refined Compare'!$D$3,TRUE,IF(G75='Refined Compare'!$D$3,TRUE,FALSE)))</f>
        <v>1</v>
      </c>
      <c r="AZ75" s="174" t="b">
        <f t="shared" si="35"/>
        <v>1</v>
      </c>
    </row>
    <row r="76" spans="1:52" x14ac:dyDescent="0.35">
      <c r="A76">
        <f t="shared" si="4"/>
        <v>75</v>
      </c>
      <c r="B76" s="18">
        <v>58</v>
      </c>
      <c r="C76" s="61">
        <v>1</v>
      </c>
      <c r="D76" s="61" t="b">
        <v>0</v>
      </c>
      <c r="E76" s="61"/>
      <c r="F76" s="66" t="s">
        <v>808</v>
      </c>
      <c r="G76" s="66" t="s">
        <v>827</v>
      </c>
      <c r="H76" s="2" t="s">
        <v>314</v>
      </c>
      <c r="I76" s="39">
        <f t="shared" si="27"/>
        <v>55</v>
      </c>
      <c r="J76" s="40">
        <f t="shared" si="28"/>
        <v>70</v>
      </c>
      <c r="K76" s="41">
        <f t="shared" si="29"/>
        <v>45</v>
      </c>
      <c r="L76" s="42">
        <f t="shared" si="30"/>
        <v>70</v>
      </c>
      <c r="M76" s="43">
        <f t="shared" si="31"/>
        <v>50</v>
      </c>
      <c r="N76" s="44">
        <f t="shared" si="32"/>
        <v>60</v>
      </c>
      <c r="O76" s="45">
        <f t="shared" si="33"/>
        <v>350</v>
      </c>
      <c r="P76" s="19">
        <f t="shared" si="34"/>
        <v>58.33</v>
      </c>
      <c r="Q76" s="177">
        <v>55</v>
      </c>
      <c r="R76" s="40">
        <v>70</v>
      </c>
      <c r="S76" s="41">
        <v>45</v>
      </c>
      <c r="T76" s="42">
        <v>70</v>
      </c>
      <c r="U76" s="43">
        <v>50</v>
      </c>
      <c r="V76" s="44">
        <v>60</v>
      </c>
      <c r="W76" s="45">
        <f t="shared" si="25"/>
        <v>350</v>
      </c>
      <c r="X76" s="19">
        <f t="shared" si="26"/>
        <v>58.33</v>
      </c>
      <c r="Y76" s="3">
        <v>55</v>
      </c>
      <c r="Z76" s="4">
        <v>70</v>
      </c>
      <c r="AA76" s="5">
        <v>45</v>
      </c>
      <c r="AB76" s="6">
        <v>70</v>
      </c>
      <c r="AC76" s="7">
        <v>50</v>
      </c>
      <c r="AD76" s="8">
        <v>60</v>
      </c>
      <c r="AE76" s="1">
        <v>350</v>
      </c>
      <c r="AF76" s="19">
        <v>58.33</v>
      </c>
      <c r="AG76" s="139">
        <v>55</v>
      </c>
      <c r="AH76" s="140">
        <v>70</v>
      </c>
      <c r="AI76" s="141">
        <v>45</v>
      </c>
      <c r="AJ76" s="142">
        <v>70</v>
      </c>
      <c r="AK76" s="143">
        <v>50</v>
      </c>
      <c r="AL76" s="144">
        <v>60</v>
      </c>
      <c r="AM76" s="138">
        <v>350</v>
      </c>
      <c r="AN76" s="153">
        <v>58.33</v>
      </c>
      <c r="AO76" s="139">
        <v>55</v>
      </c>
      <c r="AP76" s="140">
        <v>70</v>
      </c>
      <c r="AQ76" s="141">
        <v>45</v>
      </c>
      <c r="AR76" s="162">
        <v>50</v>
      </c>
      <c r="AS76" s="162">
        <v>50</v>
      </c>
      <c r="AT76" s="144">
        <v>60</v>
      </c>
      <c r="AU76" s="138">
        <f t="shared" si="15"/>
        <v>330</v>
      </c>
      <c r="AV76" s="153">
        <f t="shared" si="16"/>
        <v>55</v>
      </c>
      <c r="AW76" s="45"/>
      <c r="AX76" s="174" t="b">
        <f>IF('Refined Compare'!$D$2="All",TRUE,IF(F76='Refined Compare'!$D$2,TRUE,IF(G76='Refined Compare'!$D$2,TRUE,FALSE)))</f>
        <v>0</v>
      </c>
      <c r="AY76" s="174" t="b">
        <f>IF('Refined Compare'!$D$3="All",TRUE,IF(F76='Refined Compare'!$D$3,TRUE,IF(G76='Refined Compare'!$D$3,TRUE,FALSE)))</f>
        <v>1</v>
      </c>
      <c r="AZ76" s="174" t="b">
        <f t="shared" si="35"/>
        <v>1</v>
      </c>
    </row>
    <row r="77" spans="1:52" x14ac:dyDescent="0.35">
      <c r="A77">
        <f t="shared" si="4"/>
        <v>76</v>
      </c>
      <c r="B77" s="18">
        <v>59</v>
      </c>
      <c r="C77" s="61">
        <v>1</v>
      </c>
      <c r="D77" s="118" t="b">
        <v>1</v>
      </c>
      <c r="E77" s="61"/>
      <c r="F77" s="66" t="s">
        <v>808</v>
      </c>
      <c r="G77" s="66" t="s">
        <v>827</v>
      </c>
      <c r="H77" s="2" t="s">
        <v>617</v>
      </c>
      <c r="I77" s="39">
        <f t="shared" si="27"/>
        <v>90</v>
      </c>
      <c r="J77" s="40">
        <f t="shared" si="28"/>
        <v>110</v>
      </c>
      <c r="K77" s="41">
        <f t="shared" si="29"/>
        <v>80</v>
      </c>
      <c r="L77" s="42">
        <f t="shared" si="30"/>
        <v>100</v>
      </c>
      <c r="M77" s="43">
        <f t="shared" si="31"/>
        <v>80</v>
      </c>
      <c r="N77" s="44">
        <f t="shared" si="32"/>
        <v>95</v>
      </c>
      <c r="O77" s="45">
        <f t="shared" si="33"/>
        <v>555</v>
      </c>
      <c r="P77" s="19">
        <f t="shared" si="34"/>
        <v>92.5</v>
      </c>
      <c r="Q77" s="177">
        <v>90</v>
      </c>
      <c r="R77" s="40">
        <v>110</v>
      </c>
      <c r="S77" s="41">
        <v>80</v>
      </c>
      <c r="T77" s="42">
        <v>100</v>
      </c>
      <c r="U77" s="43">
        <v>80</v>
      </c>
      <c r="V77" s="44">
        <v>95</v>
      </c>
      <c r="W77" s="45">
        <f t="shared" si="25"/>
        <v>555</v>
      </c>
      <c r="X77" s="19">
        <f t="shared" si="26"/>
        <v>92.5</v>
      </c>
      <c r="Y77" s="3">
        <v>90</v>
      </c>
      <c r="Z77" s="4">
        <v>110</v>
      </c>
      <c r="AA77" s="5">
        <v>80</v>
      </c>
      <c r="AB77" s="6">
        <v>100</v>
      </c>
      <c r="AC77" s="7">
        <v>80</v>
      </c>
      <c r="AD77" s="8">
        <v>95</v>
      </c>
      <c r="AE77" s="1">
        <v>555</v>
      </c>
      <c r="AF77" s="19">
        <v>92.5</v>
      </c>
      <c r="AG77" s="139">
        <v>90</v>
      </c>
      <c r="AH77" s="140">
        <v>110</v>
      </c>
      <c r="AI77" s="141">
        <v>80</v>
      </c>
      <c r="AJ77" s="142">
        <v>100</v>
      </c>
      <c r="AK77" s="143">
        <v>80</v>
      </c>
      <c r="AL77" s="144">
        <v>95</v>
      </c>
      <c r="AM77" s="138">
        <v>555</v>
      </c>
      <c r="AN77" s="153">
        <v>92.5</v>
      </c>
      <c r="AO77" s="139">
        <v>90</v>
      </c>
      <c r="AP77" s="140">
        <v>110</v>
      </c>
      <c r="AQ77" s="141">
        <v>80</v>
      </c>
      <c r="AR77" s="162">
        <v>80</v>
      </c>
      <c r="AS77" s="162">
        <v>80</v>
      </c>
      <c r="AT77" s="144">
        <v>95</v>
      </c>
      <c r="AU77" s="138">
        <f t="shared" si="15"/>
        <v>535</v>
      </c>
      <c r="AV77" s="153">
        <f t="shared" si="16"/>
        <v>89.166666666666671</v>
      </c>
      <c r="AW77" s="45"/>
      <c r="AX77" s="174" t="b">
        <f>IF('Refined Compare'!$D$2="All",TRUE,IF(F77='Refined Compare'!$D$2,TRUE,IF(G77='Refined Compare'!$D$2,TRUE,FALSE)))</f>
        <v>0</v>
      </c>
      <c r="AY77" s="174" t="b">
        <f>IF('Refined Compare'!$D$3="All",TRUE,IF(F77='Refined Compare'!$D$3,TRUE,IF(G77='Refined Compare'!$D$3,TRUE,FALSE)))</f>
        <v>1</v>
      </c>
      <c r="AZ77" s="174" t="b">
        <f t="shared" si="35"/>
        <v>1</v>
      </c>
    </row>
    <row r="78" spans="1:52" x14ac:dyDescent="0.35">
      <c r="A78">
        <f t="shared" si="4"/>
        <v>77</v>
      </c>
      <c r="B78" s="18">
        <v>60</v>
      </c>
      <c r="C78" s="61">
        <v>1</v>
      </c>
      <c r="D78" s="61" t="b">
        <v>0</v>
      </c>
      <c r="E78" s="61"/>
      <c r="F78" s="66" t="s">
        <v>810</v>
      </c>
      <c r="G78" s="66" t="s">
        <v>827</v>
      </c>
      <c r="H78" s="2" t="s">
        <v>578</v>
      </c>
      <c r="I78" s="39">
        <f t="shared" si="27"/>
        <v>40</v>
      </c>
      <c r="J78" s="40">
        <f t="shared" si="28"/>
        <v>50</v>
      </c>
      <c r="K78" s="41">
        <f t="shared" si="29"/>
        <v>40</v>
      </c>
      <c r="L78" s="42">
        <f t="shared" si="30"/>
        <v>40</v>
      </c>
      <c r="M78" s="43">
        <f t="shared" si="31"/>
        <v>40</v>
      </c>
      <c r="N78" s="44">
        <f t="shared" si="32"/>
        <v>90</v>
      </c>
      <c r="O78" s="45">
        <f t="shared" si="33"/>
        <v>300</v>
      </c>
      <c r="P78" s="19">
        <f t="shared" si="34"/>
        <v>50</v>
      </c>
      <c r="Q78" s="177">
        <v>40</v>
      </c>
      <c r="R78" s="40">
        <v>50</v>
      </c>
      <c r="S78" s="41">
        <v>40</v>
      </c>
      <c r="T78" s="42">
        <v>40</v>
      </c>
      <c r="U78" s="43">
        <v>40</v>
      </c>
      <c r="V78" s="44">
        <v>90</v>
      </c>
      <c r="W78" s="45">
        <f t="shared" si="25"/>
        <v>300</v>
      </c>
      <c r="X78" s="19">
        <f t="shared" si="26"/>
        <v>50</v>
      </c>
      <c r="Y78" s="3">
        <v>40</v>
      </c>
      <c r="Z78" s="4">
        <v>50</v>
      </c>
      <c r="AA78" s="5">
        <v>40</v>
      </c>
      <c r="AB78" s="6">
        <v>40</v>
      </c>
      <c r="AC78" s="7">
        <v>40</v>
      </c>
      <c r="AD78" s="8">
        <v>90</v>
      </c>
      <c r="AE78" s="1">
        <v>300</v>
      </c>
      <c r="AF78" s="19">
        <v>50</v>
      </c>
      <c r="AG78" s="139">
        <v>40</v>
      </c>
      <c r="AH78" s="140">
        <v>50</v>
      </c>
      <c r="AI78" s="141">
        <v>40</v>
      </c>
      <c r="AJ78" s="142">
        <v>40</v>
      </c>
      <c r="AK78" s="143">
        <v>40</v>
      </c>
      <c r="AL78" s="144">
        <v>90</v>
      </c>
      <c r="AM78" s="138">
        <v>300</v>
      </c>
      <c r="AN78" s="153">
        <v>50</v>
      </c>
      <c r="AO78" s="139">
        <v>40</v>
      </c>
      <c r="AP78" s="140">
        <v>50</v>
      </c>
      <c r="AQ78" s="141">
        <v>40</v>
      </c>
      <c r="AR78" s="162">
        <v>40</v>
      </c>
      <c r="AS78" s="162">
        <v>40</v>
      </c>
      <c r="AT78" s="144">
        <v>90</v>
      </c>
      <c r="AU78" s="138">
        <f t="shared" si="15"/>
        <v>300</v>
      </c>
      <c r="AV78" s="153">
        <f t="shared" si="16"/>
        <v>50</v>
      </c>
      <c r="AW78" s="45"/>
      <c r="AX78" s="174" t="b">
        <f>IF('Refined Compare'!$D$2="All",TRUE,IF(F78='Refined Compare'!$D$2,TRUE,IF(G78='Refined Compare'!$D$2,TRUE,FALSE)))</f>
        <v>0</v>
      </c>
      <c r="AY78" s="174" t="b">
        <f>IF('Refined Compare'!$D$3="All",TRUE,IF(F78='Refined Compare'!$D$3,TRUE,IF(G78='Refined Compare'!$D$3,TRUE,FALSE)))</f>
        <v>1</v>
      </c>
      <c r="AZ78" s="174" t="b">
        <f t="shared" si="35"/>
        <v>1</v>
      </c>
    </row>
    <row r="79" spans="1:52" x14ac:dyDescent="0.35">
      <c r="A79">
        <f t="shared" ref="A79:A142" si="36">A78+1</f>
        <v>78</v>
      </c>
      <c r="B79" s="18">
        <v>61</v>
      </c>
      <c r="C79" s="61">
        <v>1</v>
      </c>
      <c r="D79" s="61" t="b">
        <v>0</v>
      </c>
      <c r="E79" s="61"/>
      <c r="F79" s="66" t="s">
        <v>810</v>
      </c>
      <c r="G79" s="66" t="s">
        <v>827</v>
      </c>
      <c r="H79" s="2" t="s">
        <v>579</v>
      </c>
      <c r="I79" s="39">
        <f t="shared" si="27"/>
        <v>65</v>
      </c>
      <c r="J79" s="40">
        <f t="shared" si="28"/>
        <v>65</v>
      </c>
      <c r="K79" s="41">
        <f t="shared" si="29"/>
        <v>65</v>
      </c>
      <c r="L79" s="42">
        <f t="shared" si="30"/>
        <v>50</v>
      </c>
      <c r="M79" s="43">
        <f t="shared" si="31"/>
        <v>50</v>
      </c>
      <c r="N79" s="44">
        <f t="shared" si="32"/>
        <v>90</v>
      </c>
      <c r="O79" s="45">
        <f t="shared" si="33"/>
        <v>385</v>
      </c>
      <c r="P79" s="19">
        <f t="shared" si="34"/>
        <v>64.17</v>
      </c>
      <c r="Q79" s="177">
        <v>65</v>
      </c>
      <c r="R79" s="40">
        <v>65</v>
      </c>
      <c r="S79" s="41">
        <v>65</v>
      </c>
      <c r="T79" s="42">
        <v>50</v>
      </c>
      <c r="U79" s="43">
        <v>50</v>
      </c>
      <c r="V79" s="44">
        <v>90</v>
      </c>
      <c r="W79" s="45">
        <f t="shared" si="25"/>
        <v>385</v>
      </c>
      <c r="X79" s="19">
        <f t="shared" si="26"/>
        <v>64.17</v>
      </c>
      <c r="Y79" s="3">
        <v>65</v>
      </c>
      <c r="Z79" s="4">
        <v>65</v>
      </c>
      <c r="AA79" s="5">
        <v>65</v>
      </c>
      <c r="AB79" s="6">
        <v>50</v>
      </c>
      <c r="AC79" s="7">
        <v>50</v>
      </c>
      <c r="AD79" s="8">
        <v>90</v>
      </c>
      <c r="AE79" s="1">
        <v>385</v>
      </c>
      <c r="AF79" s="19">
        <v>64.17</v>
      </c>
      <c r="AG79" s="139">
        <v>65</v>
      </c>
      <c r="AH79" s="140">
        <v>65</v>
      </c>
      <c r="AI79" s="141">
        <v>65</v>
      </c>
      <c r="AJ79" s="142">
        <v>50</v>
      </c>
      <c r="AK79" s="143">
        <v>50</v>
      </c>
      <c r="AL79" s="144">
        <v>90</v>
      </c>
      <c r="AM79" s="138">
        <v>385</v>
      </c>
      <c r="AN79" s="153">
        <v>64.17</v>
      </c>
      <c r="AO79" s="139">
        <v>65</v>
      </c>
      <c r="AP79" s="140">
        <v>65</v>
      </c>
      <c r="AQ79" s="141">
        <v>65</v>
      </c>
      <c r="AR79" s="162">
        <v>50</v>
      </c>
      <c r="AS79" s="162">
        <v>50</v>
      </c>
      <c r="AT79" s="144">
        <v>90</v>
      </c>
      <c r="AU79" s="138">
        <f t="shared" si="15"/>
        <v>385</v>
      </c>
      <c r="AV79" s="153">
        <f t="shared" si="16"/>
        <v>64.166666666666671</v>
      </c>
      <c r="AW79" s="45"/>
      <c r="AX79" s="174" t="b">
        <f>IF('Refined Compare'!$D$2="All",TRUE,IF(F79='Refined Compare'!$D$2,TRUE,IF(G79='Refined Compare'!$D$2,TRUE,FALSE)))</f>
        <v>0</v>
      </c>
      <c r="AY79" s="174" t="b">
        <f>IF('Refined Compare'!$D$3="All",TRUE,IF(F79='Refined Compare'!$D$3,TRUE,IF(G79='Refined Compare'!$D$3,TRUE,FALSE)))</f>
        <v>1</v>
      </c>
      <c r="AZ79" s="174" t="b">
        <f t="shared" si="35"/>
        <v>1</v>
      </c>
    </row>
    <row r="80" spans="1:52" x14ac:dyDescent="0.35">
      <c r="A80">
        <f t="shared" si="36"/>
        <v>79</v>
      </c>
      <c r="B80" s="18">
        <v>62</v>
      </c>
      <c r="C80" s="61">
        <v>1</v>
      </c>
      <c r="D80" s="118" t="b">
        <v>1</v>
      </c>
      <c r="E80" s="61"/>
      <c r="F80" s="66" t="s">
        <v>810</v>
      </c>
      <c r="G80" s="66" t="s">
        <v>816</v>
      </c>
      <c r="H80" s="2" t="s">
        <v>421</v>
      </c>
      <c r="I80" s="39">
        <f t="shared" si="27"/>
        <v>90</v>
      </c>
      <c r="J80" s="40">
        <f t="shared" si="28"/>
        <v>85</v>
      </c>
      <c r="K80" s="41">
        <f t="shared" si="29"/>
        <v>95</v>
      </c>
      <c r="L80" s="42">
        <f t="shared" si="30"/>
        <v>70</v>
      </c>
      <c r="M80" s="43">
        <f t="shared" si="31"/>
        <v>90</v>
      </c>
      <c r="N80" s="44">
        <f t="shared" si="32"/>
        <v>70</v>
      </c>
      <c r="O80" s="45">
        <f t="shared" si="33"/>
        <v>500</v>
      </c>
      <c r="P80" s="19">
        <f t="shared" si="34"/>
        <v>83.33</v>
      </c>
      <c r="Q80" s="177">
        <v>90</v>
      </c>
      <c r="R80" s="40">
        <v>95</v>
      </c>
      <c r="S80" s="41">
        <v>95</v>
      </c>
      <c r="T80" s="42">
        <v>70</v>
      </c>
      <c r="U80" s="43">
        <v>90</v>
      </c>
      <c r="V80" s="44">
        <v>70</v>
      </c>
      <c r="W80" s="45">
        <f t="shared" si="25"/>
        <v>510</v>
      </c>
      <c r="X80" s="19">
        <f t="shared" si="26"/>
        <v>85</v>
      </c>
      <c r="Y80" s="3">
        <v>90</v>
      </c>
      <c r="Z80" s="4">
        <v>95</v>
      </c>
      <c r="AA80" s="5">
        <v>95</v>
      </c>
      <c r="AB80" s="6">
        <v>70</v>
      </c>
      <c r="AC80" s="7">
        <v>90</v>
      </c>
      <c r="AD80" s="8">
        <v>70</v>
      </c>
      <c r="AE80" s="1">
        <v>510</v>
      </c>
      <c r="AF80" s="19">
        <v>85</v>
      </c>
      <c r="AG80" s="139">
        <v>90</v>
      </c>
      <c r="AH80" s="140">
        <v>85</v>
      </c>
      <c r="AI80" s="141">
        <v>95</v>
      </c>
      <c r="AJ80" s="142">
        <v>70</v>
      </c>
      <c r="AK80" s="143">
        <v>90</v>
      </c>
      <c r="AL80" s="144">
        <v>70</v>
      </c>
      <c r="AM80" s="138">
        <v>500</v>
      </c>
      <c r="AN80" s="153">
        <v>83.33</v>
      </c>
      <c r="AO80" s="139">
        <v>90</v>
      </c>
      <c r="AP80" s="140">
        <v>85</v>
      </c>
      <c r="AQ80" s="141">
        <v>95</v>
      </c>
      <c r="AR80" s="162">
        <v>70</v>
      </c>
      <c r="AS80" s="162">
        <v>70</v>
      </c>
      <c r="AT80" s="144">
        <v>70</v>
      </c>
      <c r="AU80" s="138">
        <f t="shared" si="15"/>
        <v>480</v>
      </c>
      <c r="AV80" s="153">
        <f t="shared" si="16"/>
        <v>80</v>
      </c>
      <c r="AW80" s="45"/>
      <c r="AX80" s="174" t="b">
        <f>IF('Refined Compare'!$D$2="All",TRUE,IF(F80='Refined Compare'!$D$2,TRUE,IF(G80='Refined Compare'!$D$2,TRUE,FALSE)))</f>
        <v>0</v>
      </c>
      <c r="AY80" s="174" t="b">
        <f>IF('Refined Compare'!$D$3="All",TRUE,IF(F80='Refined Compare'!$D$3,TRUE,IF(G80='Refined Compare'!$D$3,TRUE,FALSE)))</f>
        <v>0</v>
      </c>
      <c r="AZ80" s="174" t="b">
        <f t="shared" si="35"/>
        <v>1</v>
      </c>
    </row>
    <row r="81" spans="1:52" x14ac:dyDescent="0.35">
      <c r="A81">
        <f t="shared" si="36"/>
        <v>80</v>
      </c>
      <c r="B81" s="18">
        <v>63</v>
      </c>
      <c r="C81" s="61">
        <v>1</v>
      </c>
      <c r="D81" s="61" t="b">
        <v>0</v>
      </c>
      <c r="E81" s="61"/>
      <c r="F81" s="66" t="s">
        <v>817</v>
      </c>
      <c r="G81" s="66" t="s">
        <v>827</v>
      </c>
      <c r="H81" s="2" t="s">
        <v>580</v>
      </c>
      <c r="I81" s="39">
        <f t="shared" si="27"/>
        <v>25</v>
      </c>
      <c r="J81" s="40">
        <f t="shared" si="28"/>
        <v>20</v>
      </c>
      <c r="K81" s="41">
        <f t="shared" si="29"/>
        <v>15</v>
      </c>
      <c r="L81" s="42">
        <f t="shared" si="30"/>
        <v>105</v>
      </c>
      <c r="M81" s="43">
        <f t="shared" si="31"/>
        <v>55</v>
      </c>
      <c r="N81" s="44">
        <f t="shared" si="32"/>
        <v>90</v>
      </c>
      <c r="O81" s="45">
        <f t="shared" si="33"/>
        <v>310</v>
      </c>
      <c r="P81" s="19">
        <f t="shared" si="34"/>
        <v>51.67</v>
      </c>
      <c r="Q81" s="177">
        <v>25</v>
      </c>
      <c r="R81" s="40">
        <v>20</v>
      </c>
      <c r="S81" s="41">
        <v>15</v>
      </c>
      <c r="T81" s="42">
        <v>105</v>
      </c>
      <c r="U81" s="43">
        <v>55</v>
      </c>
      <c r="V81" s="44">
        <v>90</v>
      </c>
      <c r="W81" s="45">
        <f t="shared" si="25"/>
        <v>310</v>
      </c>
      <c r="X81" s="19">
        <f t="shared" si="26"/>
        <v>51.67</v>
      </c>
      <c r="Y81" s="3">
        <v>25</v>
      </c>
      <c r="Z81" s="4">
        <v>20</v>
      </c>
      <c r="AA81" s="5">
        <v>15</v>
      </c>
      <c r="AB81" s="6">
        <v>105</v>
      </c>
      <c r="AC81" s="7">
        <v>55</v>
      </c>
      <c r="AD81" s="8">
        <v>90</v>
      </c>
      <c r="AE81" s="1">
        <v>310</v>
      </c>
      <c r="AF81" s="19">
        <v>51.67</v>
      </c>
      <c r="AG81" s="139">
        <v>25</v>
      </c>
      <c r="AH81" s="140">
        <v>20</v>
      </c>
      <c r="AI81" s="141">
        <v>15</v>
      </c>
      <c r="AJ81" s="142">
        <v>105</v>
      </c>
      <c r="AK81" s="143">
        <v>55</v>
      </c>
      <c r="AL81" s="144">
        <v>90</v>
      </c>
      <c r="AM81" s="138">
        <v>310</v>
      </c>
      <c r="AN81" s="153">
        <v>51.67</v>
      </c>
      <c r="AO81" s="139">
        <v>25</v>
      </c>
      <c r="AP81" s="140">
        <v>20</v>
      </c>
      <c r="AQ81" s="141">
        <v>15</v>
      </c>
      <c r="AR81" s="162">
        <v>105</v>
      </c>
      <c r="AS81" s="162">
        <v>105</v>
      </c>
      <c r="AT81" s="144">
        <v>90</v>
      </c>
      <c r="AU81" s="138">
        <f t="shared" si="15"/>
        <v>360</v>
      </c>
      <c r="AV81" s="153">
        <f t="shared" si="16"/>
        <v>60</v>
      </c>
      <c r="AW81" s="45"/>
      <c r="AX81" s="174" t="b">
        <f>IF('Refined Compare'!$D$2="All",TRUE,IF(F81='Refined Compare'!$D$2,TRUE,IF(G81='Refined Compare'!$D$2,TRUE,FALSE)))</f>
        <v>0</v>
      </c>
      <c r="AY81" s="174" t="b">
        <f>IF('Refined Compare'!$D$3="All",TRUE,IF(F81='Refined Compare'!$D$3,TRUE,IF(G81='Refined Compare'!$D$3,TRUE,FALSE)))</f>
        <v>1</v>
      </c>
      <c r="AZ81" s="174" t="b">
        <f t="shared" si="35"/>
        <v>1</v>
      </c>
    </row>
    <row r="82" spans="1:52" x14ac:dyDescent="0.35">
      <c r="A82">
        <f t="shared" si="36"/>
        <v>81</v>
      </c>
      <c r="B82" s="18">
        <v>64</v>
      </c>
      <c r="C82" s="61">
        <v>1</v>
      </c>
      <c r="D82" s="61" t="b">
        <v>0</v>
      </c>
      <c r="E82" s="61"/>
      <c r="F82" s="66" t="s">
        <v>817</v>
      </c>
      <c r="G82" s="66" t="s">
        <v>827</v>
      </c>
      <c r="H82" s="2" t="s">
        <v>693</v>
      </c>
      <c r="I82" s="39">
        <f t="shared" si="27"/>
        <v>40</v>
      </c>
      <c r="J82" s="40">
        <f t="shared" si="28"/>
        <v>35</v>
      </c>
      <c r="K82" s="41">
        <f t="shared" si="29"/>
        <v>30</v>
      </c>
      <c r="L82" s="42">
        <f t="shared" si="30"/>
        <v>120</v>
      </c>
      <c r="M82" s="43">
        <f t="shared" si="31"/>
        <v>70</v>
      </c>
      <c r="N82" s="44">
        <f t="shared" si="32"/>
        <v>105</v>
      </c>
      <c r="O82" s="45">
        <f t="shared" si="33"/>
        <v>400</v>
      </c>
      <c r="P82" s="19">
        <f t="shared" si="34"/>
        <v>66.67</v>
      </c>
      <c r="Q82" s="177">
        <v>40</v>
      </c>
      <c r="R82" s="40">
        <v>35</v>
      </c>
      <c r="S82" s="41">
        <v>30</v>
      </c>
      <c r="T82" s="42">
        <v>120</v>
      </c>
      <c r="U82" s="43">
        <v>70</v>
      </c>
      <c r="V82" s="44">
        <v>105</v>
      </c>
      <c r="W82" s="45">
        <f t="shared" si="25"/>
        <v>400</v>
      </c>
      <c r="X82" s="19">
        <f t="shared" si="26"/>
        <v>66.67</v>
      </c>
      <c r="Y82" s="3">
        <v>40</v>
      </c>
      <c r="Z82" s="4">
        <v>35</v>
      </c>
      <c r="AA82" s="5">
        <v>30</v>
      </c>
      <c r="AB82" s="6">
        <v>120</v>
      </c>
      <c r="AC82" s="7">
        <v>70</v>
      </c>
      <c r="AD82" s="8">
        <v>105</v>
      </c>
      <c r="AE82" s="1">
        <v>400</v>
      </c>
      <c r="AF82" s="19">
        <v>66.67</v>
      </c>
      <c r="AG82" s="139">
        <v>40</v>
      </c>
      <c r="AH82" s="140">
        <v>35</v>
      </c>
      <c r="AI82" s="141">
        <v>30</v>
      </c>
      <c r="AJ82" s="142">
        <v>120</v>
      </c>
      <c r="AK82" s="143">
        <v>70</v>
      </c>
      <c r="AL82" s="144">
        <v>105</v>
      </c>
      <c r="AM82" s="138">
        <v>400</v>
      </c>
      <c r="AN82" s="153">
        <v>66.67</v>
      </c>
      <c r="AO82" s="139">
        <v>40</v>
      </c>
      <c r="AP82" s="140">
        <v>35</v>
      </c>
      <c r="AQ82" s="141">
        <v>30</v>
      </c>
      <c r="AR82" s="162">
        <v>120</v>
      </c>
      <c r="AS82" s="162">
        <v>120</v>
      </c>
      <c r="AT82" s="144">
        <v>105</v>
      </c>
      <c r="AU82" s="138">
        <f t="shared" si="15"/>
        <v>450</v>
      </c>
      <c r="AV82" s="153">
        <f t="shared" si="16"/>
        <v>75</v>
      </c>
      <c r="AW82" s="45"/>
      <c r="AX82" s="174" t="b">
        <f>IF('Refined Compare'!$D$2="All",TRUE,IF(F82='Refined Compare'!$D$2,TRUE,IF(G82='Refined Compare'!$D$2,TRUE,FALSE)))</f>
        <v>0</v>
      </c>
      <c r="AY82" s="174" t="b">
        <f>IF('Refined Compare'!$D$3="All",TRUE,IF(F82='Refined Compare'!$D$3,TRUE,IF(G82='Refined Compare'!$D$3,TRUE,FALSE)))</f>
        <v>1</v>
      </c>
      <c r="AZ82" s="174" t="b">
        <f t="shared" si="35"/>
        <v>1</v>
      </c>
    </row>
    <row r="83" spans="1:52" x14ac:dyDescent="0.35">
      <c r="A83">
        <f t="shared" si="36"/>
        <v>82</v>
      </c>
      <c r="B83" s="18">
        <v>65</v>
      </c>
      <c r="C83" s="61">
        <v>1</v>
      </c>
      <c r="D83" s="61" t="b">
        <f>IF($AW$2&lt;6,TRUE,FALSE)</f>
        <v>1</v>
      </c>
      <c r="E83" s="61"/>
      <c r="F83" s="66" t="s">
        <v>817</v>
      </c>
      <c r="G83" s="66" t="s">
        <v>827</v>
      </c>
      <c r="H83" s="2" t="s">
        <v>750</v>
      </c>
      <c r="I83" s="39">
        <f t="shared" si="27"/>
        <v>55</v>
      </c>
      <c r="J83" s="40">
        <f t="shared" si="28"/>
        <v>50</v>
      </c>
      <c r="K83" s="41">
        <f t="shared" si="29"/>
        <v>45</v>
      </c>
      <c r="L83" s="42">
        <f t="shared" si="30"/>
        <v>135</v>
      </c>
      <c r="M83" s="43">
        <f t="shared" si="31"/>
        <v>85</v>
      </c>
      <c r="N83" s="44">
        <f t="shared" si="32"/>
        <v>120</v>
      </c>
      <c r="O83" s="45">
        <f t="shared" si="33"/>
        <v>490</v>
      </c>
      <c r="P83" s="19">
        <f t="shared" si="34"/>
        <v>81.67</v>
      </c>
      <c r="Q83" s="177">
        <v>55</v>
      </c>
      <c r="R83" s="40">
        <v>50</v>
      </c>
      <c r="S83" s="41">
        <v>45</v>
      </c>
      <c r="T83" s="42">
        <v>135</v>
      </c>
      <c r="U83" s="43">
        <v>95</v>
      </c>
      <c r="V83" s="44">
        <v>120</v>
      </c>
      <c r="W83" s="45">
        <f t="shared" si="25"/>
        <v>500</v>
      </c>
      <c r="X83" s="19">
        <f t="shared" si="26"/>
        <v>83.33</v>
      </c>
      <c r="Y83" s="3">
        <v>55</v>
      </c>
      <c r="Z83" s="4">
        <v>50</v>
      </c>
      <c r="AA83" s="5">
        <v>45</v>
      </c>
      <c r="AB83" s="6">
        <v>135</v>
      </c>
      <c r="AC83" s="7">
        <v>95</v>
      </c>
      <c r="AD83" s="8">
        <v>120</v>
      </c>
      <c r="AE83" s="1">
        <v>500</v>
      </c>
      <c r="AF83" s="19">
        <v>83.33</v>
      </c>
      <c r="AG83" s="139">
        <v>55</v>
      </c>
      <c r="AH83" s="140">
        <v>50</v>
      </c>
      <c r="AI83" s="141">
        <v>45</v>
      </c>
      <c r="AJ83" s="142">
        <v>135</v>
      </c>
      <c r="AK83" s="143">
        <v>85</v>
      </c>
      <c r="AL83" s="144">
        <v>120</v>
      </c>
      <c r="AM83" s="138">
        <v>490</v>
      </c>
      <c r="AN83" s="153">
        <v>81.67</v>
      </c>
      <c r="AO83" s="139">
        <v>55</v>
      </c>
      <c r="AP83" s="140">
        <v>50</v>
      </c>
      <c r="AQ83" s="141">
        <v>45</v>
      </c>
      <c r="AR83" s="162">
        <v>135</v>
      </c>
      <c r="AS83" s="162">
        <v>135</v>
      </c>
      <c r="AT83" s="144">
        <v>120</v>
      </c>
      <c r="AU83" s="138">
        <f t="shared" si="15"/>
        <v>540</v>
      </c>
      <c r="AV83" s="153">
        <f t="shared" si="16"/>
        <v>90</v>
      </c>
      <c r="AW83" s="45"/>
      <c r="AX83" s="174" t="b">
        <f>IF('Refined Compare'!$D$2="All",TRUE,IF(F83='Refined Compare'!$D$2,TRUE,IF(G83='Refined Compare'!$D$2,TRUE,FALSE)))</f>
        <v>0</v>
      </c>
      <c r="AY83" s="174" t="b">
        <f>IF('Refined Compare'!$D$3="All",TRUE,IF(F83='Refined Compare'!$D$3,TRUE,IF(G83='Refined Compare'!$D$3,TRUE,FALSE)))</f>
        <v>1</v>
      </c>
      <c r="AZ83" s="174" t="b">
        <f t="shared" si="35"/>
        <v>1</v>
      </c>
    </row>
    <row r="84" spans="1:52" x14ac:dyDescent="0.35">
      <c r="A84">
        <f t="shared" si="36"/>
        <v>83</v>
      </c>
      <c r="B84" s="62">
        <v>65</v>
      </c>
      <c r="C84" s="61">
        <v>6</v>
      </c>
      <c r="D84" s="118" t="b">
        <f>IF(AZ84,TRUE,FALSE)</f>
        <v>0</v>
      </c>
      <c r="E84" s="61" t="s">
        <v>801</v>
      </c>
      <c r="F84" s="66" t="s">
        <v>817</v>
      </c>
      <c r="G84" s="66" t="s">
        <v>827</v>
      </c>
      <c r="H84" s="2" t="s">
        <v>775</v>
      </c>
      <c r="I84" s="39">
        <f t="shared" si="27"/>
        <v>0</v>
      </c>
      <c r="J84" s="40">
        <f t="shared" si="28"/>
        <v>0</v>
      </c>
      <c r="K84" s="41">
        <f t="shared" si="29"/>
        <v>0</v>
      </c>
      <c r="L84" s="42">
        <f t="shared" si="30"/>
        <v>0</v>
      </c>
      <c r="M84" s="43">
        <f t="shared" si="31"/>
        <v>0</v>
      </c>
      <c r="N84" s="44">
        <f t="shared" si="32"/>
        <v>0</v>
      </c>
      <c r="O84" s="45">
        <f t="shared" si="33"/>
        <v>0</v>
      </c>
      <c r="P84" s="19">
        <f t="shared" si="34"/>
        <v>0</v>
      </c>
      <c r="Q84" s="177">
        <v>55</v>
      </c>
      <c r="R84" s="40">
        <v>50</v>
      </c>
      <c r="S84" s="41">
        <v>65</v>
      </c>
      <c r="T84" s="42">
        <v>175</v>
      </c>
      <c r="U84" s="43">
        <v>105</v>
      </c>
      <c r="V84" s="44">
        <v>150</v>
      </c>
      <c r="W84" s="45">
        <f t="shared" si="25"/>
        <v>600</v>
      </c>
      <c r="X84" s="19">
        <f t="shared" si="26"/>
        <v>100</v>
      </c>
      <c r="Y84" s="3">
        <v>55</v>
      </c>
      <c r="Z84" s="4">
        <v>50</v>
      </c>
      <c r="AA84" s="5">
        <v>65</v>
      </c>
      <c r="AB84" s="6">
        <v>175</v>
      </c>
      <c r="AC84" s="7">
        <v>95</v>
      </c>
      <c r="AD84" s="8">
        <v>150</v>
      </c>
      <c r="AE84" s="1">
        <v>590</v>
      </c>
      <c r="AF84" s="19">
        <v>98.33</v>
      </c>
      <c r="AN84" s="172"/>
      <c r="AV84" s="172"/>
      <c r="AW84" s="45"/>
      <c r="AX84" s="174" t="b">
        <f>IF('Refined Compare'!$D$2="All",TRUE,IF(F84='Refined Compare'!$D$2,TRUE,IF(G84='Refined Compare'!$D$2,TRUE,FALSE)))</f>
        <v>0</v>
      </c>
      <c r="AY84" s="174" t="b">
        <f>IF('Refined Compare'!$D$3="All",TRUE,IF(F84='Refined Compare'!$D$3,TRUE,IF(G84='Refined Compare'!$D$3,TRUE,FALSE)))</f>
        <v>1</v>
      </c>
      <c r="AZ84" s="174" t="b">
        <f t="shared" si="35"/>
        <v>0</v>
      </c>
    </row>
    <row r="85" spans="1:52" x14ac:dyDescent="0.35">
      <c r="A85">
        <f t="shared" si="36"/>
        <v>84</v>
      </c>
      <c r="B85" s="18">
        <v>66</v>
      </c>
      <c r="C85" s="61">
        <v>1</v>
      </c>
      <c r="D85" s="61" t="b">
        <v>0</v>
      </c>
      <c r="E85" s="61"/>
      <c r="F85" s="66" t="s">
        <v>816</v>
      </c>
      <c r="G85" s="66" t="s">
        <v>827</v>
      </c>
      <c r="H85" s="2" t="s">
        <v>97</v>
      </c>
      <c r="I85" s="39">
        <f t="shared" si="27"/>
        <v>70</v>
      </c>
      <c r="J85" s="40">
        <f t="shared" si="28"/>
        <v>80</v>
      </c>
      <c r="K85" s="41">
        <f t="shared" si="29"/>
        <v>50</v>
      </c>
      <c r="L85" s="42">
        <f t="shared" si="30"/>
        <v>35</v>
      </c>
      <c r="M85" s="43">
        <f t="shared" si="31"/>
        <v>35</v>
      </c>
      <c r="N85" s="44">
        <f t="shared" si="32"/>
        <v>35</v>
      </c>
      <c r="O85" s="45">
        <f t="shared" si="33"/>
        <v>305</v>
      </c>
      <c r="P85" s="19">
        <f t="shared" si="34"/>
        <v>50.83</v>
      </c>
      <c r="Q85" s="177">
        <v>70</v>
      </c>
      <c r="R85" s="40">
        <v>80</v>
      </c>
      <c r="S85" s="41">
        <v>50</v>
      </c>
      <c r="T85" s="42">
        <v>35</v>
      </c>
      <c r="U85" s="43">
        <v>35</v>
      </c>
      <c r="V85" s="44">
        <v>35</v>
      </c>
      <c r="W85" s="45">
        <f t="shared" si="25"/>
        <v>305</v>
      </c>
      <c r="X85" s="19">
        <f t="shared" si="26"/>
        <v>50.83</v>
      </c>
      <c r="Y85" s="3">
        <v>70</v>
      </c>
      <c r="Z85" s="4">
        <v>80</v>
      </c>
      <c r="AA85" s="5">
        <v>50</v>
      </c>
      <c r="AB85" s="6">
        <v>35</v>
      </c>
      <c r="AC85" s="7">
        <v>35</v>
      </c>
      <c r="AD85" s="8">
        <v>35</v>
      </c>
      <c r="AE85" s="1">
        <v>305</v>
      </c>
      <c r="AF85" s="19">
        <v>50.83</v>
      </c>
      <c r="AG85" s="139">
        <v>70</v>
      </c>
      <c r="AH85" s="140">
        <v>80</v>
      </c>
      <c r="AI85" s="141">
        <v>50</v>
      </c>
      <c r="AJ85" s="142">
        <v>35</v>
      </c>
      <c r="AK85" s="143">
        <v>35</v>
      </c>
      <c r="AL85" s="144">
        <v>35</v>
      </c>
      <c r="AM85" s="138">
        <v>305</v>
      </c>
      <c r="AN85" s="153">
        <v>50.83</v>
      </c>
      <c r="AO85" s="139">
        <v>70</v>
      </c>
      <c r="AP85" s="140">
        <v>80</v>
      </c>
      <c r="AQ85" s="141">
        <v>50</v>
      </c>
      <c r="AR85" s="162">
        <v>35</v>
      </c>
      <c r="AS85" s="162">
        <v>35</v>
      </c>
      <c r="AT85" s="144">
        <v>35</v>
      </c>
      <c r="AU85" s="138">
        <f t="shared" ref="AU85:AU102" si="37">SUM(AO85:AT85)</f>
        <v>305</v>
      </c>
      <c r="AV85" s="153">
        <f t="shared" ref="AV85:AV102" si="38">AU85/6</f>
        <v>50.833333333333336</v>
      </c>
      <c r="AW85" s="45"/>
      <c r="AX85" s="174" t="b">
        <f>IF('Refined Compare'!$D$2="All",TRUE,IF(F85='Refined Compare'!$D$2,TRUE,IF(G85='Refined Compare'!$D$2,TRUE,FALSE)))</f>
        <v>0</v>
      </c>
      <c r="AY85" s="174" t="b">
        <f>IF('Refined Compare'!$D$3="All",TRUE,IF(F85='Refined Compare'!$D$3,TRUE,IF(G85='Refined Compare'!$D$3,TRUE,FALSE)))</f>
        <v>1</v>
      </c>
      <c r="AZ85" s="174" t="b">
        <f t="shared" si="35"/>
        <v>1</v>
      </c>
    </row>
    <row r="86" spans="1:52" x14ac:dyDescent="0.35">
      <c r="A86">
        <f t="shared" si="36"/>
        <v>85</v>
      </c>
      <c r="B86" s="18">
        <v>67</v>
      </c>
      <c r="C86" s="61">
        <v>1</v>
      </c>
      <c r="D86" s="61" t="b">
        <v>0</v>
      </c>
      <c r="E86" s="61"/>
      <c r="F86" s="66" t="s">
        <v>816</v>
      </c>
      <c r="G86" s="66" t="s">
        <v>827</v>
      </c>
      <c r="H86" s="2" t="s">
        <v>175</v>
      </c>
      <c r="I86" s="39">
        <f t="shared" si="27"/>
        <v>80</v>
      </c>
      <c r="J86" s="40">
        <f t="shared" si="28"/>
        <v>100</v>
      </c>
      <c r="K86" s="41">
        <f t="shared" si="29"/>
        <v>70</v>
      </c>
      <c r="L86" s="42">
        <f t="shared" si="30"/>
        <v>50</v>
      </c>
      <c r="M86" s="43">
        <f t="shared" si="31"/>
        <v>60</v>
      </c>
      <c r="N86" s="44">
        <f t="shared" si="32"/>
        <v>45</v>
      </c>
      <c r="O86" s="45">
        <f t="shared" si="33"/>
        <v>405</v>
      </c>
      <c r="P86" s="19">
        <f t="shared" si="34"/>
        <v>67.5</v>
      </c>
      <c r="Q86" s="177">
        <v>80</v>
      </c>
      <c r="R86" s="40">
        <v>100</v>
      </c>
      <c r="S86" s="41">
        <v>70</v>
      </c>
      <c r="T86" s="42">
        <v>50</v>
      </c>
      <c r="U86" s="43">
        <v>60</v>
      </c>
      <c r="V86" s="44">
        <v>45</v>
      </c>
      <c r="W86" s="45">
        <f t="shared" si="25"/>
        <v>405</v>
      </c>
      <c r="X86" s="19">
        <f t="shared" si="26"/>
        <v>67.5</v>
      </c>
      <c r="Y86" s="3">
        <v>80</v>
      </c>
      <c r="Z86" s="4">
        <v>100</v>
      </c>
      <c r="AA86" s="5">
        <v>70</v>
      </c>
      <c r="AB86" s="6">
        <v>50</v>
      </c>
      <c r="AC86" s="7">
        <v>60</v>
      </c>
      <c r="AD86" s="8">
        <v>45</v>
      </c>
      <c r="AE86" s="1">
        <v>405</v>
      </c>
      <c r="AF86" s="19">
        <v>67.5</v>
      </c>
      <c r="AG86" s="139">
        <v>80</v>
      </c>
      <c r="AH86" s="140">
        <v>100</v>
      </c>
      <c r="AI86" s="141">
        <v>70</v>
      </c>
      <c r="AJ86" s="142">
        <v>50</v>
      </c>
      <c r="AK86" s="143">
        <v>60</v>
      </c>
      <c r="AL86" s="144">
        <v>45</v>
      </c>
      <c r="AM86" s="138">
        <v>405</v>
      </c>
      <c r="AN86" s="153">
        <v>67.5</v>
      </c>
      <c r="AO86" s="139">
        <v>80</v>
      </c>
      <c r="AP86" s="140">
        <v>100</v>
      </c>
      <c r="AQ86" s="141">
        <v>70</v>
      </c>
      <c r="AR86" s="162">
        <v>50</v>
      </c>
      <c r="AS86" s="162">
        <v>50</v>
      </c>
      <c r="AT86" s="144">
        <v>45</v>
      </c>
      <c r="AU86" s="138">
        <f t="shared" si="37"/>
        <v>395</v>
      </c>
      <c r="AV86" s="153">
        <f t="shared" si="38"/>
        <v>65.833333333333329</v>
      </c>
      <c r="AW86" s="45"/>
      <c r="AX86" s="174" t="b">
        <f>IF('Refined Compare'!$D$2="All",TRUE,IF(F86='Refined Compare'!$D$2,TRUE,IF(G86='Refined Compare'!$D$2,TRUE,FALSE)))</f>
        <v>0</v>
      </c>
      <c r="AY86" s="174" t="b">
        <f>IF('Refined Compare'!$D$3="All",TRUE,IF(F86='Refined Compare'!$D$3,TRUE,IF(G86='Refined Compare'!$D$3,TRUE,FALSE)))</f>
        <v>1</v>
      </c>
      <c r="AZ86" s="174" t="b">
        <f t="shared" si="35"/>
        <v>1</v>
      </c>
    </row>
    <row r="87" spans="1:52" x14ac:dyDescent="0.35">
      <c r="A87">
        <f t="shared" si="36"/>
        <v>86</v>
      </c>
      <c r="B87" s="18">
        <v>68</v>
      </c>
      <c r="C87" s="61">
        <v>1</v>
      </c>
      <c r="D87" s="118" t="b">
        <v>1</v>
      </c>
      <c r="E87" s="61"/>
      <c r="F87" s="66" t="s">
        <v>816</v>
      </c>
      <c r="G87" s="66" t="s">
        <v>827</v>
      </c>
      <c r="H87" s="2" t="s">
        <v>267</v>
      </c>
      <c r="I87" s="39">
        <f t="shared" si="27"/>
        <v>90</v>
      </c>
      <c r="J87" s="40">
        <f t="shared" si="28"/>
        <v>130</v>
      </c>
      <c r="K87" s="41">
        <f t="shared" si="29"/>
        <v>80</v>
      </c>
      <c r="L87" s="42">
        <f t="shared" si="30"/>
        <v>65</v>
      </c>
      <c r="M87" s="43">
        <f t="shared" si="31"/>
        <v>85</v>
      </c>
      <c r="N87" s="44">
        <f t="shared" si="32"/>
        <v>55</v>
      </c>
      <c r="O87" s="45">
        <f t="shared" si="33"/>
        <v>505</v>
      </c>
      <c r="P87" s="19">
        <f t="shared" si="34"/>
        <v>84.17</v>
      </c>
      <c r="Q87" s="177">
        <v>90</v>
      </c>
      <c r="R87" s="40">
        <v>130</v>
      </c>
      <c r="S87" s="41">
        <v>80</v>
      </c>
      <c r="T87" s="42">
        <v>65</v>
      </c>
      <c r="U87" s="43">
        <v>85</v>
      </c>
      <c r="V87" s="44">
        <v>55</v>
      </c>
      <c r="W87" s="45">
        <f t="shared" si="25"/>
        <v>505</v>
      </c>
      <c r="X87" s="19">
        <f t="shared" si="26"/>
        <v>84.17</v>
      </c>
      <c r="Y87" s="3">
        <v>90</v>
      </c>
      <c r="Z87" s="4">
        <v>130</v>
      </c>
      <c r="AA87" s="5">
        <v>80</v>
      </c>
      <c r="AB87" s="6">
        <v>65</v>
      </c>
      <c r="AC87" s="7">
        <v>85</v>
      </c>
      <c r="AD87" s="8">
        <v>55</v>
      </c>
      <c r="AE87" s="1">
        <v>505</v>
      </c>
      <c r="AF87" s="19">
        <v>84.17</v>
      </c>
      <c r="AG87" s="139">
        <v>90</v>
      </c>
      <c r="AH87" s="140">
        <v>130</v>
      </c>
      <c r="AI87" s="141">
        <v>80</v>
      </c>
      <c r="AJ87" s="142">
        <v>65</v>
      </c>
      <c r="AK87" s="143">
        <v>85</v>
      </c>
      <c r="AL87" s="144">
        <v>55</v>
      </c>
      <c r="AM87" s="138">
        <v>505</v>
      </c>
      <c r="AN87" s="153">
        <v>84.17</v>
      </c>
      <c r="AO87" s="139">
        <v>90</v>
      </c>
      <c r="AP87" s="140">
        <v>130</v>
      </c>
      <c r="AQ87" s="141">
        <v>80</v>
      </c>
      <c r="AR87" s="162">
        <v>65</v>
      </c>
      <c r="AS87" s="162">
        <v>65</v>
      </c>
      <c r="AT87" s="144">
        <v>55</v>
      </c>
      <c r="AU87" s="138">
        <f t="shared" si="37"/>
        <v>485</v>
      </c>
      <c r="AV87" s="153">
        <f t="shared" si="38"/>
        <v>80.833333333333329</v>
      </c>
      <c r="AW87" s="45"/>
      <c r="AX87" s="174" t="b">
        <f>IF('Refined Compare'!$D$2="All",TRUE,IF(F87='Refined Compare'!$D$2,TRUE,IF(G87='Refined Compare'!$D$2,TRUE,FALSE)))</f>
        <v>0</v>
      </c>
      <c r="AY87" s="174" t="b">
        <f>IF('Refined Compare'!$D$3="All",TRUE,IF(F87='Refined Compare'!$D$3,TRUE,IF(G87='Refined Compare'!$D$3,TRUE,FALSE)))</f>
        <v>1</v>
      </c>
      <c r="AZ87" s="174" t="b">
        <f t="shared" si="35"/>
        <v>1</v>
      </c>
    </row>
    <row r="88" spans="1:52" x14ac:dyDescent="0.35">
      <c r="A88">
        <f t="shared" si="36"/>
        <v>87</v>
      </c>
      <c r="B88" s="18">
        <v>69</v>
      </c>
      <c r="C88" s="61">
        <v>1</v>
      </c>
      <c r="D88" s="61" t="b">
        <v>0</v>
      </c>
      <c r="E88" s="61"/>
      <c r="F88" s="66" t="s">
        <v>806</v>
      </c>
      <c r="G88" s="66" t="s">
        <v>807</v>
      </c>
      <c r="H88" s="2" t="s">
        <v>125</v>
      </c>
      <c r="I88" s="39">
        <f t="shared" si="27"/>
        <v>50</v>
      </c>
      <c r="J88" s="40">
        <f t="shared" si="28"/>
        <v>75</v>
      </c>
      <c r="K88" s="41">
        <f t="shared" si="29"/>
        <v>35</v>
      </c>
      <c r="L88" s="42">
        <f t="shared" si="30"/>
        <v>70</v>
      </c>
      <c r="M88" s="43">
        <f t="shared" si="31"/>
        <v>30</v>
      </c>
      <c r="N88" s="44">
        <f t="shared" si="32"/>
        <v>40</v>
      </c>
      <c r="O88" s="45">
        <f t="shared" si="33"/>
        <v>300</v>
      </c>
      <c r="P88" s="19">
        <f t="shared" si="34"/>
        <v>50</v>
      </c>
      <c r="Q88" s="177">
        <v>50</v>
      </c>
      <c r="R88" s="40">
        <v>75</v>
      </c>
      <c r="S88" s="41">
        <v>35</v>
      </c>
      <c r="T88" s="42">
        <v>70</v>
      </c>
      <c r="U88" s="43">
        <v>30</v>
      </c>
      <c r="V88" s="44">
        <v>40</v>
      </c>
      <c r="W88" s="45">
        <f t="shared" si="25"/>
        <v>300</v>
      </c>
      <c r="X88" s="19">
        <f t="shared" si="26"/>
        <v>50</v>
      </c>
      <c r="Y88" s="3">
        <v>50</v>
      </c>
      <c r="Z88" s="4">
        <v>75</v>
      </c>
      <c r="AA88" s="5">
        <v>35</v>
      </c>
      <c r="AB88" s="6">
        <v>70</v>
      </c>
      <c r="AC88" s="7">
        <v>30</v>
      </c>
      <c r="AD88" s="8">
        <v>40</v>
      </c>
      <c r="AE88" s="1">
        <v>300</v>
      </c>
      <c r="AF88" s="19">
        <v>50</v>
      </c>
      <c r="AG88" s="139">
        <v>50</v>
      </c>
      <c r="AH88" s="140">
        <v>75</v>
      </c>
      <c r="AI88" s="141">
        <v>35</v>
      </c>
      <c r="AJ88" s="142">
        <v>70</v>
      </c>
      <c r="AK88" s="143">
        <v>30</v>
      </c>
      <c r="AL88" s="144">
        <v>40</v>
      </c>
      <c r="AM88" s="138">
        <v>300</v>
      </c>
      <c r="AN88" s="153">
        <v>50</v>
      </c>
      <c r="AO88" s="139">
        <v>50</v>
      </c>
      <c r="AP88" s="140">
        <v>75</v>
      </c>
      <c r="AQ88" s="141">
        <v>35</v>
      </c>
      <c r="AR88" s="162">
        <v>70</v>
      </c>
      <c r="AS88" s="162">
        <v>70</v>
      </c>
      <c r="AT88" s="144">
        <v>40</v>
      </c>
      <c r="AU88" s="138">
        <f t="shared" si="37"/>
        <v>340</v>
      </c>
      <c r="AV88" s="153">
        <f t="shared" si="38"/>
        <v>56.666666666666664</v>
      </c>
      <c r="AW88" s="45"/>
      <c r="AX88" s="174" t="b">
        <f>IF('Refined Compare'!$D$2="All",TRUE,IF(F88='Refined Compare'!$D$2,TRUE,IF(G88='Refined Compare'!$D$2,TRUE,FALSE)))</f>
        <v>0</v>
      </c>
      <c r="AY88" s="174" t="b">
        <f>IF('Refined Compare'!$D$3="All",TRUE,IF(F88='Refined Compare'!$D$3,TRUE,IF(G88='Refined Compare'!$D$3,TRUE,FALSE)))</f>
        <v>0</v>
      </c>
      <c r="AZ88" s="174" t="b">
        <f t="shared" si="35"/>
        <v>1</v>
      </c>
    </row>
    <row r="89" spans="1:52" x14ac:dyDescent="0.35">
      <c r="A89">
        <f t="shared" si="36"/>
        <v>88</v>
      </c>
      <c r="B89" s="18">
        <v>70</v>
      </c>
      <c r="C89" s="61">
        <v>1</v>
      </c>
      <c r="D89" s="61" t="b">
        <v>0</v>
      </c>
      <c r="E89" s="61"/>
      <c r="F89" s="66" t="s">
        <v>806</v>
      </c>
      <c r="G89" s="66" t="s">
        <v>807</v>
      </c>
      <c r="H89" s="2" t="s">
        <v>268</v>
      </c>
      <c r="I89" s="39">
        <f t="shared" si="27"/>
        <v>65</v>
      </c>
      <c r="J89" s="40">
        <f t="shared" si="28"/>
        <v>90</v>
      </c>
      <c r="K89" s="41">
        <f t="shared" si="29"/>
        <v>50</v>
      </c>
      <c r="L89" s="42">
        <f t="shared" si="30"/>
        <v>85</v>
      </c>
      <c r="M89" s="43">
        <f t="shared" si="31"/>
        <v>45</v>
      </c>
      <c r="N89" s="44">
        <f t="shared" si="32"/>
        <v>55</v>
      </c>
      <c r="O89" s="45">
        <f t="shared" si="33"/>
        <v>390</v>
      </c>
      <c r="P89" s="19">
        <f t="shared" si="34"/>
        <v>65</v>
      </c>
      <c r="Q89" s="177">
        <v>65</v>
      </c>
      <c r="R89" s="40">
        <v>90</v>
      </c>
      <c r="S89" s="41">
        <v>50</v>
      </c>
      <c r="T89" s="42">
        <v>85</v>
      </c>
      <c r="U89" s="43">
        <v>45</v>
      </c>
      <c r="V89" s="44">
        <v>55</v>
      </c>
      <c r="W89" s="45">
        <f t="shared" si="25"/>
        <v>390</v>
      </c>
      <c r="X89" s="19">
        <f t="shared" si="26"/>
        <v>65</v>
      </c>
      <c r="Y89" s="3">
        <v>65</v>
      </c>
      <c r="Z89" s="4">
        <v>90</v>
      </c>
      <c r="AA89" s="5">
        <v>50</v>
      </c>
      <c r="AB89" s="6">
        <v>85</v>
      </c>
      <c r="AC89" s="7">
        <v>45</v>
      </c>
      <c r="AD89" s="8">
        <v>55</v>
      </c>
      <c r="AE89" s="1">
        <v>390</v>
      </c>
      <c r="AF89" s="19">
        <v>65</v>
      </c>
      <c r="AG89" s="139">
        <v>65</v>
      </c>
      <c r="AH89" s="140">
        <v>90</v>
      </c>
      <c r="AI89" s="141">
        <v>50</v>
      </c>
      <c r="AJ89" s="142">
        <v>85</v>
      </c>
      <c r="AK89" s="143">
        <v>45</v>
      </c>
      <c r="AL89" s="144">
        <v>55</v>
      </c>
      <c r="AM89" s="138">
        <v>390</v>
      </c>
      <c r="AN89" s="153">
        <v>65</v>
      </c>
      <c r="AO89" s="139">
        <v>65</v>
      </c>
      <c r="AP89" s="140">
        <v>90</v>
      </c>
      <c r="AQ89" s="141">
        <v>50</v>
      </c>
      <c r="AR89" s="162">
        <v>85</v>
      </c>
      <c r="AS89" s="162">
        <v>85</v>
      </c>
      <c r="AT89" s="144">
        <v>55</v>
      </c>
      <c r="AU89" s="138">
        <f t="shared" si="37"/>
        <v>430</v>
      </c>
      <c r="AV89" s="153">
        <f t="shared" si="38"/>
        <v>71.666666666666671</v>
      </c>
      <c r="AW89" s="45"/>
      <c r="AX89" s="174" t="b">
        <f>IF('Refined Compare'!$D$2="All",TRUE,IF(F89='Refined Compare'!$D$2,TRUE,IF(G89='Refined Compare'!$D$2,TRUE,FALSE)))</f>
        <v>0</v>
      </c>
      <c r="AY89" s="174" t="b">
        <f>IF('Refined Compare'!$D$3="All",TRUE,IF(F89='Refined Compare'!$D$3,TRUE,IF(G89='Refined Compare'!$D$3,TRUE,FALSE)))</f>
        <v>0</v>
      </c>
      <c r="AZ89" s="174" t="b">
        <f t="shared" si="35"/>
        <v>1</v>
      </c>
    </row>
    <row r="90" spans="1:52" x14ac:dyDescent="0.35">
      <c r="A90">
        <f t="shared" si="36"/>
        <v>89</v>
      </c>
      <c r="B90" s="18">
        <v>71</v>
      </c>
      <c r="C90" s="61">
        <v>1</v>
      </c>
      <c r="D90" s="118" t="b">
        <v>1</v>
      </c>
      <c r="E90" s="61"/>
      <c r="F90" s="66" t="s">
        <v>806</v>
      </c>
      <c r="G90" s="66" t="s">
        <v>807</v>
      </c>
      <c r="H90" s="2" t="s">
        <v>422</v>
      </c>
      <c r="I90" s="39">
        <f t="shared" si="27"/>
        <v>80</v>
      </c>
      <c r="J90" s="40">
        <f t="shared" si="28"/>
        <v>105</v>
      </c>
      <c r="K90" s="41">
        <f t="shared" si="29"/>
        <v>65</v>
      </c>
      <c r="L90" s="42">
        <f t="shared" si="30"/>
        <v>100</v>
      </c>
      <c r="M90" s="43">
        <f t="shared" si="31"/>
        <v>60</v>
      </c>
      <c r="N90" s="44">
        <f t="shared" si="32"/>
        <v>70</v>
      </c>
      <c r="O90" s="45">
        <f t="shared" si="33"/>
        <v>480</v>
      </c>
      <c r="P90" s="19">
        <f t="shared" si="34"/>
        <v>80</v>
      </c>
      <c r="Q90" s="177">
        <v>80</v>
      </c>
      <c r="R90" s="40">
        <v>105</v>
      </c>
      <c r="S90" s="41">
        <v>65</v>
      </c>
      <c r="T90" s="42">
        <v>100</v>
      </c>
      <c r="U90" s="43">
        <v>70</v>
      </c>
      <c r="V90" s="44">
        <v>70</v>
      </c>
      <c r="W90" s="45">
        <f t="shared" si="25"/>
        <v>490</v>
      </c>
      <c r="X90" s="19">
        <f t="shared" si="26"/>
        <v>81.67</v>
      </c>
      <c r="Y90" s="3">
        <v>80</v>
      </c>
      <c r="Z90" s="4">
        <v>105</v>
      </c>
      <c r="AA90" s="5">
        <v>65</v>
      </c>
      <c r="AB90" s="6">
        <v>100</v>
      </c>
      <c r="AC90" s="7">
        <v>70</v>
      </c>
      <c r="AD90" s="8">
        <v>70</v>
      </c>
      <c r="AE90" s="1">
        <v>490</v>
      </c>
      <c r="AF90" s="19">
        <v>81.67</v>
      </c>
      <c r="AG90" s="139">
        <v>80</v>
      </c>
      <c r="AH90" s="140">
        <v>105</v>
      </c>
      <c r="AI90" s="141">
        <v>65</v>
      </c>
      <c r="AJ90" s="142">
        <v>100</v>
      </c>
      <c r="AK90" s="143">
        <v>60</v>
      </c>
      <c r="AL90" s="144">
        <v>70</v>
      </c>
      <c r="AM90" s="138">
        <v>480</v>
      </c>
      <c r="AN90" s="153">
        <v>80</v>
      </c>
      <c r="AO90" s="139">
        <v>80</v>
      </c>
      <c r="AP90" s="140">
        <v>105</v>
      </c>
      <c r="AQ90" s="141">
        <v>65</v>
      </c>
      <c r="AR90" s="162">
        <v>100</v>
      </c>
      <c r="AS90" s="162">
        <v>100</v>
      </c>
      <c r="AT90" s="144">
        <v>70</v>
      </c>
      <c r="AU90" s="138">
        <f t="shared" si="37"/>
        <v>520</v>
      </c>
      <c r="AV90" s="153">
        <f t="shared" si="38"/>
        <v>86.666666666666671</v>
      </c>
      <c r="AW90" s="45"/>
      <c r="AX90" s="174" t="b">
        <f>IF('Refined Compare'!$D$2="All",TRUE,IF(F90='Refined Compare'!$D$2,TRUE,IF(G90='Refined Compare'!$D$2,TRUE,FALSE)))</f>
        <v>0</v>
      </c>
      <c r="AY90" s="174" t="b">
        <f>IF('Refined Compare'!$D$3="All",TRUE,IF(F90='Refined Compare'!$D$3,TRUE,IF(G90='Refined Compare'!$D$3,TRUE,FALSE)))</f>
        <v>0</v>
      </c>
      <c r="AZ90" s="174" t="b">
        <f t="shared" si="35"/>
        <v>1</v>
      </c>
    </row>
    <row r="91" spans="1:52" x14ac:dyDescent="0.35">
      <c r="A91">
        <f t="shared" si="36"/>
        <v>90</v>
      </c>
      <c r="B91" s="18">
        <v>72</v>
      </c>
      <c r="C91" s="61">
        <v>1</v>
      </c>
      <c r="D91" s="61" t="b">
        <v>0</v>
      </c>
      <c r="E91" s="61"/>
      <c r="F91" s="66" t="s">
        <v>810</v>
      </c>
      <c r="G91" s="66" t="s">
        <v>807</v>
      </c>
      <c r="H91" s="2" t="s">
        <v>423</v>
      </c>
      <c r="I91" s="39">
        <f t="shared" si="27"/>
        <v>40</v>
      </c>
      <c r="J91" s="40">
        <f t="shared" si="28"/>
        <v>40</v>
      </c>
      <c r="K91" s="41">
        <f t="shared" si="29"/>
        <v>35</v>
      </c>
      <c r="L91" s="42">
        <f t="shared" si="30"/>
        <v>50</v>
      </c>
      <c r="M91" s="43">
        <f t="shared" si="31"/>
        <v>100</v>
      </c>
      <c r="N91" s="44">
        <f t="shared" si="32"/>
        <v>70</v>
      </c>
      <c r="O91" s="45">
        <f t="shared" si="33"/>
        <v>335</v>
      </c>
      <c r="P91" s="19">
        <f t="shared" si="34"/>
        <v>55.83</v>
      </c>
      <c r="Q91" s="177">
        <v>40</v>
      </c>
      <c r="R91" s="40">
        <v>40</v>
      </c>
      <c r="S91" s="41">
        <v>35</v>
      </c>
      <c r="T91" s="42">
        <v>50</v>
      </c>
      <c r="U91" s="43">
        <v>100</v>
      </c>
      <c r="V91" s="44">
        <v>70</v>
      </c>
      <c r="W91" s="45">
        <f t="shared" ref="W91:W155" si="39">SUM(Q91:V91)</f>
        <v>335</v>
      </c>
      <c r="X91" s="19">
        <f t="shared" ref="X91:X155" si="40">ROUND(AVERAGE(Q91:V91),2)</f>
        <v>55.83</v>
      </c>
      <c r="Y91" s="3">
        <v>40</v>
      </c>
      <c r="Z91" s="4">
        <v>40</v>
      </c>
      <c r="AA91" s="5">
        <v>35</v>
      </c>
      <c r="AB91" s="6">
        <v>50</v>
      </c>
      <c r="AC91" s="7">
        <v>100</v>
      </c>
      <c r="AD91" s="8">
        <v>70</v>
      </c>
      <c r="AE91" s="1">
        <v>335</v>
      </c>
      <c r="AF91" s="19">
        <v>55.83</v>
      </c>
      <c r="AG91" s="139">
        <v>40</v>
      </c>
      <c r="AH91" s="140">
        <v>40</v>
      </c>
      <c r="AI91" s="141">
        <v>35</v>
      </c>
      <c r="AJ91" s="142">
        <v>50</v>
      </c>
      <c r="AK91" s="143">
        <v>100</v>
      </c>
      <c r="AL91" s="144">
        <v>70</v>
      </c>
      <c r="AM91" s="138">
        <v>335</v>
      </c>
      <c r="AN91" s="153">
        <v>55.83</v>
      </c>
      <c r="AO91" s="139">
        <v>40</v>
      </c>
      <c r="AP91" s="140">
        <v>40</v>
      </c>
      <c r="AQ91" s="141">
        <v>35</v>
      </c>
      <c r="AR91" s="162">
        <v>100</v>
      </c>
      <c r="AS91" s="162">
        <v>100</v>
      </c>
      <c r="AT91" s="144">
        <v>70</v>
      </c>
      <c r="AU91" s="138">
        <f t="shared" si="37"/>
        <v>385</v>
      </c>
      <c r="AV91" s="153">
        <f t="shared" si="38"/>
        <v>64.166666666666671</v>
      </c>
      <c r="AW91" s="45"/>
      <c r="AX91" s="174" t="b">
        <f>IF('Refined Compare'!$D$2="All",TRUE,IF(F91='Refined Compare'!$D$2,TRUE,IF(G91='Refined Compare'!$D$2,TRUE,FALSE)))</f>
        <v>0</v>
      </c>
      <c r="AY91" s="174" t="b">
        <f>IF('Refined Compare'!$D$3="All",TRUE,IF(F91='Refined Compare'!$D$3,TRUE,IF(G91='Refined Compare'!$D$3,TRUE,FALSE)))</f>
        <v>0</v>
      </c>
      <c r="AZ91" s="174" t="b">
        <f t="shared" si="35"/>
        <v>1</v>
      </c>
    </row>
    <row r="92" spans="1:52" x14ac:dyDescent="0.35">
      <c r="A92">
        <f t="shared" si="36"/>
        <v>91</v>
      </c>
      <c r="B92" s="18">
        <v>73</v>
      </c>
      <c r="C92" s="61">
        <v>1</v>
      </c>
      <c r="D92" s="118" t="b">
        <v>1</v>
      </c>
      <c r="E92" s="61"/>
      <c r="F92" s="66" t="s">
        <v>810</v>
      </c>
      <c r="G92" s="66" t="s">
        <v>807</v>
      </c>
      <c r="H92" s="2" t="s">
        <v>658</v>
      </c>
      <c r="I92" s="39">
        <f t="shared" si="27"/>
        <v>80</v>
      </c>
      <c r="J92" s="40">
        <f t="shared" si="28"/>
        <v>70</v>
      </c>
      <c r="K92" s="41">
        <f t="shared" si="29"/>
        <v>65</v>
      </c>
      <c r="L92" s="42">
        <f t="shared" si="30"/>
        <v>80</v>
      </c>
      <c r="M92" s="43">
        <f t="shared" si="31"/>
        <v>120</v>
      </c>
      <c r="N92" s="44">
        <f t="shared" si="32"/>
        <v>100</v>
      </c>
      <c r="O92" s="45">
        <f t="shared" si="33"/>
        <v>515</v>
      </c>
      <c r="P92" s="19">
        <f t="shared" si="34"/>
        <v>85.83</v>
      </c>
      <c r="Q92" s="177">
        <v>80</v>
      </c>
      <c r="R92" s="40">
        <v>70</v>
      </c>
      <c r="S92" s="41">
        <v>65</v>
      </c>
      <c r="T92" s="42">
        <v>80</v>
      </c>
      <c r="U92" s="43">
        <v>120</v>
      </c>
      <c r="V92" s="44">
        <v>100</v>
      </c>
      <c r="W92" s="45">
        <f t="shared" si="39"/>
        <v>515</v>
      </c>
      <c r="X92" s="19">
        <f t="shared" si="40"/>
        <v>85.83</v>
      </c>
      <c r="Y92" s="3">
        <v>80</v>
      </c>
      <c r="Z92" s="4">
        <v>70</v>
      </c>
      <c r="AA92" s="5">
        <v>65</v>
      </c>
      <c r="AB92" s="6">
        <v>80</v>
      </c>
      <c r="AC92" s="7">
        <v>120</v>
      </c>
      <c r="AD92" s="8">
        <v>100</v>
      </c>
      <c r="AE92" s="1">
        <v>515</v>
      </c>
      <c r="AF92" s="19">
        <v>85.83</v>
      </c>
      <c r="AG92" s="139">
        <v>80</v>
      </c>
      <c r="AH92" s="140">
        <v>70</v>
      </c>
      <c r="AI92" s="141">
        <v>65</v>
      </c>
      <c r="AJ92" s="142">
        <v>80</v>
      </c>
      <c r="AK92" s="143">
        <v>120</v>
      </c>
      <c r="AL92" s="144">
        <v>100</v>
      </c>
      <c r="AM92" s="138">
        <v>515</v>
      </c>
      <c r="AN92" s="153">
        <v>85.83</v>
      </c>
      <c r="AO92" s="139">
        <v>80</v>
      </c>
      <c r="AP92" s="140">
        <v>70</v>
      </c>
      <c r="AQ92" s="141">
        <v>65</v>
      </c>
      <c r="AR92" s="162">
        <v>120</v>
      </c>
      <c r="AS92" s="162">
        <v>120</v>
      </c>
      <c r="AT92" s="144">
        <v>100</v>
      </c>
      <c r="AU92" s="138">
        <f t="shared" si="37"/>
        <v>555</v>
      </c>
      <c r="AV92" s="153">
        <f t="shared" si="38"/>
        <v>92.5</v>
      </c>
      <c r="AW92" s="45"/>
      <c r="AX92" s="174" t="b">
        <f>IF('Refined Compare'!$D$2="All",TRUE,IF(F92='Refined Compare'!$D$2,TRUE,IF(G92='Refined Compare'!$D$2,TRUE,FALSE)))</f>
        <v>0</v>
      </c>
      <c r="AY92" s="174" t="b">
        <f>IF('Refined Compare'!$D$3="All",TRUE,IF(F92='Refined Compare'!$D$3,TRUE,IF(G92='Refined Compare'!$D$3,TRUE,FALSE)))</f>
        <v>0</v>
      </c>
      <c r="AZ92" s="174" t="b">
        <f t="shared" si="35"/>
        <v>1</v>
      </c>
    </row>
    <row r="93" spans="1:52" x14ac:dyDescent="0.35">
      <c r="A93">
        <f t="shared" si="36"/>
        <v>92</v>
      </c>
      <c r="B93" s="18">
        <v>74</v>
      </c>
      <c r="C93" s="61">
        <v>1</v>
      </c>
      <c r="D93" s="61" t="b">
        <v>0</v>
      </c>
      <c r="E93" s="61"/>
      <c r="F93" s="66" t="s">
        <v>818</v>
      </c>
      <c r="G93" s="66" t="s">
        <v>814</v>
      </c>
      <c r="H93" s="2" t="s">
        <v>15</v>
      </c>
      <c r="I93" s="39">
        <f t="shared" ref="I93:I157" si="41">IF($AW$2=7,Q93,IF($AW$2=6,Y93,IF($AW$2=1,AO93,AG93)))</f>
        <v>40</v>
      </c>
      <c r="J93" s="40">
        <f t="shared" ref="J93:J157" si="42">IF($AW$2=7,R93,IF($AW$2=6,Z93,IF($AW$2=1,AP93,AH93)))</f>
        <v>80</v>
      </c>
      <c r="K93" s="41">
        <f t="shared" ref="K93:K157" si="43">IF($AW$2=7,S93,IF($AW$2=6,AA93,IF($AW$2=1,AQ93,AI93)))</f>
        <v>100</v>
      </c>
      <c r="L93" s="42">
        <f t="shared" ref="L93:L157" si="44">IF($AW$2=7,T93,IF($AW$2=6,AB93,IF($AW$2=1,AR93,AJ93)))</f>
        <v>30</v>
      </c>
      <c r="M93" s="43">
        <f t="shared" ref="M93:M157" si="45">IF($AW$2=7,U93,IF($AW$2=6,AC93,IF($AW$2=1,AS93,AK93)))</f>
        <v>30</v>
      </c>
      <c r="N93" s="44">
        <f t="shared" ref="N93:N157" si="46">IF($AW$2=7,V93,IF($AW$2=6,AD93,IF($AW$2=1,AT93,AL93)))</f>
        <v>20</v>
      </c>
      <c r="O93" s="45">
        <f t="shared" ref="O93:O157" si="47">IF($AW$2=7,W93,IF($AW$2=6,AE93,IF($AW$2=1,AU93,AM93)))</f>
        <v>300</v>
      </c>
      <c r="P93" s="19">
        <f t="shared" ref="P93:P157" si="48">IF($AW$2=7,X93,IF($AW$2=6,AF93,IF($AW$2=1,AV93,AN93)))</f>
        <v>50</v>
      </c>
      <c r="Q93" s="177">
        <v>40</v>
      </c>
      <c r="R93" s="40">
        <v>80</v>
      </c>
      <c r="S93" s="41">
        <v>100</v>
      </c>
      <c r="T93" s="42">
        <v>30</v>
      </c>
      <c r="U93" s="43">
        <v>30</v>
      </c>
      <c r="V93" s="44">
        <v>20</v>
      </c>
      <c r="W93" s="45">
        <f t="shared" si="39"/>
        <v>300</v>
      </c>
      <c r="X93" s="19">
        <f t="shared" si="40"/>
        <v>50</v>
      </c>
      <c r="Y93" s="3">
        <v>40</v>
      </c>
      <c r="Z93" s="4">
        <v>80</v>
      </c>
      <c r="AA93" s="5">
        <v>100</v>
      </c>
      <c r="AB93" s="6">
        <v>30</v>
      </c>
      <c r="AC93" s="7">
        <v>30</v>
      </c>
      <c r="AD93" s="8">
        <v>20</v>
      </c>
      <c r="AE93" s="1">
        <v>300</v>
      </c>
      <c r="AF93" s="19">
        <v>50</v>
      </c>
      <c r="AG93" s="139">
        <v>40</v>
      </c>
      <c r="AH93" s="140">
        <v>80</v>
      </c>
      <c r="AI93" s="141">
        <v>100</v>
      </c>
      <c r="AJ93" s="142">
        <v>30</v>
      </c>
      <c r="AK93" s="143">
        <v>30</v>
      </c>
      <c r="AL93" s="144">
        <v>20</v>
      </c>
      <c r="AM93" s="138">
        <v>300</v>
      </c>
      <c r="AN93" s="153">
        <v>50</v>
      </c>
      <c r="AO93" s="139">
        <v>40</v>
      </c>
      <c r="AP93" s="140">
        <v>80</v>
      </c>
      <c r="AQ93" s="141">
        <v>100</v>
      </c>
      <c r="AR93" s="162">
        <v>30</v>
      </c>
      <c r="AS93" s="162">
        <v>30</v>
      </c>
      <c r="AT93" s="144">
        <v>20</v>
      </c>
      <c r="AU93" s="138">
        <f t="shared" si="37"/>
        <v>300</v>
      </c>
      <c r="AV93" s="153">
        <f t="shared" si="38"/>
        <v>50</v>
      </c>
      <c r="AW93" s="45"/>
      <c r="AX93" s="174" t="b">
        <f>IF('Refined Compare'!$D$2="All",TRUE,IF(F93='Refined Compare'!$D$2,TRUE,IF(G93='Refined Compare'!$D$2,TRUE,FALSE)))</f>
        <v>0</v>
      </c>
      <c r="AY93" s="174" t="b">
        <f>IF('Refined Compare'!$D$3="All",TRUE,IF(F93='Refined Compare'!$D$3,TRUE,IF(G93='Refined Compare'!$D$3,TRUE,FALSE)))</f>
        <v>0</v>
      </c>
      <c r="AZ93" s="174" t="b">
        <f t="shared" si="35"/>
        <v>1</v>
      </c>
    </row>
    <row r="94" spans="1:52" x14ac:dyDescent="0.35">
      <c r="A94">
        <f t="shared" si="36"/>
        <v>93</v>
      </c>
      <c r="B94" s="18">
        <v>74</v>
      </c>
      <c r="C94" s="61">
        <v>7</v>
      </c>
      <c r="D94" s="61"/>
      <c r="E94" s="61"/>
      <c r="F94" s="66" t="s">
        <v>818</v>
      </c>
      <c r="G94" s="66" t="s">
        <v>813</v>
      </c>
      <c r="H94" s="2" t="s">
        <v>972</v>
      </c>
      <c r="I94" s="39">
        <f t="shared" si="41"/>
        <v>0</v>
      </c>
      <c r="J94" s="40">
        <f t="shared" si="42"/>
        <v>0</v>
      </c>
      <c r="K94" s="41">
        <f t="shared" si="43"/>
        <v>0</v>
      </c>
      <c r="L94" s="42">
        <f t="shared" si="44"/>
        <v>0</v>
      </c>
      <c r="M94" s="43">
        <f t="shared" si="45"/>
        <v>0</v>
      </c>
      <c r="N94" s="44">
        <f t="shared" si="46"/>
        <v>0</v>
      </c>
      <c r="O94" s="45">
        <f t="shared" si="47"/>
        <v>0</v>
      </c>
      <c r="P94" s="19">
        <f t="shared" si="48"/>
        <v>0</v>
      </c>
      <c r="Q94" s="177">
        <v>40</v>
      </c>
      <c r="R94" s="40">
        <v>80</v>
      </c>
      <c r="S94" s="41">
        <v>100</v>
      </c>
      <c r="T94" s="42">
        <v>30</v>
      </c>
      <c r="U94" s="43">
        <v>30</v>
      </c>
      <c r="V94" s="44">
        <v>20</v>
      </c>
      <c r="W94" s="45">
        <f t="shared" si="39"/>
        <v>300</v>
      </c>
      <c r="X94" s="19">
        <f t="shared" si="40"/>
        <v>50</v>
      </c>
      <c r="Y94" s="3"/>
      <c r="Z94" s="4"/>
      <c r="AA94" s="5"/>
      <c r="AB94" s="6"/>
      <c r="AC94" s="7"/>
      <c r="AD94" s="8"/>
      <c r="AE94" s="1"/>
      <c r="AF94" s="19"/>
      <c r="AG94" s="139"/>
      <c r="AH94" s="140"/>
      <c r="AI94" s="141"/>
      <c r="AJ94" s="142"/>
      <c r="AK94" s="143"/>
      <c r="AL94" s="144"/>
      <c r="AM94" s="138"/>
      <c r="AN94" s="153"/>
      <c r="AO94" s="139"/>
      <c r="AP94" s="140"/>
      <c r="AQ94" s="141"/>
      <c r="AR94" s="162"/>
      <c r="AS94" s="162"/>
      <c r="AT94" s="144"/>
      <c r="AU94" s="138"/>
      <c r="AV94" s="153"/>
      <c r="AW94" s="45"/>
      <c r="AX94" s="174" t="b">
        <f>IF('Refined Compare'!$D$2="All",TRUE,IF(F94='Refined Compare'!$D$2,TRUE,IF(G94='Refined Compare'!$D$2,TRUE,FALSE)))</f>
        <v>0</v>
      </c>
      <c r="AY94" s="174" t="b">
        <f>IF('Refined Compare'!$D$3="All",TRUE,IF(F94='Refined Compare'!$D$3,TRUE,IF(G94='Refined Compare'!$D$3,TRUE,FALSE)))</f>
        <v>0</v>
      </c>
      <c r="AZ94" s="174" t="b">
        <f t="shared" si="35"/>
        <v>0</v>
      </c>
    </row>
    <row r="95" spans="1:52" x14ac:dyDescent="0.35">
      <c r="A95">
        <f t="shared" si="36"/>
        <v>94</v>
      </c>
      <c r="B95" s="18">
        <v>75</v>
      </c>
      <c r="C95" s="61">
        <v>1</v>
      </c>
      <c r="D95" s="61" t="b">
        <v>0</v>
      </c>
      <c r="E95" s="61"/>
      <c r="F95" s="66" t="s">
        <v>818</v>
      </c>
      <c r="G95" s="66" t="s">
        <v>814</v>
      </c>
      <c r="H95" s="2" t="s">
        <v>98</v>
      </c>
      <c r="I95" s="39">
        <f t="shared" si="41"/>
        <v>55</v>
      </c>
      <c r="J95" s="40">
        <f t="shared" si="42"/>
        <v>95</v>
      </c>
      <c r="K95" s="41">
        <f t="shared" si="43"/>
        <v>115</v>
      </c>
      <c r="L95" s="42">
        <f t="shared" si="44"/>
        <v>45</v>
      </c>
      <c r="M95" s="43">
        <f t="shared" si="45"/>
        <v>45</v>
      </c>
      <c r="N95" s="44">
        <f t="shared" si="46"/>
        <v>35</v>
      </c>
      <c r="O95" s="45">
        <f t="shared" si="47"/>
        <v>390</v>
      </c>
      <c r="P95" s="19">
        <f t="shared" si="48"/>
        <v>65</v>
      </c>
      <c r="Q95" s="177">
        <v>55</v>
      </c>
      <c r="R95" s="40">
        <v>95</v>
      </c>
      <c r="S95" s="41">
        <v>115</v>
      </c>
      <c r="T95" s="42">
        <v>45</v>
      </c>
      <c r="U95" s="43">
        <v>45</v>
      </c>
      <c r="V95" s="44">
        <v>35</v>
      </c>
      <c r="W95" s="45">
        <f t="shared" si="39"/>
        <v>390</v>
      </c>
      <c r="X95" s="19">
        <f t="shared" si="40"/>
        <v>65</v>
      </c>
      <c r="Y95" s="3">
        <v>55</v>
      </c>
      <c r="Z95" s="4">
        <v>95</v>
      </c>
      <c r="AA95" s="5">
        <v>115</v>
      </c>
      <c r="AB95" s="6">
        <v>45</v>
      </c>
      <c r="AC95" s="7">
        <v>45</v>
      </c>
      <c r="AD95" s="8">
        <v>35</v>
      </c>
      <c r="AE95" s="1">
        <v>390</v>
      </c>
      <c r="AF95" s="19">
        <v>65</v>
      </c>
      <c r="AG95" s="139">
        <v>55</v>
      </c>
      <c r="AH95" s="140">
        <v>95</v>
      </c>
      <c r="AI95" s="141">
        <v>115</v>
      </c>
      <c r="AJ95" s="142">
        <v>45</v>
      </c>
      <c r="AK95" s="143">
        <v>45</v>
      </c>
      <c r="AL95" s="144">
        <v>35</v>
      </c>
      <c r="AM95" s="138">
        <v>390</v>
      </c>
      <c r="AN95" s="153">
        <v>65</v>
      </c>
      <c r="AO95" s="139">
        <v>55</v>
      </c>
      <c r="AP95" s="140">
        <v>95</v>
      </c>
      <c r="AQ95" s="141">
        <v>115</v>
      </c>
      <c r="AR95" s="162">
        <v>45</v>
      </c>
      <c r="AS95" s="162">
        <v>45</v>
      </c>
      <c r="AT95" s="144">
        <v>35</v>
      </c>
      <c r="AU95" s="138">
        <f t="shared" si="37"/>
        <v>390</v>
      </c>
      <c r="AV95" s="153">
        <f t="shared" si="38"/>
        <v>65</v>
      </c>
      <c r="AW95" s="45"/>
      <c r="AX95" s="174" t="b">
        <f>IF('Refined Compare'!$D$2="All",TRUE,IF(F95='Refined Compare'!$D$2,TRUE,IF(G95='Refined Compare'!$D$2,TRUE,FALSE)))</f>
        <v>0</v>
      </c>
      <c r="AY95" s="174" t="b">
        <f>IF('Refined Compare'!$D$3="All",TRUE,IF(F95='Refined Compare'!$D$3,TRUE,IF(G95='Refined Compare'!$D$3,TRUE,FALSE)))</f>
        <v>0</v>
      </c>
      <c r="AZ95" s="174" t="b">
        <f t="shared" si="35"/>
        <v>1</v>
      </c>
    </row>
    <row r="96" spans="1:52" x14ac:dyDescent="0.35">
      <c r="A96">
        <f t="shared" si="36"/>
        <v>95</v>
      </c>
      <c r="B96" s="18">
        <v>75</v>
      </c>
      <c r="C96" s="61">
        <v>7</v>
      </c>
      <c r="D96" s="61"/>
      <c r="E96" s="61"/>
      <c r="F96" s="66" t="s">
        <v>818</v>
      </c>
      <c r="G96" s="66" t="s">
        <v>813</v>
      </c>
      <c r="H96" s="2" t="s">
        <v>973</v>
      </c>
      <c r="I96" s="39">
        <f t="shared" si="41"/>
        <v>0</v>
      </c>
      <c r="J96" s="40">
        <f t="shared" si="42"/>
        <v>0</v>
      </c>
      <c r="K96" s="41">
        <f t="shared" si="43"/>
        <v>0</v>
      </c>
      <c r="L96" s="42">
        <f t="shared" si="44"/>
        <v>0</v>
      </c>
      <c r="M96" s="43">
        <f t="shared" si="45"/>
        <v>0</v>
      </c>
      <c r="N96" s="44">
        <f t="shared" si="46"/>
        <v>0</v>
      </c>
      <c r="O96" s="45">
        <f t="shared" si="47"/>
        <v>0</v>
      </c>
      <c r="P96" s="19">
        <f t="shared" si="48"/>
        <v>0</v>
      </c>
      <c r="Q96" s="177">
        <v>55</v>
      </c>
      <c r="R96" s="40">
        <v>95</v>
      </c>
      <c r="S96" s="41">
        <v>115</v>
      </c>
      <c r="T96" s="42">
        <v>45</v>
      </c>
      <c r="U96" s="43">
        <v>45</v>
      </c>
      <c r="V96" s="44">
        <v>35</v>
      </c>
      <c r="W96" s="45">
        <f t="shared" si="39"/>
        <v>390</v>
      </c>
      <c r="X96" s="19">
        <f t="shared" si="40"/>
        <v>65</v>
      </c>
      <c r="Y96" s="3"/>
      <c r="Z96" s="4"/>
      <c r="AA96" s="5"/>
      <c r="AB96" s="6"/>
      <c r="AC96" s="7"/>
      <c r="AD96" s="8"/>
      <c r="AE96" s="1"/>
      <c r="AF96" s="19"/>
      <c r="AG96" s="139"/>
      <c r="AH96" s="140"/>
      <c r="AI96" s="141"/>
      <c r="AJ96" s="142"/>
      <c r="AK96" s="143"/>
      <c r="AL96" s="144"/>
      <c r="AM96" s="138"/>
      <c r="AN96" s="153"/>
      <c r="AO96" s="139"/>
      <c r="AP96" s="140"/>
      <c r="AQ96" s="141"/>
      <c r="AR96" s="162"/>
      <c r="AS96" s="162"/>
      <c r="AT96" s="144"/>
      <c r="AU96" s="138"/>
      <c r="AV96" s="153"/>
      <c r="AW96" s="45"/>
      <c r="AX96" s="174" t="b">
        <f>IF('Refined Compare'!$D$2="All",TRUE,IF(F96='Refined Compare'!$D$2,TRUE,IF(G96='Refined Compare'!$D$2,TRUE,FALSE)))</f>
        <v>0</v>
      </c>
      <c r="AY96" s="174" t="b">
        <f>IF('Refined Compare'!$D$3="All",TRUE,IF(F96='Refined Compare'!$D$3,TRUE,IF(G96='Refined Compare'!$D$3,TRUE,FALSE)))</f>
        <v>0</v>
      </c>
      <c r="AZ96" s="174" t="b">
        <f t="shared" si="35"/>
        <v>0</v>
      </c>
    </row>
    <row r="97" spans="1:52" x14ac:dyDescent="0.35">
      <c r="A97">
        <f t="shared" si="36"/>
        <v>96</v>
      </c>
      <c r="B97" s="18">
        <v>76</v>
      </c>
      <c r="C97" s="61">
        <v>1</v>
      </c>
      <c r="D97" s="118" t="b">
        <v>1</v>
      </c>
      <c r="E97" s="61"/>
      <c r="F97" s="66" t="s">
        <v>818</v>
      </c>
      <c r="G97" s="66" t="s">
        <v>814</v>
      </c>
      <c r="H97" s="2" t="s">
        <v>176</v>
      </c>
      <c r="I97" s="39">
        <f t="shared" si="41"/>
        <v>80</v>
      </c>
      <c r="J97" s="40">
        <f t="shared" si="42"/>
        <v>110</v>
      </c>
      <c r="K97" s="41">
        <f t="shared" si="43"/>
        <v>130</v>
      </c>
      <c r="L97" s="42">
        <f t="shared" si="44"/>
        <v>55</v>
      </c>
      <c r="M97" s="43">
        <f t="shared" si="45"/>
        <v>65</v>
      </c>
      <c r="N97" s="44">
        <f t="shared" si="46"/>
        <v>45</v>
      </c>
      <c r="O97" s="45">
        <f t="shared" si="47"/>
        <v>485</v>
      </c>
      <c r="P97" s="19">
        <f t="shared" si="48"/>
        <v>80.83</v>
      </c>
      <c r="Q97" s="177">
        <v>80</v>
      </c>
      <c r="R97" s="40">
        <v>120</v>
      </c>
      <c r="S97" s="41">
        <v>130</v>
      </c>
      <c r="T97" s="42">
        <v>55</v>
      </c>
      <c r="U97" s="43">
        <v>65</v>
      </c>
      <c r="V97" s="44">
        <v>45</v>
      </c>
      <c r="W97" s="45">
        <f t="shared" si="39"/>
        <v>495</v>
      </c>
      <c r="X97" s="19">
        <f t="shared" si="40"/>
        <v>82.5</v>
      </c>
      <c r="Y97" s="3">
        <v>80</v>
      </c>
      <c r="Z97" s="4">
        <v>120</v>
      </c>
      <c r="AA97" s="5">
        <v>130</v>
      </c>
      <c r="AB97" s="6">
        <v>55</v>
      </c>
      <c r="AC97" s="7">
        <v>65</v>
      </c>
      <c r="AD97" s="8">
        <v>45</v>
      </c>
      <c r="AE97" s="1">
        <v>495</v>
      </c>
      <c r="AF97" s="19">
        <v>82.5</v>
      </c>
      <c r="AG97" s="139">
        <v>80</v>
      </c>
      <c r="AH97" s="140">
        <v>110</v>
      </c>
      <c r="AI97" s="141">
        <v>130</v>
      </c>
      <c r="AJ97" s="142">
        <v>55</v>
      </c>
      <c r="AK97" s="143">
        <v>65</v>
      </c>
      <c r="AL97" s="144">
        <v>45</v>
      </c>
      <c r="AM97" s="138">
        <v>485</v>
      </c>
      <c r="AN97" s="153">
        <v>80.83</v>
      </c>
      <c r="AO97" s="139">
        <v>80</v>
      </c>
      <c r="AP97" s="140">
        <v>110</v>
      </c>
      <c r="AQ97" s="141">
        <v>130</v>
      </c>
      <c r="AR97" s="162">
        <v>55</v>
      </c>
      <c r="AS97" s="162">
        <v>55</v>
      </c>
      <c r="AT97" s="144">
        <v>45</v>
      </c>
      <c r="AU97" s="138">
        <f t="shared" si="37"/>
        <v>475</v>
      </c>
      <c r="AV97" s="153">
        <f t="shared" si="38"/>
        <v>79.166666666666671</v>
      </c>
      <c r="AW97" s="45"/>
      <c r="AX97" s="174" t="b">
        <f>IF('Refined Compare'!$D$2="All",TRUE,IF(F97='Refined Compare'!$D$2,TRUE,IF(G97='Refined Compare'!$D$2,TRUE,FALSE)))</f>
        <v>0</v>
      </c>
      <c r="AY97" s="174" t="b">
        <f>IF('Refined Compare'!$D$3="All",TRUE,IF(F97='Refined Compare'!$D$3,TRUE,IF(G97='Refined Compare'!$D$3,TRUE,FALSE)))</f>
        <v>0</v>
      </c>
      <c r="AZ97" s="174" t="b">
        <f t="shared" si="35"/>
        <v>1</v>
      </c>
    </row>
    <row r="98" spans="1:52" x14ac:dyDescent="0.35">
      <c r="A98">
        <f t="shared" si="36"/>
        <v>97</v>
      </c>
      <c r="B98" s="18">
        <v>76</v>
      </c>
      <c r="C98" s="61">
        <v>7</v>
      </c>
      <c r="D98" s="118" t="b">
        <v>1</v>
      </c>
      <c r="E98" s="61"/>
      <c r="F98" s="66" t="s">
        <v>818</v>
      </c>
      <c r="G98" s="66" t="s">
        <v>813</v>
      </c>
      <c r="H98" s="2" t="s">
        <v>974</v>
      </c>
      <c r="I98" s="39">
        <f t="shared" si="41"/>
        <v>0</v>
      </c>
      <c r="J98" s="40">
        <f t="shared" si="42"/>
        <v>0</v>
      </c>
      <c r="K98" s="41">
        <f t="shared" si="43"/>
        <v>0</v>
      </c>
      <c r="L98" s="42">
        <f t="shared" si="44"/>
        <v>0</v>
      </c>
      <c r="M98" s="43">
        <f t="shared" si="45"/>
        <v>0</v>
      </c>
      <c r="N98" s="44">
        <f t="shared" si="46"/>
        <v>0</v>
      </c>
      <c r="O98" s="45">
        <f t="shared" si="47"/>
        <v>0</v>
      </c>
      <c r="P98" s="19">
        <f t="shared" si="48"/>
        <v>0</v>
      </c>
      <c r="Q98" s="177">
        <v>80</v>
      </c>
      <c r="R98" s="40">
        <v>120</v>
      </c>
      <c r="S98" s="41">
        <v>130</v>
      </c>
      <c r="T98" s="42">
        <v>55</v>
      </c>
      <c r="U98" s="43">
        <v>65</v>
      </c>
      <c r="V98" s="44">
        <v>45</v>
      </c>
      <c r="W98" s="45">
        <f t="shared" si="39"/>
        <v>495</v>
      </c>
      <c r="X98" s="19">
        <f t="shared" si="40"/>
        <v>82.5</v>
      </c>
      <c r="Y98" s="3"/>
      <c r="Z98" s="4"/>
      <c r="AA98" s="5"/>
      <c r="AB98" s="6"/>
      <c r="AC98" s="7"/>
      <c r="AD98" s="8"/>
      <c r="AE98" s="1"/>
      <c r="AF98" s="19"/>
      <c r="AG98" s="139"/>
      <c r="AH98" s="140"/>
      <c r="AI98" s="141"/>
      <c r="AJ98" s="142"/>
      <c r="AK98" s="143"/>
      <c r="AL98" s="144"/>
      <c r="AM98" s="138"/>
      <c r="AN98" s="153"/>
      <c r="AO98" s="139"/>
      <c r="AP98" s="140"/>
      <c r="AQ98" s="141"/>
      <c r="AR98" s="162"/>
      <c r="AS98" s="162"/>
      <c r="AT98" s="144"/>
      <c r="AU98" s="138"/>
      <c r="AV98" s="153"/>
      <c r="AW98" s="45"/>
      <c r="AX98" s="174" t="b">
        <f>IF('Refined Compare'!$D$2="All",TRUE,IF(F98='Refined Compare'!$D$2,TRUE,IF(G98='Refined Compare'!$D$2,TRUE,FALSE)))</f>
        <v>0</v>
      </c>
      <c r="AY98" s="174" t="b">
        <f>IF('Refined Compare'!$D$3="All",TRUE,IF(F98='Refined Compare'!$D$3,TRUE,IF(G98='Refined Compare'!$D$3,TRUE,FALSE)))</f>
        <v>0</v>
      </c>
      <c r="AZ98" s="174" t="b">
        <f t="shared" si="35"/>
        <v>0</v>
      </c>
    </row>
    <row r="99" spans="1:52" x14ac:dyDescent="0.35">
      <c r="A99">
        <f t="shared" si="36"/>
        <v>98</v>
      </c>
      <c r="B99" s="18">
        <v>77</v>
      </c>
      <c r="C99" s="61">
        <v>1</v>
      </c>
      <c r="D99" s="61" t="b">
        <v>0</v>
      </c>
      <c r="E99" s="61"/>
      <c r="F99" s="66" t="s">
        <v>808</v>
      </c>
      <c r="G99" s="66" t="s">
        <v>827</v>
      </c>
      <c r="H99" s="2" t="s">
        <v>581</v>
      </c>
      <c r="I99" s="39">
        <f t="shared" si="41"/>
        <v>50</v>
      </c>
      <c r="J99" s="40">
        <f t="shared" si="42"/>
        <v>85</v>
      </c>
      <c r="K99" s="41">
        <f t="shared" si="43"/>
        <v>55</v>
      </c>
      <c r="L99" s="42">
        <f t="shared" si="44"/>
        <v>65</v>
      </c>
      <c r="M99" s="43">
        <f t="shared" si="45"/>
        <v>65</v>
      </c>
      <c r="N99" s="44">
        <f t="shared" si="46"/>
        <v>90</v>
      </c>
      <c r="O99" s="45">
        <f t="shared" si="47"/>
        <v>410</v>
      </c>
      <c r="P99" s="19">
        <f t="shared" si="48"/>
        <v>68.33</v>
      </c>
      <c r="Q99" s="177">
        <v>50</v>
      </c>
      <c r="R99" s="40">
        <v>85</v>
      </c>
      <c r="S99" s="41">
        <v>55</v>
      </c>
      <c r="T99" s="42">
        <v>65</v>
      </c>
      <c r="U99" s="43">
        <v>65</v>
      </c>
      <c r="V99" s="44">
        <v>90</v>
      </c>
      <c r="W99" s="45">
        <f t="shared" si="39"/>
        <v>410</v>
      </c>
      <c r="X99" s="19">
        <f t="shared" si="40"/>
        <v>68.33</v>
      </c>
      <c r="Y99" s="3">
        <v>50</v>
      </c>
      <c r="Z99" s="4">
        <v>85</v>
      </c>
      <c r="AA99" s="5">
        <v>55</v>
      </c>
      <c r="AB99" s="6">
        <v>65</v>
      </c>
      <c r="AC99" s="7">
        <v>65</v>
      </c>
      <c r="AD99" s="8">
        <v>90</v>
      </c>
      <c r="AE99" s="1">
        <v>410</v>
      </c>
      <c r="AF99" s="19">
        <v>68.33</v>
      </c>
      <c r="AG99" s="139">
        <v>50</v>
      </c>
      <c r="AH99" s="140">
        <v>85</v>
      </c>
      <c r="AI99" s="141">
        <v>55</v>
      </c>
      <c r="AJ99" s="142">
        <v>65</v>
      </c>
      <c r="AK99" s="143">
        <v>65</v>
      </c>
      <c r="AL99" s="144">
        <v>90</v>
      </c>
      <c r="AM99" s="138">
        <v>410</v>
      </c>
      <c r="AN99" s="153">
        <v>68.33</v>
      </c>
      <c r="AO99" s="139">
        <v>50</v>
      </c>
      <c r="AP99" s="140">
        <v>85</v>
      </c>
      <c r="AQ99" s="141">
        <v>55</v>
      </c>
      <c r="AR99" s="162">
        <v>65</v>
      </c>
      <c r="AS99" s="162">
        <v>65</v>
      </c>
      <c r="AT99" s="144">
        <v>90</v>
      </c>
      <c r="AU99" s="138">
        <f t="shared" si="37"/>
        <v>410</v>
      </c>
      <c r="AV99" s="153">
        <f t="shared" si="38"/>
        <v>68.333333333333329</v>
      </c>
      <c r="AW99" s="45"/>
      <c r="AX99" s="174" t="b">
        <f>IF('Refined Compare'!$D$2="All",TRUE,IF(F99='Refined Compare'!$D$2,TRUE,IF(G99='Refined Compare'!$D$2,TRUE,FALSE)))</f>
        <v>0</v>
      </c>
      <c r="AY99" s="174" t="b">
        <f>IF('Refined Compare'!$D$3="All",TRUE,IF(F99='Refined Compare'!$D$3,TRUE,IF(G99='Refined Compare'!$D$3,TRUE,FALSE)))</f>
        <v>1</v>
      </c>
      <c r="AZ99" s="174" t="b">
        <f t="shared" si="35"/>
        <v>1</v>
      </c>
    </row>
    <row r="100" spans="1:52" x14ac:dyDescent="0.35">
      <c r="A100">
        <f t="shared" si="36"/>
        <v>99</v>
      </c>
      <c r="B100" s="18">
        <v>78</v>
      </c>
      <c r="C100" s="61">
        <v>1</v>
      </c>
      <c r="D100" s="118" t="b">
        <v>1</v>
      </c>
      <c r="E100" s="61"/>
      <c r="F100" s="66" t="s">
        <v>808</v>
      </c>
      <c r="G100" s="66" t="s">
        <v>827</v>
      </c>
      <c r="H100" s="2" t="s">
        <v>694</v>
      </c>
      <c r="I100" s="39">
        <f t="shared" si="41"/>
        <v>65</v>
      </c>
      <c r="J100" s="40">
        <f t="shared" si="42"/>
        <v>100</v>
      </c>
      <c r="K100" s="41">
        <f t="shared" si="43"/>
        <v>70</v>
      </c>
      <c r="L100" s="42">
        <f t="shared" si="44"/>
        <v>80</v>
      </c>
      <c r="M100" s="43">
        <f t="shared" si="45"/>
        <v>80</v>
      </c>
      <c r="N100" s="44">
        <f t="shared" si="46"/>
        <v>105</v>
      </c>
      <c r="O100" s="45">
        <f t="shared" si="47"/>
        <v>500</v>
      </c>
      <c r="P100" s="19">
        <f t="shared" si="48"/>
        <v>83.33</v>
      </c>
      <c r="Q100" s="177">
        <v>65</v>
      </c>
      <c r="R100" s="40">
        <v>100</v>
      </c>
      <c r="S100" s="41">
        <v>70</v>
      </c>
      <c r="T100" s="42">
        <v>80</v>
      </c>
      <c r="U100" s="43">
        <v>80</v>
      </c>
      <c r="V100" s="44">
        <v>105</v>
      </c>
      <c r="W100" s="45">
        <f t="shared" si="39"/>
        <v>500</v>
      </c>
      <c r="X100" s="19">
        <f t="shared" si="40"/>
        <v>83.33</v>
      </c>
      <c r="Y100" s="3">
        <v>65</v>
      </c>
      <c r="Z100" s="4">
        <v>100</v>
      </c>
      <c r="AA100" s="5">
        <v>70</v>
      </c>
      <c r="AB100" s="6">
        <v>80</v>
      </c>
      <c r="AC100" s="7">
        <v>80</v>
      </c>
      <c r="AD100" s="8">
        <v>105</v>
      </c>
      <c r="AE100" s="1">
        <v>500</v>
      </c>
      <c r="AF100" s="19">
        <v>83.33</v>
      </c>
      <c r="AG100" s="139">
        <v>65</v>
      </c>
      <c r="AH100" s="140">
        <v>100</v>
      </c>
      <c r="AI100" s="141">
        <v>70</v>
      </c>
      <c r="AJ100" s="142">
        <v>80</v>
      </c>
      <c r="AK100" s="143">
        <v>80</v>
      </c>
      <c r="AL100" s="144">
        <v>105</v>
      </c>
      <c r="AM100" s="138">
        <v>500</v>
      </c>
      <c r="AN100" s="153">
        <v>83.33</v>
      </c>
      <c r="AO100" s="139">
        <v>65</v>
      </c>
      <c r="AP100" s="140">
        <v>100</v>
      </c>
      <c r="AQ100" s="141">
        <v>70</v>
      </c>
      <c r="AR100" s="162">
        <v>80</v>
      </c>
      <c r="AS100" s="162">
        <v>80</v>
      </c>
      <c r="AT100" s="144">
        <v>105</v>
      </c>
      <c r="AU100" s="138">
        <f t="shared" si="37"/>
        <v>500</v>
      </c>
      <c r="AV100" s="153">
        <f t="shared" si="38"/>
        <v>83.333333333333329</v>
      </c>
      <c r="AW100" s="45"/>
      <c r="AX100" s="174" t="b">
        <f>IF('Refined Compare'!$D$2="All",TRUE,IF(F100='Refined Compare'!$D$2,TRUE,IF(G100='Refined Compare'!$D$2,TRUE,FALSE)))</f>
        <v>0</v>
      </c>
      <c r="AY100" s="174" t="b">
        <f>IF('Refined Compare'!$D$3="All",TRUE,IF(F100='Refined Compare'!$D$3,TRUE,IF(G100='Refined Compare'!$D$3,TRUE,FALSE)))</f>
        <v>1</v>
      </c>
      <c r="AZ100" s="174" t="b">
        <f t="shared" si="35"/>
        <v>1</v>
      </c>
    </row>
    <row r="101" spans="1:52" x14ac:dyDescent="0.35">
      <c r="A101">
        <f t="shared" si="36"/>
        <v>100</v>
      </c>
      <c r="B101" s="18">
        <v>79</v>
      </c>
      <c r="C101" s="61">
        <v>1</v>
      </c>
      <c r="D101" s="61" t="b">
        <v>0</v>
      </c>
      <c r="E101" s="61"/>
      <c r="F101" s="66" t="s">
        <v>810</v>
      </c>
      <c r="G101" s="66" t="s">
        <v>817</v>
      </c>
      <c r="H101" s="2" t="s">
        <v>5</v>
      </c>
      <c r="I101" s="39">
        <f t="shared" si="41"/>
        <v>90</v>
      </c>
      <c r="J101" s="40">
        <f t="shared" si="42"/>
        <v>65</v>
      </c>
      <c r="K101" s="41">
        <f t="shared" si="43"/>
        <v>65</v>
      </c>
      <c r="L101" s="42">
        <f t="shared" si="44"/>
        <v>40</v>
      </c>
      <c r="M101" s="43">
        <f t="shared" si="45"/>
        <v>40</v>
      </c>
      <c r="N101" s="44">
        <f t="shared" si="46"/>
        <v>15</v>
      </c>
      <c r="O101" s="45">
        <f t="shared" si="47"/>
        <v>315</v>
      </c>
      <c r="P101" s="19">
        <f t="shared" si="48"/>
        <v>52.5</v>
      </c>
      <c r="Q101" s="177">
        <v>90</v>
      </c>
      <c r="R101" s="40">
        <v>65</v>
      </c>
      <c r="S101" s="41">
        <v>65</v>
      </c>
      <c r="T101" s="42">
        <v>40</v>
      </c>
      <c r="U101" s="43">
        <v>40</v>
      </c>
      <c r="V101" s="44">
        <v>15</v>
      </c>
      <c r="W101" s="45">
        <f t="shared" si="39"/>
        <v>315</v>
      </c>
      <c r="X101" s="19">
        <f t="shared" si="40"/>
        <v>52.5</v>
      </c>
      <c r="Y101" s="3">
        <v>90</v>
      </c>
      <c r="Z101" s="4">
        <v>65</v>
      </c>
      <c r="AA101" s="5">
        <v>65</v>
      </c>
      <c r="AB101" s="6">
        <v>40</v>
      </c>
      <c r="AC101" s="7">
        <v>40</v>
      </c>
      <c r="AD101" s="8">
        <v>15</v>
      </c>
      <c r="AE101" s="1">
        <v>315</v>
      </c>
      <c r="AF101" s="19">
        <v>52.5</v>
      </c>
      <c r="AG101" s="139">
        <v>90</v>
      </c>
      <c r="AH101" s="140">
        <v>65</v>
      </c>
      <c r="AI101" s="141">
        <v>65</v>
      </c>
      <c r="AJ101" s="142">
        <v>40</v>
      </c>
      <c r="AK101" s="143">
        <v>40</v>
      </c>
      <c r="AL101" s="144">
        <v>15</v>
      </c>
      <c r="AM101" s="138">
        <v>315</v>
      </c>
      <c r="AN101" s="153">
        <v>52.5</v>
      </c>
      <c r="AO101" s="139">
        <v>90</v>
      </c>
      <c r="AP101" s="140">
        <v>65</v>
      </c>
      <c r="AQ101" s="141">
        <v>65</v>
      </c>
      <c r="AR101" s="162">
        <v>40</v>
      </c>
      <c r="AS101" s="162">
        <v>40</v>
      </c>
      <c r="AT101" s="144">
        <v>15</v>
      </c>
      <c r="AU101" s="138">
        <f t="shared" si="37"/>
        <v>315</v>
      </c>
      <c r="AV101" s="153">
        <f t="shared" si="38"/>
        <v>52.5</v>
      </c>
      <c r="AW101" s="45"/>
      <c r="AX101" s="174" t="b">
        <f>IF('Refined Compare'!$D$2="All",TRUE,IF(F101='Refined Compare'!$D$2,TRUE,IF(G101='Refined Compare'!$D$2,TRUE,FALSE)))</f>
        <v>0</v>
      </c>
      <c r="AY101" s="174" t="b">
        <f>IF('Refined Compare'!$D$3="All",TRUE,IF(F101='Refined Compare'!$D$3,TRUE,IF(G101='Refined Compare'!$D$3,TRUE,FALSE)))</f>
        <v>0</v>
      </c>
      <c r="AZ101" s="174" t="b">
        <f t="shared" si="35"/>
        <v>1</v>
      </c>
    </row>
    <row r="102" spans="1:52" x14ac:dyDescent="0.35">
      <c r="A102">
        <f t="shared" si="36"/>
        <v>101</v>
      </c>
      <c r="B102" s="18">
        <v>80</v>
      </c>
      <c r="C102" s="61">
        <v>1</v>
      </c>
      <c r="D102" s="61" t="b">
        <f>IF($AW$2&gt;1,FALSE,TRUE)</f>
        <v>0</v>
      </c>
      <c r="E102" s="61"/>
      <c r="F102" s="66" t="s">
        <v>810</v>
      </c>
      <c r="G102" s="66" t="s">
        <v>817</v>
      </c>
      <c r="H102" s="2" t="s">
        <v>55</v>
      </c>
      <c r="I102" s="39">
        <f t="shared" si="41"/>
        <v>95</v>
      </c>
      <c r="J102" s="40">
        <f t="shared" si="42"/>
        <v>75</v>
      </c>
      <c r="K102" s="41">
        <f t="shared" si="43"/>
        <v>110</v>
      </c>
      <c r="L102" s="42">
        <f t="shared" si="44"/>
        <v>100</v>
      </c>
      <c r="M102" s="43">
        <f t="shared" si="45"/>
        <v>80</v>
      </c>
      <c r="N102" s="44">
        <f t="shared" si="46"/>
        <v>30</v>
      </c>
      <c r="O102" s="45">
        <f t="shared" si="47"/>
        <v>490</v>
      </c>
      <c r="P102" s="19">
        <f t="shared" si="48"/>
        <v>81.67</v>
      </c>
      <c r="Q102" s="177">
        <v>95</v>
      </c>
      <c r="R102" s="40">
        <v>75</v>
      </c>
      <c r="S102" s="41">
        <v>110</v>
      </c>
      <c r="T102" s="42">
        <v>100</v>
      </c>
      <c r="U102" s="43">
        <v>80</v>
      </c>
      <c r="V102" s="44">
        <v>30</v>
      </c>
      <c r="W102" s="45">
        <f t="shared" si="39"/>
        <v>490</v>
      </c>
      <c r="X102" s="19">
        <f t="shared" si="40"/>
        <v>81.67</v>
      </c>
      <c r="Y102" s="3">
        <v>95</v>
      </c>
      <c r="Z102" s="4">
        <v>75</v>
      </c>
      <c r="AA102" s="5">
        <v>110</v>
      </c>
      <c r="AB102" s="6">
        <v>100</v>
      </c>
      <c r="AC102" s="7">
        <v>80</v>
      </c>
      <c r="AD102" s="8">
        <v>30</v>
      </c>
      <c r="AE102" s="1">
        <v>490</v>
      </c>
      <c r="AF102" s="19">
        <v>81.67</v>
      </c>
      <c r="AG102" s="139">
        <v>95</v>
      </c>
      <c r="AH102" s="140">
        <v>75</v>
      </c>
      <c r="AI102" s="141">
        <v>110</v>
      </c>
      <c r="AJ102" s="142">
        <v>100</v>
      </c>
      <c r="AK102" s="143">
        <v>80</v>
      </c>
      <c r="AL102" s="144">
        <v>30</v>
      </c>
      <c r="AM102" s="138">
        <v>490</v>
      </c>
      <c r="AN102" s="153">
        <v>81.67</v>
      </c>
      <c r="AO102" s="139">
        <v>95</v>
      </c>
      <c r="AP102" s="140">
        <v>75</v>
      </c>
      <c r="AQ102" s="141">
        <v>110</v>
      </c>
      <c r="AR102" s="162">
        <v>80</v>
      </c>
      <c r="AS102" s="162">
        <v>80</v>
      </c>
      <c r="AT102" s="144">
        <v>30</v>
      </c>
      <c r="AU102" s="138">
        <f t="shared" si="37"/>
        <v>470</v>
      </c>
      <c r="AV102" s="153">
        <f t="shared" si="38"/>
        <v>78.333333333333329</v>
      </c>
      <c r="AW102" s="45"/>
      <c r="AX102" s="174" t="b">
        <f>IF('Refined Compare'!$D$2="All",TRUE,IF(F102='Refined Compare'!$D$2,TRUE,IF(G102='Refined Compare'!$D$2,TRUE,FALSE)))</f>
        <v>0</v>
      </c>
      <c r="AY102" s="174" t="b">
        <f>IF('Refined Compare'!$D$3="All",TRUE,IF(F102='Refined Compare'!$D$3,TRUE,IF(G102='Refined Compare'!$D$3,TRUE,FALSE)))</f>
        <v>0</v>
      </c>
      <c r="AZ102" s="174" t="b">
        <f t="shared" si="35"/>
        <v>1</v>
      </c>
    </row>
    <row r="103" spans="1:52" x14ac:dyDescent="0.35">
      <c r="A103">
        <f t="shared" si="36"/>
        <v>102</v>
      </c>
      <c r="B103" s="62">
        <v>80</v>
      </c>
      <c r="C103" s="61">
        <v>6</v>
      </c>
      <c r="D103" s="118" t="b">
        <f>IF(AZ103,TRUE,FALSE)</f>
        <v>0</v>
      </c>
      <c r="E103" s="61" t="s">
        <v>801</v>
      </c>
      <c r="F103" s="66" t="s">
        <v>810</v>
      </c>
      <c r="G103" s="66" t="s">
        <v>817</v>
      </c>
      <c r="H103" s="2" t="s">
        <v>56</v>
      </c>
      <c r="I103" s="39">
        <f t="shared" si="41"/>
        <v>0</v>
      </c>
      <c r="J103" s="40">
        <f t="shared" si="42"/>
        <v>0</v>
      </c>
      <c r="K103" s="41">
        <f t="shared" si="43"/>
        <v>0</v>
      </c>
      <c r="L103" s="42">
        <f t="shared" si="44"/>
        <v>0</v>
      </c>
      <c r="M103" s="43">
        <f t="shared" si="45"/>
        <v>0</v>
      </c>
      <c r="N103" s="44">
        <f t="shared" si="46"/>
        <v>0</v>
      </c>
      <c r="O103" s="45">
        <f t="shared" si="47"/>
        <v>0</v>
      </c>
      <c r="P103" s="19">
        <f t="shared" si="48"/>
        <v>0</v>
      </c>
      <c r="Q103" s="177">
        <v>95</v>
      </c>
      <c r="R103" s="40">
        <v>75</v>
      </c>
      <c r="S103" s="41">
        <v>180</v>
      </c>
      <c r="T103" s="42">
        <v>130</v>
      </c>
      <c r="U103" s="43">
        <v>80</v>
      </c>
      <c r="V103" s="44">
        <v>30</v>
      </c>
      <c r="W103" s="45">
        <f t="shared" si="39"/>
        <v>590</v>
      </c>
      <c r="X103" s="19">
        <f t="shared" si="40"/>
        <v>98.33</v>
      </c>
      <c r="Y103" s="3">
        <v>95</v>
      </c>
      <c r="Z103" s="4">
        <v>75</v>
      </c>
      <c r="AA103" s="5">
        <v>180</v>
      </c>
      <c r="AB103" s="6">
        <v>130</v>
      </c>
      <c r="AC103" s="7">
        <v>80</v>
      </c>
      <c r="AD103" s="8">
        <v>30</v>
      </c>
      <c r="AE103" s="1">
        <v>590</v>
      </c>
      <c r="AF103" s="19">
        <v>98.33</v>
      </c>
      <c r="AN103" s="172"/>
      <c r="AV103" s="172"/>
      <c r="AW103" s="45"/>
      <c r="AX103" s="174" t="b">
        <f>IF('Refined Compare'!$D$2="All",TRUE,IF(F103='Refined Compare'!$D$2,TRUE,IF(G103='Refined Compare'!$D$2,TRUE,FALSE)))</f>
        <v>0</v>
      </c>
      <c r="AY103" s="174" t="b">
        <f>IF('Refined Compare'!$D$3="All",TRUE,IF(F103='Refined Compare'!$D$3,TRUE,IF(G103='Refined Compare'!$D$3,TRUE,FALSE)))</f>
        <v>0</v>
      </c>
      <c r="AZ103" s="174" t="b">
        <f t="shared" si="35"/>
        <v>0</v>
      </c>
    </row>
    <row r="104" spans="1:52" x14ac:dyDescent="0.35">
      <c r="A104">
        <f t="shared" si="36"/>
        <v>103</v>
      </c>
      <c r="B104" s="18">
        <v>81</v>
      </c>
      <c r="C104" s="61">
        <v>1</v>
      </c>
      <c r="D104" s="61" t="b">
        <v>0</v>
      </c>
      <c r="E104" s="61"/>
      <c r="F104" s="66" t="s">
        <v>813</v>
      </c>
      <c r="G104" s="66" t="str">
        <f>IF($AW$2&gt;1,"Steel","Single type")</f>
        <v>Steel</v>
      </c>
      <c r="H104" s="2" t="s">
        <v>177</v>
      </c>
      <c r="I104" s="39">
        <f t="shared" si="41"/>
        <v>25</v>
      </c>
      <c r="J104" s="40">
        <f t="shared" si="42"/>
        <v>35</v>
      </c>
      <c r="K104" s="41">
        <f t="shared" si="43"/>
        <v>70</v>
      </c>
      <c r="L104" s="42">
        <f t="shared" si="44"/>
        <v>95</v>
      </c>
      <c r="M104" s="43">
        <f t="shared" si="45"/>
        <v>55</v>
      </c>
      <c r="N104" s="44">
        <f t="shared" si="46"/>
        <v>45</v>
      </c>
      <c r="O104" s="45">
        <f t="shared" si="47"/>
        <v>325</v>
      </c>
      <c r="P104" s="19">
        <f t="shared" si="48"/>
        <v>54.17</v>
      </c>
      <c r="Q104" s="177">
        <v>25</v>
      </c>
      <c r="R104" s="40">
        <v>35</v>
      </c>
      <c r="S104" s="41">
        <v>70</v>
      </c>
      <c r="T104" s="42">
        <v>95</v>
      </c>
      <c r="U104" s="43">
        <v>55</v>
      </c>
      <c r="V104" s="44">
        <v>45</v>
      </c>
      <c r="W104" s="45">
        <f t="shared" si="39"/>
        <v>325</v>
      </c>
      <c r="X104" s="19">
        <f t="shared" si="40"/>
        <v>54.17</v>
      </c>
      <c r="Y104" s="3">
        <v>25</v>
      </c>
      <c r="Z104" s="4">
        <v>35</v>
      </c>
      <c r="AA104" s="5">
        <v>70</v>
      </c>
      <c r="AB104" s="6">
        <v>95</v>
      </c>
      <c r="AC104" s="7">
        <v>55</v>
      </c>
      <c r="AD104" s="8">
        <v>45</v>
      </c>
      <c r="AE104" s="1">
        <v>325</v>
      </c>
      <c r="AF104" s="19">
        <v>54.17</v>
      </c>
      <c r="AG104" s="139">
        <v>25</v>
      </c>
      <c r="AH104" s="140">
        <v>35</v>
      </c>
      <c r="AI104" s="141">
        <v>70</v>
      </c>
      <c r="AJ104" s="142">
        <v>95</v>
      </c>
      <c r="AK104" s="143">
        <v>55</v>
      </c>
      <c r="AL104" s="144">
        <v>45</v>
      </c>
      <c r="AM104" s="138">
        <v>325</v>
      </c>
      <c r="AN104" s="153">
        <v>54.17</v>
      </c>
      <c r="AO104" s="139">
        <v>25</v>
      </c>
      <c r="AP104" s="140">
        <v>35</v>
      </c>
      <c r="AQ104" s="141">
        <v>70</v>
      </c>
      <c r="AR104" s="162">
        <v>95</v>
      </c>
      <c r="AS104" s="162">
        <v>95</v>
      </c>
      <c r="AT104" s="144">
        <v>45</v>
      </c>
      <c r="AU104" s="138">
        <f t="shared" ref="AU104:AU119" si="49">SUM(AO104:AT104)</f>
        <v>365</v>
      </c>
      <c r="AV104" s="153">
        <f t="shared" ref="AV104:AV119" si="50">AU104/6</f>
        <v>60.833333333333336</v>
      </c>
      <c r="AW104" s="45"/>
      <c r="AX104" s="174" t="b">
        <f>IF('Refined Compare'!$D$2="All",TRUE,IF(F104='Refined Compare'!$D$2,TRUE,IF(G104='Refined Compare'!$D$2,TRUE,FALSE)))</f>
        <v>0</v>
      </c>
      <c r="AY104" s="174" t="b">
        <f>IF('Refined Compare'!$D$3="All",TRUE,IF(F104='Refined Compare'!$D$3,TRUE,IF(G104='Refined Compare'!$D$3,TRUE,FALSE)))</f>
        <v>0</v>
      </c>
      <c r="AZ104" s="174" t="b">
        <f t="shared" si="35"/>
        <v>1</v>
      </c>
    </row>
    <row r="105" spans="1:52" x14ac:dyDescent="0.35">
      <c r="A105">
        <f t="shared" si="36"/>
        <v>104</v>
      </c>
      <c r="B105" s="18">
        <v>82</v>
      </c>
      <c r="C105" s="61">
        <v>1</v>
      </c>
      <c r="D105" s="61" t="b">
        <f>IF($AW$2&lt;4,TRUE,FALSE)</f>
        <v>0</v>
      </c>
      <c r="E105" s="61"/>
      <c r="F105" s="66" t="s">
        <v>813</v>
      </c>
      <c r="G105" s="66" t="str">
        <f>IF($AW$2&gt;1,"Steel","Single type")</f>
        <v>Steel</v>
      </c>
      <c r="H105" s="2" t="s">
        <v>424</v>
      </c>
      <c r="I105" s="39">
        <f t="shared" si="41"/>
        <v>50</v>
      </c>
      <c r="J105" s="40">
        <f t="shared" si="42"/>
        <v>60</v>
      </c>
      <c r="K105" s="41">
        <f t="shared" si="43"/>
        <v>95</v>
      </c>
      <c r="L105" s="42">
        <f t="shared" si="44"/>
        <v>120</v>
      </c>
      <c r="M105" s="43">
        <f t="shared" si="45"/>
        <v>70</v>
      </c>
      <c r="N105" s="44">
        <f t="shared" si="46"/>
        <v>70</v>
      </c>
      <c r="O105" s="45">
        <f t="shared" si="47"/>
        <v>465</v>
      </c>
      <c r="P105" s="19">
        <f t="shared" si="48"/>
        <v>77.5</v>
      </c>
      <c r="Q105" s="177">
        <v>50</v>
      </c>
      <c r="R105" s="40">
        <v>60</v>
      </c>
      <c r="S105" s="41">
        <v>95</v>
      </c>
      <c r="T105" s="42">
        <v>120</v>
      </c>
      <c r="U105" s="43">
        <v>70</v>
      </c>
      <c r="V105" s="44">
        <v>70</v>
      </c>
      <c r="W105" s="45">
        <f t="shared" si="39"/>
        <v>465</v>
      </c>
      <c r="X105" s="19">
        <f t="shared" si="40"/>
        <v>77.5</v>
      </c>
      <c r="Y105" s="3">
        <v>50</v>
      </c>
      <c r="Z105" s="4">
        <v>60</v>
      </c>
      <c r="AA105" s="5">
        <v>95</v>
      </c>
      <c r="AB105" s="6">
        <v>120</v>
      </c>
      <c r="AC105" s="7">
        <v>70</v>
      </c>
      <c r="AD105" s="8">
        <v>70</v>
      </c>
      <c r="AE105" s="1">
        <v>465</v>
      </c>
      <c r="AF105" s="19">
        <v>77.5</v>
      </c>
      <c r="AG105" s="139">
        <v>50</v>
      </c>
      <c r="AH105" s="140">
        <v>60</v>
      </c>
      <c r="AI105" s="141">
        <v>95</v>
      </c>
      <c r="AJ105" s="142">
        <v>120</v>
      </c>
      <c r="AK105" s="143">
        <v>70</v>
      </c>
      <c r="AL105" s="144">
        <v>70</v>
      </c>
      <c r="AM105" s="138">
        <v>465</v>
      </c>
      <c r="AN105" s="153">
        <v>77.5</v>
      </c>
      <c r="AO105" s="139">
        <v>50</v>
      </c>
      <c r="AP105" s="140">
        <v>60</v>
      </c>
      <c r="AQ105" s="141">
        <v>95</v>
      </c>
      <c r="AR105" s="162">
        <v>120</v>
      </c>
      <c r="AS105" s="162">
        <v>120</v>
      </c>
      <c r="AT105" s="144">
        <v>70</v>
      </c>
      <c r="AU105" s="138">
        <f t="shared" si="49"/>
        <v>515</v>
      </c>
      <c r="AV105" s="153">
        <f t="shared" si="50"/>
        <v>85.833333333333329</v>
      </c>
      <c r="AW105" s="45"/>
      <c r="AX105" s="174" t="b">
        <f>IF('Refined Compare'!$D$2="All",TRUE,IF(F105='Refined Compare'!$D$2,TRUE,IF(G105='Refined Compare'!$D$2,TRUE,FALSE)))</f>
        <v>0</v>
      </c>
      <c r="AY105" s="174" t="b">
        <f>IF('Refined Compare'!$D$3="All",TRUE,IF(F105='Refined Compare'!$D$3,TRUE,IF(G105='Refined Compare'!$D$3,TRUE,FALSE)))</f>
        <v>0</v>
      </c>
      <c r="AZ105" s="174" t="b">
        <f t="shared" si="35"/>
        <v>1</v>
      </c>
    </row>
    <row r="106" spans="1:52" x14ac:dyDescent="0.35">
      <c r="A106">
        <f t="shared" si="36"/>
        <v>105</v>
      </c>
      <c r="B106" s="18">
        <v>83</v>
      </c>
      <c r="C106" s="61">
        <v>1</v>
      </c>
      <c r="D106" s="118" t="b">
        <v>1</v>
      </c>
      <c r="E106" s="61"/>
      <c r="F106" s="66" t="s">
        <v>812</v>
      </c>
      <c r="G106" s="66" t="s">
        <v>809</v>
      </c>
      <c r="H106" s="2" t="s">
        <v>315</v>
      </c>
      <c r="I106" s="39">
        <f t="shared" si="41"/>
        <v>52</v>
      </c>
      <c r="J106" s="40">
        <f t="shared" si="42"/>
        <v>65</v>
      </c>
      <c r="K106" s="41">
        <f t="shared" si="43"/>
        <v>55</v>
      </c>
      <c r="L106" s="42">
        <f t="shared" si="44"/>
        <v>58</v>
      </c>
      <c r="M106" s="43">
        <f t="shared" si="45"/>
        <v>62</v>
      </c>
      <c r="N106" s="44">
        <f t="shared" si="46"/>
        <v>60</v>
      </c>
      <c r="O106" s="45">
        <f t="shared" si="47"/>
        <v>352</v>
      </c>
      <c r="P106" s="19">
        <f t="shared" si="48"/>
        <v>58.67</v>
      </c>
      <c r="Q106" s="177">
        <v>52</v>
      </c>
      <c r="R106" s="40">
        <v>90</v>
      </c>
      <c r="S106" s="41">
        <v>55</v>
      </c>
      <c r="T106" s="42">
        <v>58</v>
      </c>
      <c r="U106" s="43">
        <v>62</v>
      </c>
      <c r="V106" s="44">
        <v>60</v>
      </c>
      <c r="W106" s="45">
        <f t="shared" si="39"/>
        <v>377</v>
      </c>
      <c r="X106" s="19">
        <f t="shared" si="40"/>
        <v>62.83</v>
      </c>
      <c r="Y106" s="3">
        <v>52</v>
      </c>
      <c r="Z106" s="4">
        <v>65</v>
      </c>
      <c r="AA106" s="5">
        <v>55</v>
      </c>
      <c r="AB106" s="6">
        <v>58</v>
      </c>
      <c r="AC106" s="7">
        <v>62</v>
      </c>
      <c r="AD106" s="8">
        <v>60</v>
      </c>
      <c r="AE106" s="1">
        <v>352</v>
      </c>
      <c r="AF106" s="19">
        <v>58.67</v>
      </c>
      <c r="AG106" s="139">
        <v>52</v>
      </c>
      <c r="AH106" s="140">
        <v>65</v>
      </c>
      <c r="AI106" s="141">
        <v>55</v>
      </c>
      <c r="AJ106" s="142">
        <v>58</v>
      </c>
      <c r="AK106" s="143">
        <v>62</v>
      </c>
      <c r="AL106" s="144">
        <v>60</v>
      </c>
      <c r="AM106" s="138">
        <v>352</v>
      </c>
      <c r="AN106" s="153">
        <v>58.67</v>
      </c>
      <c r="AO106" s="139">
        <v>52</v>
      </c>
      <c r="AP106" s="140">
        <v>65</v>
      </c>
      <c r="AQ106" s="141">
        <v>55</v>
      </c>
      <c r="AR106" s="162">
        <v>58</v>
      </c>
      <c r="AS106" s="162">
        <v>58</v>
      </c>
      <c r="AT106" s="144">
        <v>60</v>
      </c>
      <c r="AU106" s="138">
        <f t="shared" si="49"/>
        <v>348</v>
      </c>
      <c r="AV106" s="153">
        <f t="shared" si="50"/>
        <v>58</v>
      </c>
      <c r="AW106" s="45"/>
      <c r="AX106" s="174" t="b">
        <f>IF('Refined Compare'!$D$2="All",TRUE,IF(F106='Refined Compare'!$D$2,TRUE,IF(G106='Refined Compare'!$D$2,TRUE,FALSE)))</f>
        <v>0</v>
      </c>
      <c r="AY106" s="174" t="b">
        <f>IF('Refined Compare'!$D$3="All",TRUE,IF(F106='Refined Compare'!$D$3,TRUE,IF(G106='Refined Compare'!$D$3,TRUE,FALSE)))</f>
        <v>0</v>
      </c>
      <c r="AZ106" s="174" t="b">
        <f t="shared" si="35"/>
        <v>1</v>
      </c>
    </row>
    <row r="107" spans="1:52" x14ac:dyDescent="0.35">
      <c r="A107">
        <f t="shared" si="36"/>
        <v>106</v>
      </c>
      <c r="B107" s="18">
        <v>84</v>
      </c>
      <c r="C107" s="61">
        <v>1</v>
      </c>
      <c r="D107" s="61" t="b">
        <v>0</v>
      </c>
      <c r="E107" s="61"/>
      <c r="F107" s="66" t="s">
        <v>812</v>
      </c>
      <c r="G107" s="66" t="s">
        <v>809</v>
      </c>
      <c r="H107" s="2" t="s">
        <v>471</v>
      </c>
      <c r="I107" s="39">
        <f t="shared" si="41"/>
        <v>35</v>
      </c>
      <c r="J107" s="40">
        <f t="shared" si="42"/>
        <v>85</v>
      </c>
      <c r="K107" s="41">
        <f t="shared" si="43"/>
        <v>45</v>
      </c>
      <c r="L107" s="42">
        <f t="shared" si="44"/>
        <v>35</v>
      </c>
      <c r="M107" s="43">
        <f t="shared" si="45"/>
        <v>35</v>
      </c>
      <c r="N107" s="44">
        <f t="shared" si="46"/>
        <v>75</v>
      </c>
      <c r="O107" s="45">
        <f t="shared" si="47"/>
        <v>310</v>
      </c>
      <c r="P107" s="19">
        <f t="shared" si="48"/>
        <v>51.67</v>
      </c>
      <c r="Q107" s="177">
        <v>35</v>
      </c>
      <c r="R107" s="40">
        <v>85</v>
      </c>
      <c r="S107" s="41">
        <v>45</v>
      </c>
      <c r="T107" s="42">
        <v>35</v>
      </c>
      <c r="U107" s="43">
        <v>35</v>
      </c>
      <c r="V107" s="44">
        <v>75</v>
      </c>
      <c r="W107" s="45">
        <f t="shared" si="39"/>
        <v>310</v>
      </c>
      <c r="X107" s="19">
        <f t="shared" si="40"/>
        <v>51.67</v>
      </c>
      <c r="Y107" s="3">
        <v>35</v>
      </c>
      <c r="Z107" s="4">
        <v>85</v>
      </c>
      <c r="AA107" s="5">
        <v>45</v>
      </c>
      <c r="AB107" s="6">
        <v>35</v>
      </c>
      <c r="AC107" s="7">
        <v>35</v>
      </c>
      <c r="AD107" s="8">
        <v>75</v>
      </c>
      <c r="AE107" s="1">
        <v>310</v>
      </c>
      <c r="AF107" s="19">
        <v>51.67</v>
      </c>
      <c r="AG107" s="139">
        <v>35</v>
      </c>
      <c r="AH107" s="140">
        <v>85</v>
      </c>
      <c r="AI107" s="141">
        <v>45</v>
      </c>
      <c r="AJ107" s="142">
        <v>35</v>
      </c>
      <c r="AK107" s="143">
        <v>35</v>
      </c>
      <c r="AL107" s="144">
        <v>75</v>
      </c>
      <c r="AM107" s="138">
        <v>310</v>
      </c>
      <c r="AN107" s="153">
        <v>51.67</v>
      </c>
      <c r="AO107" s="139">
        <v>35</v>
      </c>
      <c r="AP107" s="140">
        <v>85</v>
      </c>
      <c r="AQ107" s="141">
        <v>45</v>
      </c>
      <c r="AR107" s="162">
        <v>35</v>
      </c>
      <c r="AS107" s="162">
        <v>35</v>
      </c>
      <c r="AT107" s="144">
        <v>75</v>
      </c>
      <c r="AU107" s="138">
        <f t="shared" si="49"/>
        <v>310</v>
      </c>
      <c r="AV107" s="153">
        <f t="shared" si="50"/>
        <v>51.666666666666664</v>
      </c>
      <c r="AW107" s="45"/>
      <c r="AX107" s="174" t="b">
        <f>IF('Refined Compare'!$D$2="All",TRUE,IF(F107='Refined Compare'!$D$2,TRUE,IF(G107='Refined Compare'!$D$2,TRUE,FALSE)))</f>
        <v>0</v>
      </c>
      <c r="AY107" s="174" t="b">
        <f>IF('Refined Compare'!$D$3="All",TRUE,IF(F107='Refined Compare'!$D$3,TRUE,IF(G107='Refined Compare'!$D$3,TRUE,FALSE)))</f>
        <v>0</v>
      </c>
      <c r="AZ107" s="174" t="b">
        <f t="shared" si="35"/>
        <v>1</v>
      </c>
    </row>
    <row r="108" spans="1:52" x14ac:dyDescent="0.35">
      <c r="A108">
        <f t="shared" si="36"/>
        <v>107</v>
      </c>
      <c r="B108" s="18">
        <v>85</v>
      </c>
      <c r="C108" s="61">
        <v>1</v>
      </c>
      <c r="D108" s="118" t="b">
        <v>1</v>
      </c>
      <c r="E108" s="61"/>
      <c r="F108" s="66" t="s">
        <v>812</v>
      </c>
      <c r="G108" s="66" t="s">
        <v>809</v>
      </c>
      <c r="H108" s="2" t="s">
        <v>659</v>
      </c>
      <c r="I108" s="39">
        <f t="shared" si="41"/>
        <v>60</v>
      </c>
      <c r="J108" s="40">
        <f t="shared" si="42"/>
        <v>110</v>
      </c>
      <c r="K108" s="41">
        <f t="shared" si="43"/>
        <v>70</v>
      </c>
      <c r="L108" s="42">
        <f t="shared" si="44"/>
        <v>60</v>
      </c>
      <c r="M108" s="43">
        <f t="shared" si="45"/>
        <v>60</v>
      </c>
      <c r="N108" s="44">
        <f t="shared" si="46"/>
        <v>100</v>
      </c>
      <c r="O108" s="45">
        <f t="shared" si="47"/>
        <v>460</v>
      </c>
      <c r="P108" s="19">
        <f t="shared" si="48"/>
        <v>76.67</v>
      </c>
      <c r="Q108" s="177">
        <v>60</v>
      </c>
      <c r="R108" s="40">
        <v>110</v>
      </c>
      <c r="S108" s="41">
        <v>70</v>
      </c>
      <c r="T108" s="42">
        <v>60</v>
      </c>
      <c r="U108" s="43">
        <v>60</v>
      </c>
      <c r="V108" s="44">
        <v>110</v>
      </c>
      <c r="W108" s="45">
        <f t="shared" si="39"/>
        <v>470</v>
      </c>
      <c r="X108" s="19">
        <f t="shared" si="40"/>
        <v>78.33</v>
      </c>
      <c r="Y108" s="3">
        <v>60</v>
      </c>
      <c r="Z108" s="4">
        <v>110</v>
      </c>
      <c r="AA108" s="5">
        <v>70</v>
      </c>
      <c r="AB108" s="6">
        <v>60</v>
      </c>
      <c r="AC108" s="7">
        <v>60</v>
      </c>
      <c r="AD108" s="8">
        <v>100</v>
      </c>
      <c r="AE108" s="1">
        <v>460</v>
      </c>
      <c r="AF108" s="19">
        <v>76.67</v>
      </c>
      <c r="AG108" s="139">
        <v>60</v>
      </c>
      <c r="AH108" s="140">
        <v>110</v>
      </c>
      <c r="AI108" s="141">
        <v>70</v>
      </c>
      <c r="AJ108" s="142">
        <v>60</v>
      </c>
      <c r="AK108" s="143">
        <v>60</v>
      </c>
      <c r="AL108" s="144">
        <v>100</v>
      </c>
      <c r="AM108" s="138">
        <v>460</v>
      </c>
      <c r="AN108" s="153">
        <v>76.67</v>
      </c>
      <c r="AO108" s="139">
        <v>60</v>
      </c>
      <c r="AP108" s="140">
        <v>110</v>
      </c>
      <c r="AQ108" s="141">
        <v>70</v>
      </c>
      <c r="AR108" s="162">
        <v>60</v>
      </c>
      <c r="AS108" s="162">
        <v>60</v>
      </c>
      <c r="AT108" s="144">
        <v>100</v>
      </c>
      <c r="AU108" s="138">
        <f t="shared" si="49"/>
        <v>460</v>
      </c>
      <c r="AV108" s="153">
        <f t="shared" si="50"/>
        <v>76.666666666666671</v>
      </c>
      <c r="AW108" s="45"/>
      <c r="AX108" s="174" t="b">
        <f>IF('Refined Compare'!$D$2="All",TRUE,IF(F108='Refined Compare'!$D$2,TRUE,IF(G108='Refined Compare'!$D$2,TRUE,FALSE)))</f>
        <v>0</v>
      </c>
      <c r="AY108" s="174" t="b">
        <f>IF('Refined Compare'!$D$3="All",TRUE,IF(F108='Refined Compare'!$D$3,TRUE,IF(G108='Refined Compare'!$D$3,TRUE,FALSE)))</f>
        <v>0</v>
      </c>
      <c r="AZ108" s="174" t="b">
        <f t="shared" si="35"/>
        <v>1</v>
      </c>
    </row>
    <row r="109" spans="1:52" x14ac:dyDescent="0.35">
      <c r="A109">
        <f t="shared" si="36"/>
        <v>108</v>
      </c>
      <c r="B109" s="18">
        <v>86</v>
      </c>
      <c r="C109" s="61">
        <v>1</v>
      </c>
      <c r="D109" s="61" t="b">
        <v>0</v>
      </c>
      <c r="E109" s="61"/>
      <c r="F109" s="66" t="s">
        <v>810</v>
      </c>
      <c r="G109" s="66" t="s">
        <v>827</v>
      </c>
      <c r="H109" s="2" t="s">
        <v>178</v>
      </c>
      <c r="I109" s="39">
        <f t="shared" si="41"/>
        <v>65</v>
      </c>
      <c r="J109" s="40">
        <f t="shared" si="42"/>
        <v>45</v>
      </c>
      <c r="K109" s="41">
        <f t="shared" si="43"/>
        <v>55</v>
      </c>
      <c r="L109" s="42">
        <f t="shared" si="44"/>
        <v>45</v>
      </c>
      <c r="M109" s="43">
        <f t="shared" si="45"/>
        <v>70</v>
      </c>
      <c r="N109" s="44">
        <f t="shared" si="46"/>
        <v>45</v>
      </c>
      <c r="O109" s="45">
        <f t="shared" si="47"/>
        <v>325</v>
      </c>
      <c r="P109" s="19">
        <f t="shared" si="48"/>
        <v>54.17</v>
      </c>
      <c r="Q109" s="177">
        <v>65</v>
      </c>
      <c r="R109" s="40">
        <v>45</v>
      </c>
      <c r="S109" s="41">
        <v>55</v>
      </c>
      <c r="T109" s="42">
        <v>45</v>
      </c>
      <c r="U109" s="43">
        <v>70</v>
      </c>
      <c r="V109" s="44">
        <v>45</v>
      </c>
      <c r="W109" s="45">
        <f t="shared" si="39"/>
        <v>325</v>
      </c>
      <c r="X109" s="19">
        <f t="shared" si="40"/>
        <v>54.17</v>
      </c>
      <c r="Y109" s="3">
        <v>65</v>
      </c>
      <c r="Z109" s="4">
        <v>45</v>
      </c>
      <c r="AA109" s="5">
        <v>55</v>
      </c>
      <c r="AB109" s="6">
        <v>45</v>
      </c>
      <c r="AC109" s="7">
        <v>70</v>
      </c>
      <c r="AD109" s="8">
        <v>45</v>
      </c>
      <c r="AE109" s="1">
        <v>325</v>
      </c>
      <c r="AF109" s="19">
        <v>54.17</v>
      </c>
      <c r="AG109" s="139">
        <v>65</v>
      </c>
      <c r="AH109" s="140">
        <v>45</v>
      </c>
      <c r="AI109" s="141">
        <v>55</v>
      </c>
      <c r="AJ109" s="142">
        <v>45</v>
      </c>
      <c r="AK109" s="143">
        <v>70</v>
      </c>
      <c r="AL109" s="144">
        <v>45</v>
      </c>
      <c r="AM109" s="138">
        <v>325</v>
      </c>
      <c r="AN109" s="153">
        <v>54.17</v>
      </c>
      <c r="AO109" s="139">
        <v>65</v>
      </c>
      <c r="AP109" s="140">
        <v>45</v>
      </c>
      <c r="AQ109" s="141">
        <v>55</v>
      </c>
      <c r="AR109" s="162">
        <v>70</v>
      </c>
      <c r="AS109" s="162">
        <v>70</v>
      </c>
      <c r="AT109" s="144">
        <v>45</v>
      </c>
      <c r="AU109" s="138">
        <f t="shared" si="49"/>
        <v>350</v>
      </c>
      <c r="AV109" s="153">
        <f t="shared" si="50"/>
        <v>58.333333333333336</v>
      </c>
      <c r="AW109" s="45"/>
      <c r="AX109" s="174" t="b">
        <f>IF('Refined Compare'!$D$2="All",TRUE,IF(F109='Refined Compare'!$D$2,TRUE,IF(G109='Refined Compare'!$D$2,TRUE,FALSE)))</f>
        <v>0</v>
      </c>
      <c r="AY109" s="174" t="b">
        <f>IF('Refined Compare'!$D$3="All",TRUE,IF(F109='Refined Compare'!$D$3,TRUE,IF(G109='Refined Compare'!$D$3,TRUE,FALSE)))</f>
        <v>1</v>
      </c>
      <c r="AZ109" s="174" t="b">
        <f t="shared" si="35"/>
        <v>1</v>
      </c>
    </row>
    <row r="110" spans="1:52" x14ac:dyDescent="0.35">
      <c r="A110">
        <f t="shared" si="36"/>
        <v>109</v>
      </c>
      <c r="B110" s="18">
        <v>87</v>
      </c>
      <c r="C110" s="61">
        <v>1</v>
      </c>
      <c r="D110" s="118" t="b">
        <v>1</v>
      </c>
      <c r="E110" s="61"/>
      <c r="F110" s="66" t="s">
        <v>810</v>
      </c>
      <c r="G110" s="66" t="s">
        <v>820</v>
      </c>
      <c r="H110" s="2" t="s">
        <v>425</v>
      </c>
      <c r="I110" s="39">
        <f t="shared" si="41"/>
        <v>90</v>
      </c>
      <c r="J110" s="40">
        <f t="shared" si="42"/>
        <v>70</v>
      </c>
      <c r="K110" s="41">
        <f t="shared" si="43"/>
        <v>80</v>
      </c>
      <c r="L110" s="42">
        <f t="shared" si="44"/>
        <v>70</v>
      </c>
      <c r="M110" s="43">
        <f t="shared" si="45"/>
        <v>95</v>
      </c>
      <c r="N110" s="44">
        <f t="shared" si="46"/>
        <v>70</v>
      </c>
      <c r="O110" s="45">
        <f t="shared" si="47"/>
        <v>475</v>
      </c>
      <c r="P110" s="19">
        <f t="shared" si="48"/>
        <v>79.17</v>
      </c>
      <c r="Q110" s="177">
        <v>90</v>
      </c>
      <c r="R110" s="40">
        <v>70</v>
      </c>
      <c r="S110" s="41">
        <v>80</v>
      </c>
      <c r="T110" s="42">
        <v>70</v>
      </c>
      <c r="U110" s="43">
        <v>95</v>
      </c>
      <c r="V110" s="44">
        <v>70</v>
      </c>
      <c r="W110" s="45">
        <f t="shared" si="39"/>
        <v>475</v>
      </c>
      <c r="X110" s="19">
        <f t="shared" si="40"/>
        <v>79.17</v>
      </c>
      <c r="Y110" s="3">
        <v>90</v>
      </c>
      <c r="Z110" s="4">
        <v>70</v>
      </c>
      <c r="AA110" s="5">
        <v>80</v>
      </c>
      <c r="AB110" s="6">
        <v>70</v>
      </c>
      <c r="AC110" s="7">
        <v>95</v>
      </c>
      <c r="AD110" s="8">
        <v>70</v>
      </c>
      <c r="AE110" s="1">
        <v>475</v>
      </c>
      <c r="AF110" s="19">
        <v>79.17</v>
      </c>
      <c r="AG110" s="139">
        <v>90</v>
      </c>
      <c r="AH110" s="140">
        <v>70</v>
      </c>
      <c r="AI110" s="141">
        <v>80</v>
      </c>
      <c r="AJ110" s="142">
        <v>70</v>
      </c>
      <c r="AK110" s="143">
        <v>95</v>
      </c>
      <c r="AL110" s="144">
        <v>70</v>
      </c>
      <c r="AM110" s="138">
        <v>475</v>
      </c>
      <c r="AN110" s="153">
        <v>79.17</v>
      </c>
      <c r="AO110" s="139">
        <v>90</v>
      </c>
      <c r="AP110" s="140">
        <v>70</v>
      </c>
      <c r="AQ110" s="141">
        <v>80</v>
      </c>
      <c r="AR110" s="162">
        <v>95</v>
      </c>
      <c r="AS110" s="162">
        <v>95</v>
      </c>
      <c r="AT110" s="144">
        <v>70</v>
      </c>
      <c r="AU110" s="138">
        <f t="shared" si="49"/>
        <v>500</v>
      </c>
      <c r="AV110" s="153">
        <f t="shared" si="50"/>
        <v>83.333333333333329</v>
      </c>
      <c r="AW110" s="45"/>
      <c r="AX110" s="174" t="b">
        <f>IF('Refined Compare'!$D$2="All",TRUE,IF(F110='Refined Compare'!$D$2,TRUE,IF(G110='Refined Compare'!$D$2,TRUE,FALSE)))</f>
        <v>0</v>
      </c>
      <c r="AY110" s="174" t="b">
        <f>IF('Refined Compare'!$D$3="All",TRUE,IF(F110='Refined Compare'!$D$3,TRUE,IF(G110='Refined Compare'!$D$3,TRUE,FALSE)))</f>
        <v>0</v>
      </c>
      <c r="AZ110" s="174" t="b">
        <f t="shared" si="35"/>
        <v>1</v>
      </c>
    </row>
    <row r="111" spans="1:52" x14ac:dyDescent="0.35">
      <c r="A111">
        <f t="shared" si="36"/>
        <v>110</v>
      </c>
      <c r="B111" s="18">
        <v>88</v>
      </c>
      <c r="C111" s="61">
        <v>1</v>
      </c>
      <c r="D111" s="61" t="b">
        <v>0</v>
      </c>
      <c r="E111" s="61"/>
      <c r="F111" s="66" t="s">
        <v>807</v>
      </c>
      <c r="G111" s="66" t="s">
        <v>827</v>
      </c>
      <c r="H111" s="2" t="s">
        <v>36</v>
      </c>
      <c r="I111" s="39">
        <f t="shared" si="41"/>
        <v>80</v>
      </c>
      <c r="J111" s="40">
        <f t="shared" si="42"/>
        <v>80</v>
      </c>
      <c r="K111" s="41">
        <f t="shared" si="43"/>
        <v>50</v>
      </c>
      <c r="L111" s="42">
        <f t="shared" si="44"/>
        <v>40</v>
      </c>
      <c r="M111" s="43">
        <f t="shared" si="45"/>
        <v>50</v>
      </c>
      <c r="N111" s="44">
        <f t="shared" si="46"/>
        <v>25</v>
      </c>
      <c r="O111" s="45">
        <f t="shared" si="47"/>
        <v>325</v>
      </c>
      <c r="P111" s="19">
        <f t="shared" si="48"/>
        <v>54.17</v>
      </c>
      <c r="Q111" s="177">
        <v>80</v>
      </c>
      <c r="R111" s="40">
        <v>80</v>
      </c>
      <c r="S111" s="41">
        <v>50</v>
      </c>
      <c r="T111" s="42">
        <v>40</v>
      </c>
      <c r="U111" s="43">
        <v>50</v>
      </c>
      <c r="V111" s="44">
        <v>25</v>
      </c>
      <c r="W111" s="45">
        <f t="shared" si="39"/>
        <v>325</v>
      </c>
      <c r="X111" s="19">
        <f t="shared" si="40"/>
        <v>54.17</v>
      </c>
      <c r="Y111" s="3">
        <v>80</v>
      </c>
      <c r="Z111" s="4">
        <v>80</v>
      </c>
      <c r="AA111" s="5">
        <v>50</v>
      </c>
      <c r="AB111" s="6">
        <v>40</v>
      </c>
      <c r="AC111" s="7">
        <v>50</v>
      </c>
      <c r="AD111" s="8">
        <v>25</v>
      </c>
      <c r="AE111" s="1">
        <v>325</v>
      </c>
      <c r="AF111" s="19">
        <v>54.17</v>
      </c>
      <c r="AG111" s="139">
        <v>80</v>
      </c>
      <c r="AH111" s="140">
        <v>80</v>
      </c>
      <c r="AI111" s="141">
        <v>50</v>
      </c>
      <c r="AJ111" s="142">
        <v>40</v>
      </c>
      <c r="AK111" s="143">
        <v>50</v>
      </c>
      <c r="AL111" s="144">
        <v>25</v>
      </c>
      <c r="AM111" s="138">
        <v>325</v>
      </c>
      <c r="AN111" s="153">
        <v>54.17</v>
      </c>
      <c r="AO111" s="139">
        <v>80</v>
      </c>
      <c r="AP111" s="140">
        <v>80</v>
      </c>
      <c r="AQ111" s="141">
        <v>50</v>
      </c>
      <c r="AR111" s="162">
        <v>40</v>
      </c>
      <c r="AS111" s="162">
        <v>40</v>
      </c>
      <c r="AT111" s="144">
        <v>25</v>
      </c>
      <c r="AU111" s="138">
        <f t="shared" si="49"/>
        <v>315</v>
      </c>
      <c r="AV111" s="153">
        <f t="shared" si="50"/>
        <v>52.5</v>
      </c>
      <c r="AW111" s="45"/>
      <c r="AX111" s="174" t="b">
        <f>IF('Refined Compare'!$D$2="All",TRUE,IF(F111='Refined Compare'!$D$2,TRUE,IF(G111='Refined Compare'!$D$2,TRUE,FALSE)))</f>
        <v>0</v>
      </c>
      <c r="AY111" s="174" t="b">
        <f>IF('Refined Compare'!$D$3="All",TRUE,IF(F111='Refined Compare'!$D$3,TRUE,IF(G111='Refined Compare'!$D$3,TRUE,FALSE)))</f>
        <v>1</v>
      </c>
      <c r="AZ111" s="174" t="b">
        <f t="shared" si="35"/>
        <v>1</v>
      </c>
    </row>
    <row r="112" spans="1:52" x14ac:dyDescent="0.35">
      <c r="A112">
        <f t="shared" si="36"/>
        <v>111</v>
      </c>
      <c r="B112" s="18">
        <v>88</v>
      </c>
      <c r="C112" s="61">
        <v>7</v>
      </c>
      <c r="D112" s="61"/>
      <c r="E112" s="61"/>
      <c r="F112" s="66" t="s">
        <v>807</v>
      </c>
      <c r="G112" s="66" t="s">
        <v>823</v>
      </c>
      <c r="H112" s="2" t="s">
        <v>975</v>
      </c>
      <c r="I112" s="39">
        <f t="shared" si="41"/>
        <v>0</v>
      </c>
      <c r="J112" s="40">
        <f t="shared" si="42"/>
        <v>0</v>
      </c>
      <c r="K112" s="41">
        <f t="shared" si="43"/>
        <v>0</v>
      </c>
      <c r="L112" s="42">
        <f t="shared" si="44"/>
        <v>0</v>
      </c>
      <c r="M112" s="43">
        <f t="shared" si="45"/>
        <v>0</v>
      </c>
      <c r="N112" s="44">
        <f t="shared" si="46"/>
        <v>0</v>
      </c>
      <c r="O112" s="45">
        <f t="shared" si="47"/>
        <v>0</v>
      </c>
      <c r="P112" s="19">
        <f t="shared" si="48"/>
        <v>0</v>
      </c>
      <c r="Q112" s="177">
        <v>80</v>
      </c>
      <c r="R112" s="40">
        <v>80</v>
      </c>
      <c r="S112" s="41">
        <v>50</v>
      </c>
      <c r="T112" s="42">
        <v>40</v>
      </c>
      <c r="U112" s="43">
        <v>50</v>
      </c>
      <c r="V112" s="44">
        <v>25</v>
      </c>
      <c r="W112" s="45">
        <f t="shared" si="39"/>
        <v>325</v>
      </c>
      <c r="X112" s="19">
        <f t="shared" si="40"/>
        <v>54.17</v>
      </c>
      <c r="Y112" s="3"/>
      <c r="Z112" s="4"/>
      <c r="AA112" s="5"/>
      <c r="AB112" s="6"/>
      <c r="AC112" s="7"/>
      <c r="AD112" s="8"/>
      <c r="AE112" s="1"/>
      <c r="AF112" s="19"/>
      <c r="AG112" s="139"/>
      <c r="AH112" s="140"/>
      <c r="AI112" s="141"/>
      <c r="AJ112" s="142"/>
      <c r="AK112" s="143"/>
      <c r="AL112" s="144"/>
      <c r="AM112" s="138"/>
      <c r="AN112" s="153"/>
      <c r="AO112" s="139"/>
      <c r="AP112" s="140"/>
      <c r="AQ112" s="141"/>
      <c r="AR112" s="162"/>
      <c r="AS112" s="162"/>
      <c r="AT112" s="144"/>
      <c r="AU112" s="138"/>
      <c r="AV112" s="153"/>
      <c r="AW112" s="45"/>
      <c r="AX112" s="174" t="b">
        <f>IF('Refined Compare'!$D$2="All",TRUE,IF(F112='Refined Compare'!$D$2,TRUE,IF(G112='Refined Compare'!$D$2,TRUE,FALSE)))</f>
        <v>1</v>
      </c>
      <c r="AY112" s="174" t="b">
        <f>IF('Refined Compare'!$D$3="All",TRUE,IF(F112='Refined Compare'!$D$3,TRUE,IF(G112='Refined Compare'!$D$3,TRUE,FALSE)))</f>
        <v>0</v>
      </c>
      <c r="AZ112" s="174" t="b">
        <f t="shared" si="35"/>
        <v>0</v>
      </c>
    </row>
    <row r="113" spans="1:52" x14ac:dyDescent="0.35">
      <c r="A113">
        <f t="shared" si="36"/>
        <v>112</v>
      </c>
      <c r="B113" s="18">
        <v>89</v>
      </c>
      <c r="C113" s="61">
        <v>1</v>
      </c>
      <c r="D113" s="118" t="b">
        <v>1</v>
      </c>
      <c r="E113" s="61"/>
      <c r="F113" s="66" t="s">
        <v>807</v>
      </c>
      <c r="G113" s="66" t="s">
        <v>827</v>
      </c>
      <c r="H113" s="2" t="s">
        <v>214</v>
      </c>
      <c r="I113" s="39">
        <f t="shared" si="41"/>
        <v>105</v>
      </c>
      <c r="J113" s="40">
        <f t="shared" si="42"/>
        <v>105</v>
      </c>
      <c r="K113" s="41">
        <f t="shared" si="43"/>
        <v>75</v>
      </c>
      <c r="L113" s="42">
        <f t="shared" si="44"/>
        <v>65</v>
      </c>
      <c r="M113" s="43">
        <f t="shared" si="45"/>
        <v>100</v>
      </c>
      <c r="N113" s="44">
        <f t="shared" si="46"/>
        <v>50</v>
      </c>
      <c r="O113" s="45">
        <f t="shared" si="47"/>
        <v>500</v>
      </c>
      <c r="P113" s="19">
        <f t="shared" si="48"/>
        <v>83.33</v>
      </c>
      <c r="Q113" s="177">
        <v>105</v>
      </c>
      <c r="R113" s="40">
        <v>105</v>
      </c>
      <c r="S113" s="41">
        <v>75</v>
      </c>
      <c r="T113" s="42">
        <v>65</v>
      </c>
      <c r="U113" s="43">
        <v>100</v>
      </c>
      <c r="V113" s="44">
        <v>50</v>
      </c>
      <c r="W113" s="45">
        <f t="shared" si="39"/>
        <v>500</v>
      </c>
      <c r="X113" s="19">
        <f t="shared" si="40"/>
        <v>83.33</v>
      </c>
      <c r="Y113" s="3">
        <v>105</v>
      </c>
      <c r="Z113" s="4">
        <v>105</v>
      </c>
      <c r="AA113" s="5">
        <v>75</v>
      </c>
      <c r="AB113" s="6">
        <v>65</v>
      </c>
      <c r="AC113" s="7">
        <v>100</v>
      </c>
      <c r="AD113" s="8">
        <v>50</v>
      </c>
      <c r="AE113" s="1">
        <v>500</v>
      </c>
      <c r="AF113" s="19">
        <v>83.33</v>
      </c>
      <c r="AG113" s="139">
        <v>105</v>
      </c>
      <c r="AH113" s="140">
        <v>105</v>
      </c>
      <c r="AI113" s="141">
        <v>75</v>
      </c>
      <c r="AJ113" s="142">
        <v>65</v>
      </c>
      <c r="AK113" s="143">
        <v>100</v>
      </c>
      <c r="AL113" s="144">
        <v>50</v>
      </c>
      <c r="AM113" s="138">
        <v>500</v>
      </c>
      <c r="AN113" s="153">
        <v>83.33</v>
      </c>
      <c r="AO113" s="139">
        <v>105</v>
      </c>
      <c r="AP113" s="140">
        <v>105</v>
      </c>
      <c r="AQ113" s="141">
        <v>75</v>
      </c>
      <c r="AR113" s="162">
        <v>65</v>
      </c>
      <c r="AS113" s="162">
        <v>65</v>
      </c>
      <c r="AT113" s="144">
        <v>50</v>
      </c>
      <c r="AU113" s="138">
        <f t="shared" si="49"/>
        <v>465</v>
      </c>
      <c r="AV113" s="153">
        <f t="shared" si="50"/>
        <v>77.5</v>
      </c>
      <c r="AW113" s="45"/>
      <c r="AX113" s="174" t="b">
        <f>IF('Refined Compare'!$D$2="All",TRUE,IF(F113='Refined Compare'!$D$2,TRUE,IF(G113='Refined Compare'!$D$2,TRUE,FALSE)))</f>
        <v>0</v>
      </c>
      <c r="AY113" s="174" t="b">
        <f>IF('Refined Compare'!$D$3="All",TRUE,IF(F113='Refined Compare'!$D$3,TRUE,IF(G113='Refined Compare'!$D$3,TRUE,FALSE)))</f>
        <v>1</v>
      </c>
      <c r="AZ113" s="174" t="b">
        <f t="shared" si="35"/>
        <v>1</v>
      </c>
    </row>
    <row r="114" spans="1:52" x14ac:dyDescent="0.35">
      <c r="A114">
        <f t="shared" si="36"/>
        <v>113</v>
      </c>
      <c r="B114" s="18">
        <v>89</v>
      </c>
      <c r="C114" s="61">
        <v>7</v>
      </c>
      <c r="D114" s="118" t="b">
        <v>1</v>
      </c>
      <c r="E114" s="61"/>
      <c r="F114" s="66" t="s">
        <v>807</v>
      </c>
      <c r="G114" s="66" t="s">
        <v>823</v>
      </c>
      <c r="H114" s="2" t="s">
        <v>976</v>
      </c>
      <c r="I114" s="39">
        <f t="shared" si="41"/>
        <v>0</v>
      </c>
      <c r="J114" s="40">
        <f t="shared" si="42"/>
        <v>0</v>
      </c>
      <c r="K114" s="41">
        <f t="shared" si="43"/>
        <v>0</v>
      </c>
      <c r="L114" s="42">
        <f t="shared" si="44"/>
        <v>0</v>
      </c>
      <c r="M114" s="43">
        <f t="shared" si="45"/>
        <v>0</v>
      </c>
      <c r="N114" s="44">
        <f t="shared" si="46"/>
        <v>0</v>
      </c>
      <c r="O114" s="45">
        <f t="shared" si="47"/>
        <v>0</v>
      </c>
      <c r="P114" s="19">
        <f t="shared" si="48"/>
        <v>0</v>
      </c>
      <c r="Q114" s="177">
        <v>105</v>
      </c>
      <c r="R114" s="40">
        <v>105</v>
      </c>
      <c r="S114" s="41">
        <v>75</v>
      </c>
      <c r="T114" s="42">
        <v>65</v>
      </c>
      <c r="U114" s="43">
        <v>100</v>
      </c>
      <c r="V114" s="44">
        <v>50</v>
      </c>
      <c r="W114" s="45">
        <f t="shared" si="39"/>
        <v>500</v>
      </c>
      <c r="X114" s="19">
        <f t="shared" si="40"/>
        <v>83.33</v>
      </c>
      <c r="Y114" s="3"/>
      <c r="Z114" s="4"/>
      <c r="AA114" s="5"/>
      <c r="AB114" s="6"/>
      <c r="AC114" s="7"/>
      <c r="AD114" s="8"/>
      <c r="AE114" s="1"/>
      <c r="AF114" s="19"/>
      <c r="AG114" s="139"/>
      <c r="AH114" s="140"/>
      <c r="AI114" s="141"/>
      <c r="AJ114" s="142"/>
      <c r="AK114" s="143"/>
      <c r="AL114" s="144"/>
      <c r="AM114" s="138"/>
      <c r="AN114" s="153"/>
      <c r="AO114" s="139"/>
      <c r="AP114" s="140"/>
      <c r="AQ114" s="141"/>
      <c r="AR114" s="162"/>
      <c r="AS114" s="162"/>
      <c r="AT114" s="144"/>
      <c r="AU114" s="138"/>
      <c r="AV114" s="153"/>
      <c r="AW114" s="45"/>
      <c r="AX114" s="174" t="b">
        <f>IF('Refined Compare'!$D$2="All",TRUE,IF(F114='Refined Compare'!$D$2,TRUE,IF(G114='Refined Compare'!$D$2,TRUE,FALSE)))</f>
        <v>1</v>
      </c>
      <c r="AY114" s="174" t="b">
        <f>IF('Refined Compare'!$D$3="All",TRUE,IF(F114='Refined Compare'!$D$3,TRUE,IF(G114='Refined Compare'!$D$3,TRUE,FALSE)))</f>
        <v>0</v>
      </c>
      <c r="AZ114" s="174" t="b">
        <f t="shared" si="35"/>
        <v>0</v>
      </c>
    </row>
    <row r="115" spans="1:52" x14ac:dyDescent="0.35">
      <c r="A115">
        <f t="shared" si="36"/>
        <v>114</v>
      </c>
      <c r="B115" s="18">
        <v>90</v>
      </c>
      <c r="C115" s="61">
        <v>1</v>
      </c>
      <c r="D115" s="61" t="b">
        <v>0</v>
      </c>
      <c r="E115" s="61"/>
      <c r="F115" s="66" t="s">
        <v>810</v>
      </c>
      <c r="G115" s="66" t="s">
        <v>827</v>
      </c>
      <c r="H115" s="2" t="s">
        <v>126</v>
      </c>
      <c r="I115" s="39">
        <f t="shared" si="41"/>
        <v>30</v>
      </c>
      <c r="J115" s="40">
        <f t="shared" si="42"/>
        <v>65</v>
      </c>
      <c r="K115" s="41">
        <f t="shared" si="43"/>
        <v>100</v>
      </c>
      <c r="L115" s="42">
        <f t="shared" si="44"/>
        <v>45</v>
      </c>
      <c r="M115" s="43">
        <f t="shared" si="45"/>
        <v>25</v>
      </c>
      <c r="N115" s="44">
        <f t="shared" si="46"/>
        <v>40</v>
      </c>
      <c r="O115" s="45">
        <f t="shared" si="47"/>
        <v>305</v>
      </c>
      <c r="P115" s="19">
        <f t="shared" si="48"/>
        <v>50.83</v>
      </c>
      <c r="Q115" s="177">
        <v>30</v>
      </c>
      <c r="R115" s="40">
        <v>65</v>
      </c>
      <c r="S115" s="41">
        <v>100</v>
      </c>
      <c r="T115" s="42">
        <v>45</v>
      </c>
      <c r="U115" s="43">
        <v>25</v>
      </c>
      <c r="V115" s="44">
        <v>40</v>
      </c>
      <c r="W115" s="45">
        <f t="shared" si="39"/>
        <v>305</v>
      </c>
      <c r="X115" s="19">
        <f t="shared" si="40"/>
        <v>50.83</v>
      </c>
      <c r="Y115" s="3">
        <v>30</v>
      </c>
      <c r="Z115" s="4">
        <v>65</v>
      </c>
      <c r="AA115" s="5">
        <v>100</v>
      </c>
      <c r="AB115" s="6">
        <v>45</v>
      </c>
      <c r="AC115" s="7">
        <v>25</v>
      </c>
      <c r="AD115" s="8">
        <v>40</v>
      </c>
      <c r="AE115" s="1">
        <v>305</v>
      </c>
      <c r="AF115" s="19">
        <v>50.83</v>
      </c>
      <c r="AG115" s="139">
        <v>30</v>
      </c>
      <c r="AH115" s="140">
        <v>65</v>
      </c>
      <c r="AI115" s="141">
        <v>100</v>
      </c>
      <c r="AJ115" s="142">
        <v>45</v>
      </c>
      <c r="AK115" s="143">
        <v>25</v>
      </c>
      <c r="AL115" s="144">
        <v>40</v>
      </c>
      <c r="AM115" s="138">
        <v>305</v>
      </c>
      <c r="AN115" s="153">
        <v>50.83</v>
      </c>
      <c r="AO115" s="139">
        <v>30</v>
      </c>
      <c r="AP115" s="140">
        <v>65</v>
      </c>
      <c r="AQ115" s="141">
        <v>100</v>
      </c>
      <c r="AR115" s="162">
        <v>45</v>
      </c>
      <c r="AS115" s="162">
        <v>45</v>
      </c>
      <c r="AT115" s="144">
        <v>40</v>
      </c>
      <c r="AU115" s="138">
        <f t="shared" si="49"/>
        <v>325</v>
      </c>
      <c r="AV115" s="153">
        <f t="shared" si="50"/>
        <v>54.166666666666664</v>
      </c>
      <c r="AW115" s="45"/>
      <c r="AX115" s="174" t="b">
        <f>IF('Refined Compare'!$D$2="All",TRUE,IF(F115='Refined Compare'!$D$2,TRUE,IF(G115='Refined Compare'!$D$2,TRUE,FALSE)))</f>
        <v>0</v>
      </c>
      <c r="AY115" s="174" t="b">
        <f>IF('Refined Compare'!$D$3="All",TRUE,IF(F115='Refined Compare'!$D$3,TRUE,IF(G115='Refined Compare'!$D$3,TRUE,FALSE)))</f>
        <v>1</v>
      </c>
      <c r="AZ115" s="174" t="b">
        <f t="shared" si="35"/>
        <v>1</v>
      </c>
    </row>
    <row r="116" spans="1:52" x14ac:dyDescent="0.35">
      <c r="A116">
        <f t="shared" si="36"/>
        <v>115</v>
      </c>
      <c r="B116" s="18">
        <v>91</v>
      </c>
      <c r="C116" s="61">
        <v>1</v>
      </c>
      <c r="D116" s="118" t="b">
        <v>1</v>
      </c>
      <c r="E116" s="61"/>
      <c r="F116" s="66" t="s">
        <v>810</v>
      </c>
      <c r="G116" s="66" t="s">
        <v>820</v>
      </c>
      <c r="H116" s="2" t="s">
        <v>426</v>
      </c>
      <c r="I116" s="39">
        <f t="shared" si="41"/>
        <v>50</v>
      </c>
      <c r="J116" s="40">
        <f t="shared" si="42"/>
        <v>95</v>
      </c>
      <c r="K116" s="41">
        <f t="shared" si="43"/>
        <v>180</v>
      </c>
      <c r="L116" s="42">
        <f t="shared" si="44"/>
        <v>85</v>
      </c>
      <c r="M116" s="43">
        <f t="shared" si="45"/>
        <v>45</v>
      </c>
      <c r="N116" s="44">
        <f t="shared" si="46"/>
        <v>70</v>
      </c>
      <c r="O116" s="45">
        <f t="shared" si="47"/>
        <v>525</v>
      </c>
      <c r="P116" s="19">
        <f t="shared" si="48"/>
        <v>87.5</v>
      </c>
      <c r="Q116" s="177">
        <v>50</v>
      </c>
      <c r="R116" s="40">
        <v>95</v>
      </c>
      <c r="S116" s="41">
        <v>180</v>
      </c>
      <c r="T116" s="42">
        <v>85</v>
      </c>
      <c r="U116" s="43">
        <v>45</v>
      </c>
      <c r="V116" s="44">
        <v>70</v>
      </c>
      <c r="W116" s="45">
        <f t="shared" si="39"/>
        <v>525</v>
      </c>
      <c r="X116" s="19">
        <f t="shared" si="40"/>
        <v>87.5</v>
      </c>
      <c r="Y116" s="3">
        <v>50</v>
      </c>
      <c r="Z116" s="4">
        <v>95</v>
      </c>
      <c r="AA116" s="5">
        <v>180</v>
      </c>
      <c r="AB116" s="6">
        <v>85</v>
      </c>
      <c r="AC116" s="7">
        <v>45</v>
      </c>
      <c r="AD116" s="8">
        <v>70</v>
      </c>
      <c r="AE116" s="1">
        <v>525</v>
      </c>
      <c r="AF116" s="19">
        <v>87.5</v>
      </c>
      <c r="AG116" s="139">
        <v>50</v>
      </c>
      <c r="AH116" s="140">
        <v>95</v>
      </c>
      <c r="AI116" s="141">
        <v>180</v>
      </c>
      <c r="AJ116" s="142">
        <v>85</v>
      </c>
      <c r="AK116" s="143">
        <v>45</v>
      </c>
      <c r="AL116" s="144">
        <v>70</v>
      </c>
      <c r="AM116" s="138">
        <v>525</v>
      </c>
      <c r="AN116" s="153">
        <v>87.5</v>
      </c>
      <c r="AO116" s="139">
        <v>50</v>
      </c>
      <c r="AP116" s="140">
        <v>95</v>
      </c>
      <c r="AQ116" s="141">
        <v>180</v>
      </c>
      <c r="AR116" s="162">
        <v>85</v>
      </c>
      <c r="AS116" s="162">
        <v>85</v>
      </c>
      <c r="AT116" s="144">
        <v>70</v>
      </c>
      <c r="AU116" s="138">
        <f t="shared" si="49"/>
        <v>565</v>
      </c>
      <c r="AV116" s="153">
        <f t="shared" si="50"/>
        <v>94.166666666666671</v>
      </c>
      <c r="AW116" s="45"/>
      <c r="AX116" s="174" t="b">
        <f>IF('Refined Compare'!$D$2="All",TRUE,IF(F116='Refined Compare'!$D$2,TRUE,IF(G116='Refined Compare'!$D$2,TRUE,FALSE)))</f>
        <v>0</v>
      </c>
      <c r="AY116" s="174" t="b">
        <f>IF('Refined Compare'!$D$3="All",TRUE,IF(F116='Refined Compare'!$D$3,TRUE,IF(G116='Refined Compare'!$D$3,TRUE,FALSE)))</f>
        <v>0</v>
      </c>
      <c r="AZ116" s="174" t="b">
        <f t="shared" si="35"/>
        <v>1</v>
      </c>
    </row>
    <row r="117" spans="1:52" x14ac:dyDescent="0.35">
      <c r="A117">
        <f t="shared" si="36"/>
        <v>116</v>
      </c>
      <c r="B117" s="18">
        <v>92</v>
      </c>
      <c r="C117" s="61">
        <v>1</v>
      </c>
      <c r="D117" s="61" t="b">
        <v>0</v>
      </c>
      <c r="E117" s="61"/>
      <c r="F117" s="66" t="s">
        <v>821</v>
      </c>
      <c r="G117" s="66" t="s">
        <v>807</v>
      </c>
      <c r="H117" s="2" t="s">
        <v>500</v>
      </c>
      <c r="I117" s="39">
        <f t="shared" si="41"/>
        <v>30</v>
      </c>
      <c r="J117" s="40">
        <f t="shared" si="42"/>
        <v>35</v>
      </c>
      <c r="K117" s="41">
        <f t="shared" si="43"/>
        <v>30</v>
      </c>
      <c r="L117" s="42">
        <f t="shared" si="44"/>
        <v>100</v>
      </c>
      <c r="M117" s="43">
        <f t="shared" si="45"/>
        <v>35</v>
      </c>
      <c r="N117" s="44">
        <f t="shared" si="46"/>
        <v>80</v>
      </c>
      <c r="O117" s="45">
        <f t="shared" si="47"/>
        <v>310</v>
      </c>
      <c r="P117" s="19">
        <f t="shared" si="48"/>
        <v>51.67</v>
      </c>
      <c r="Q117" s="177">
        <v>30</v>
      </c>
      <c r="R117" s="40">
        <v>35</v>
      </c>
      <c r="S117" s="41">
        <v>30</v>
      </c>
      <c r="T117" s="42">
        <v>100</v>
      </c>
      <c r="U117" s="43">
        <v>35</v>
      </c>
      <c r="V117" s="44">
        <v>80</v>
      </c>
      <c r="W117" s="45">
        <f t="shared" si="39"/>
        <v>310</v>
      </c>
      <c r="X117" s="19">
        <f t="shared" si="40"/>
        <v>51.67</v>
      </c>
      <c r="Y117" s="3">
        <v>30</v>
      </c>
      <c r="Z117" s="4">
        <v>35</v>
      </c>
      <c r="AA117" s="5">
        <v>30</v>
      </c>
      <c r="AB117" s="6">
        <v>100</v>
      </c>
      <c r="AC117" s="7">
        <v>35</v>
      </c>
      <c r="AD117" s="8">
        <v>80</v>
      </c>
      <c r="AE117" s="1">
        <v>310</v>
      </c>
      <c r="AF117" s="19">
        <v>51.67</v>
      </c>
      <c r="AG117" s="139">
        <v>30</v>
      </c>
      <c r="AH117" s="140">
        <v>35</v>
      </c>
      <c r="AI117" s="141">
        <v>30</v>
      </c>
      <c r="AJ117" s="142">
        <v>100</v>
      </c>
      <c r="AK117" s="143">
        <v>35</v>
      </c>
      <c r="AL117" s="144">
        <v>80</v>
      </c>
      <c r="AM117" s="138">
        <v>310</v>
      </c>
      <c r="AN117" s="153">
        <v>51.67</v>
      </c>
      <c r="AO117" s="139">
        <v>30</v>
      </c>
      <c r="AP117" s="140">
        <v>35</v>
      </c>
      <c r="AQ117" s="141">
        <v>30</v>
      </c>
      <c r="AR117" s="162">
        <v>100</v>
      </c>
      <c r="AS117" s="162">
        <v>100</v>
      </c>
      <c r="AT117" s="144">
        <v>80</v>
      </c>
      <c r="AU117" s="138">
        <f t="shared" si="49"/>
        <v>375</v>
      </c>
      <c r="AV117" s="153">
        <f t="shared" si="50"/>
        <v>62.5</v>
      </c>
      <c r="AW117" s="45"/>
      <c r="AX117" s="174" t="b">
        <f>IF('Refined Compare'!$D$2="All",TRUE,IF(F117='Refined Compare'!$D$2,TRUE,IF(G117='Refined Compare'!$D$2,TRUE,FALSE)))</f>
        <v>0</v>
      </c>
      <c r="AY117" s="174" t="b">
        <f>IF('Refined Compare'!$D$3="All",TRUE,IF(F117='Refined Compare'!$D$3,TRUE,IF(G117='Refined Compare'!$D$3,TRUE,FALSE)))</f>
        <v>0</v>
      </c>
      <c r="AZ117" s="174" t="b">
        <f t="shared" si="35"/>
        <v>1</v>
      </c>
    </row>
    <row r="118" spans="1:52" x14ac:dyDescent="0.35">
      <c r="A118">
        <f t="shared" si="36"/>
        <v>117</v>
      </c>
      <c r="B118" s="18">
        <v>93</v>
      </c>
      <c r="C118" s="61">
        <v>1</v>
      </c>
      <c r="D118" s="61" t="b">
        <v>0</v>
      </c>
      <c r="E118" s="61"/>
      <c r="F118" s="66" t="s">
        <v>821</v>
      </c>
      <c r="G118" s="66" t="s">
        <v>807</v>
      </c>
      <c r="H118" s="2" t="s">
        <v>618</v>
      </c>
      <c r="I118" s="39">
        <f t="shared" si="41"/>
        <v>45</v>
      </c>
      <c r="J118" s="40">
        <f t="shared" si="42"/>
        <v>50</v>
      </c>
      <c r="K118" s="41">
        <f t="shared" si="43"/>
        <v>45</v>
      </c>
      <c r="L118" s="42">
        <f t="shared" si="44"/>
        <v>115</v>
      </c>
      <c r="M118" s="43">
        <f t="shared" si="45"/>
        <v>55</v>
      </c>
      <c r="N118" s="44">
        <f t="shared" si="46"/>
        <v>95</v>
      </c>
      <c r="O118" s="45">
        <f t="shared" si="47"/>
        <v>405</v>
      </c>
      <c r="P118" s="19">
        <f t="shared" si="48"/>
        <v>67.5</v>
      </c>
      <c r="Q118" s="177">
        <v>45</v>
      </c>
      <c r="R118" s="40">
        <v>50</v>
      </c>
      <c r="S118" s="41">
        <v>45</v>
      </c>
      <c r="T118" s="42">
        <v>115</v>
      </c>
      <c r="U118" s="43">
        <v>55</v>
      </c>
      <c r="V118" s="44">
        <v>95</v>
      </c>
      <c r="W118" s="45">
        <f t="shared" si="39"/>
        <v>405</v>
      </c>
      <c r="X118" s="19">
        <f t="shared" si="40"/>
        <v>67.5</v>
      </c>
      <c r="Y118" s="3">
        <v>45</v>
      </c>
      <c r="Z118" s="4">
        <v>50</v>
      </c>
      <c r="AA118" s="5">
        <v>45</v>
      </c>
      <c r="AB118" s="6">
        <v>115</v>
      </c>
      <c r="AC118" s="7">
        <v>55</v>
      </c>
      <c r="AD118" s="8">
        <v>95</v>
      </c>
      <c r="AE118" s="1">
        <v>405</v>
      </c>
      <c r="AF118" s="19">
        <v>67.5</v>
      </c>
      <c r="AG118" s="139">
        <v>45</v>
      </c>
      <c r="AH118" s="140">
        <v>50</v>
      </c>
      <c r="AI118" s="141">
        <v>45</v>
      </c>
      <c r="AJ118" s="142">
        <v>115</v>
      </c>
      <c r="AK118" s="143">
        <v>55</v>
      </c>
      <c r="AL118" s="144">
        <v>95</v>
      </c>
      <c r="AM118" s="138">
        <v>405</v>
      </c>
      <c r="AN118" s="153">
        <v>67.5</v>
      </c>
      <c r="AO118" s="139">
        <v>45</v>
      </c>
      <c r="AP118" s="140">
        <v>50</v>
      </c>
      <c r="AQ118" s="141">
        <v>45</v>
      </c>
      <c r="AR118" s="162">
        <v>115</v>
      </c>
      <c r="AS118" s="162">
        <v>115</v>
      </c>
      <c r="AT118" s="144">
        <v>95</v>
      </c>
      <c r="AU118" s="138">
        <f t="shared" si="49"/>
        <v>465</v>
      </c>
      <c r="AV118" s="153">
        <f t="shared" si="50"/>
        <v>77.5</v>
      </c>
      <c r="AW118" s="45"/>
      <c r="AX118" s="174" t="b">
        <f>IF('Refined Compare'!$D$2="All",TRUE,IF(F118='Refined Compare'!$D$2,TRUE,IF(G118='Refined Compare'!$D$2,TRUE,FALSE)))</f>
        <v>0</v>
      </c>
      <c r="AY118" s="174" t="b">
        <f>IF('Refined Compare'!$D$3="All",TRUE,IF(F118='Refined Compare'!$D$3,TRUE,IF(G118='Refined Compare'!$D$3,TRUE,FALSE)))</f>
        <v>0</v>
      </c>
      <c r="AZ118" s="174" t="b">
        <f t="shared" si="35"/>
        <v>1</v>
      </c>
    </row>
    <row r="119" spans="1:52" x14ac:dyDescent="0.35">
      <c r="A119">
        <f t="shared" si="36"/>
        <v>118</v>
      </c>
      <c r="B119" s="18">
        <v>94</v>
      </c>
      <c r="C119" s="61">
        <v>1</v>
      </c>
      <c r="D119" s="61" t="b">
        <f>IF($AW$2&lt;6,TRUE,FALSE)</f>
        <v>1</v>
      </c>
      <c r="E119" s="61"/>
      <c r="F119" s="66" t="s">
        <v>821</v>
      </c>
      <c r="G119" s="66" t="s">
        <v>807</v>
      </c>
      <c r="H119" s="2" t="s">
        <v>716</v>
      </c>
      <c r="I119" s="39">
        <f t="shared" si="41"/>
        <v>60</v>
      </c>
      <c r="J119" s="40">
        <f t="shared" si="42"/>
        <v>65</v>
      </c>
      <c r="K119" s="41">
        <f t="shared" si="43"/>
        <v>60</v>
      </c>
      <c r="L119" s="42">
        <f t="shared" si="44"/>
        <v>130</v>
      </c>
      <c r="M119" s="43">
        <f t="shared" si="45"/>
        <v>75</v>
      </c>
      <c r="N119" s="44">
        <f t="shared" si="46"/>
        <v>110</v>
      </c>
      <c r="O119" s="45">
        <f t="shared" si="47"/>
        <v>500</v>
      </c>
      <c r="P119" s="19">
        <f t="shared" si="48"/>
        <v>83.33</v>
      </c>
      <c r="Q119" s="177">
        <v>60</v>
      </c>
      <c r="R119" s="40">
        <v>65</v>
      </c>
      <c r="S119" s="41">
        <v>60</v>
      </c>
      <c r="T119" s="42">
        <v>130</v>
      </c>
      <c r="U119" s="43">
        <v>75</v>
      </c>
      <c r="V119" s="44">
        <v>110</v>
      </c>
      <c r="W119" s="45">
        <f t="shared" si="39"/>
        <v>500</v>
      </c>
      <c r="X119" s="19">
        <f t="shared" si="40"/>
        <v>83.33</v>
      </c>
      <c r="Y119" s="3">
        <v>60</v>
      </c>
      <c r="Z119" s="4">
        <v>65</v>
      </c>
      <c r="AA119" s="5">
        <v>60</v>
      </c>
      <c r="AB119" s="6">
        <v>130</v>
      </c>
      <c r="AC119" s="7">
        <v>75</v>
      </c>
      <c r="AD119" s="8">
        <v>110</v>
      </c>
      <c r="AE119" s="1">
        <v>500</v>
      </c>
      <c r="AF119" s="19">
        <v>83.33</v>
      </c>
      <c r="AG119" s="139">
        <v>60</v>
      </c>
      <c r="AH119" s="140">
        <v>65</v>
      </c>
      <c r="AI119" s="141">
        <v>60</v>
      </c>
      <c r="AJ119" s="142">
        <v>130</v>
      </c>
      <c r="AK119" s="143">
        <v>75</v>
      </c>
      <c r="AL119" s="144">
        <v>110</v>
      </c>
      <c r="AM119" s="138">
        <v>500</v>
      </c>
      <c r="AN119" s="153">
        <v>83.33</v>
      </c>
      <c r="AO119" s="139">
        <v>60</v>
      </c>
      <c r="AP119" s="140">
        <v>65</v>
      </c>
      <c r="AQ119" s="141">
        <v>60</v>
      </c>
      <c r="AR119" s="162">
        <v>130</v>
      </c>
      <c r="AS119" s="162">
        <v>130</v>
      </c>
      <c r="AT119" s="144">
        <v>110</v>
      </c>
      <c r="AU119" s="138">
        <f t="shared" si="49"/>
        <v>555</v>
      </c>
      <c r="AV119" s="153">
        <f t="shared" si="50"/>
        <v>92.5</v>
      </c>
      <c r="AW119" s="45"/>
      <c r="AX119" s="174" t="b">
        <f>IF('Refined Compare'!$D$2="All",TRUE,IF(F119='Refined Compare'!$D$2,TRUE,IF(G119='Refined Compare'!$D$2,TRUE,FALSE)))</f>
        <v>0</v>
      </c>
      <c r="AY119" s="174" t="b">
        <f>IF('Refined Compare'!$D$3="All",TRUE,IF(F119='Refined Compare'!$D$3,TRUE,IF(G119='Refined Compare'!$D$3,TRUE,FALSE)))</f>
        <v>0</v>
      </c>
      <c r="AZ119" s="174" t="b">
        <f t="shared" si="35"/>
        <v>1</v>
      </c>
    </row>
    <row r="120" spans="1:52" x14ac:dyDescent="0.35">
      <c r="A120">
        <f t="shared" si="36"/>
        <v>119</v>
      </c>
      <c r="B120" s="62">
        <v>94</v>
      </c>
      <c r="C120" s="61">
        <v>6</v>
      </c>
      <c r="D120" s="118" t="b">
        <f>IF(AZ120,TRUE,FALSE)</f>
        <v>0</v>
      </c>
      <c r="E120" s="61" t="s">
        <v>801</v>
      </c>
      <c r="F120" s="66" t="s">
        <v>821</v>
      </c>
      <c r="G120" s="66" t="s">
        <v>807</v>
      </c>
      <c r="H120" s="2" t="s">
        <v>762</v>
      </c>
      <c r="I120" s="39">
        <f t="shared" si="41"/>
        <v>0</v>
      </c>
      <c r="J120" s="40">
        <f t="shared" si="42"/>
        <v>0</v>
      </c>
      <c r="K120" s="41">
        <f t="shared" si="43"/>
        <v>0</v>
      </c>
      <c r="L120" s="42">
        <f t="shared" si="44"/>
        <v>0</v>
      </c>
      <c r="M120" s="43">
        <f t="shared" si="45"/>
        <v>0</v>
      </c>
      <c r="N120" s="44">
        <f t="shared" si="46"/>
        <v>0</v>
      </c>
      <c r="O120" s="45">
        <f t="shared" si="47"/>
        <v>0</v>
      </c>
      <c r="P120" s="19">
        <f t="shared" si="48"/>
        <v>0</v>
      </c>
      <c r="Q120" s="177">
        <v>60</v>
      </c>
      <c r="R120" s="40">
        <v>65</v>
      </c>
      <c r="S120" s="41">
        <v>80</v>
      </c>
      <c r="T120" s="42">
        <v>170</v>
      </c>
      <c r="U120" s="43">
        <v>95</v>
      </c>
      <c r="V120" s="44">
        <v>130</v>
      </c>
      <c r="W120" s="45">
        <f t="shared" si="39"/>
        <v>600</v>
      </c>
      <c r="X120" s="19">
        <f t="shared" si="40"/>
        <v>100</v>
      </c>
      <c r="Y120" s="3">
        <v>60</v>
      </c>
      <c r="Z120" s="4">
        <v>65</v>
      </c>
      <c r="AA120" s="5">
        <v>80</v>
      </c>
      <c r="AB120" s="6">
        <v>170</v>
      </c>
      <c r="AC120" s="7">
        <v>95</v>
      </c>
      <c r="AD120" s="8">
        <v>130</v>
      </c>
      <c r="AE120" s="1">
        <v>600</v>
      </c>
      <c r="AF120" s="19">
        <v>100</v>
      </c>
      <c r="AN120" s="172"/>
      <c r="AV120" s="172"/>
      <c r="AW120" s="45"/>
      <c r="AX120" s="174" t="b">
        <f>IF('Refined Compare'!$D$2="All",TRUE,IF(F120='Refined Compare'!$D$2,TRUE,IF(G120='Refined Compare'!$D$2,TRUE,FALSE)))</f>
        <v>0</v>
      </c>
      <c r="AY120" s="174" t="b">
        <f>IF('Refined Compare'!$D$3="All",TRUE,IF(F120='Refined Compare'!$D$3,TRUE,IF(G120='Refined Compare'!$D$3,TRUE,FALSE)))</f>
        <v>0</v>
      </c>
      <c r="AZ120" s="174" t="b">
        <f t="shared" si="35"/>
        <v>0</v>
      </c>
    </row>
    <row r="121" spans="1:52" x14ac:dyDescent="0.35">
      <c r="A121">
        <f t="shared" si="36"/>
        <v>120</v>
      </c>
      <c r="B121" s="18">
        <v>95</v>
      </c>
      <c r="C121" s="61">
        <v>1</v>
      </c>
      <c r="D121" s="118" t="b">
        <f>IF($AW$2&gt;1,FALSE,TRUE)</f>
        <v>0</v>
      </c>
      <c r="E121" s="61"/>
      <c r="F121" s="66" t="s">
        <v>818</v>
      </c>
      <c r="G121" s="66" t="s">
        <v>814</v>
      </c>
      <c r="H121" s="2" t="s">
        <v>427</v>
      </c>
      <c r="I121" s="39">
        <f t="shared" si="41"/>
        <v>35</v>
      </c>
      <c r="J121" s="40">
        <f t="shared" si="42"/>
        <v>45</v>
      </c>
      <c r="K121" s="41">
        <f t="shared" si="43"/>
        <v>160</v>
      </c>
      <c r="L121" s="42">
        <f t="shared" si="44"/>
        <v>30</v>
      </c>
      <c r="M121" s="43">
        <f t="shared" si="45"/>
        <v>45</v>
      </c>
      <c r="N121" s="44">
        <f t="shared" si="46"/>
        <v>70</v>
      </c>
      <c r="O121" s="45">
        <f t="shared" si="47"/>
        <v>385</v>
      </c>
      <c r="P121" s="19">
        <f t="shared" si="48"/>
        <v>64.17</v>
      </c>
      <c r="Q121" s="177">
        <v>35</v>
      </c>
      <c r="R121" s="40">
        <v>45</v>
      </c>
      <c r="S121" s="41">
        <v>160</v>
      </c>
      <c r="T121" s="42">
        <v>30</v>
      </c>
      <c r="U121" s="43">
        <v>45</v>
      </c>
      <c r="V121" s="44">
        <v>70</v>
      </c>
      <c r="W121" s="45">
        <f t="shared" si="39"/>
        <v>385</v>
      </c>
      <c r="X121" s="19">
        <f t="shared" si="40"/>
        <v>64.17</v>
      </c>
      <c r="Y121" s="3">
        <v>35</v>
      </c>
      <c r="Z121" s="4">
        <v>45</v>
      </c>
      <c r="AA121" s="5">
        <v>160</v>
      </c>
      <c r="AB121" s="6">
        <v>30</v>
      </c>
      <c r="AC121" s="7">
        <v>45</v>
      </c>
      <c r="AD121" s="8">
        <v>70</v>
      </c>
      <c r="AE121" s="1">
        <v>385</v>
      </c>
      <c r="AF121" s="19">
        <v>64.17</v>
      </c>
      <c r="AG121" s="139">
        <v>35</v>
      </c>
      <c r="AH121" s="140">
        <v>45</v>
      </c>
      <c r="AI121" s="141">
        <v>160</v>
      </c>
      <c r="AJ121" s="142">
        <v>30</v>
      </c>
      <c r="AK121" s="143">
        <v>45</v>
      </c>
      <c r="AL121" s="144">
        <v>70</v>
      </c>
      <c r="AM121" s="138">
        <v>385</v>
      </c>
      <c r="AN121" s="153">
        <v>64.17</v>
      </c>
      <c r="AO121" s="139">
        <v>35</v>
      </c>
      <c r="AP121" s="140">
        <v>45</v>
      </c>
      <c r="AQ121" s="141">
        <v>160</v>
      </c>
      <c r="AR121" s="162">
        <v>30</v>
      </c>
      <c r="AS121" s="162">
        <v>30</v>
      </c>
      <c r="AT121" s="144">
        <v>70</v>
      </c>
      <c r="AU121" s="138">
        <f t="shared" ref="AU121:AU143" si="51">SUM(AO121:AT121)</f>
        <v>370</v>
      </c>
      <c r="AV121" s="153">
        <f t="shared" ref="AV121:AV143" si="52">AU121/6</f>
        <v>61.666666666666664</v>
      </c>
      <c r="AW121" s="45"/>
      <c r="AX121" s="174" t="b">
        <f>IF('Refined Compare'!$D$2="All",TRUE,IF(F121='Refined Compare'!$D$2,TRUE,IF(G121='Refined Compare'!$D$2,TRUE,FALSE)))</f>
        <v>0</v>
      </c>
      <c r="AY121" s="174" t="b">
        <f>IF('Refined Compare'!$D$3="All",TRUE,IF(F121='Refined Compare'!$D$3,TRUE,IF(G121='Refined Compare'!$D$3,TRUE,FALSE)))</f>
        <v>0</v>
      </c>
      <c r="AZ121" s="174" t="b">
        <f t="shared" si="35"/>
        <v>1</v>
      </c>
    </row>
    <row r="122" spans="1:52" x14ac:dyDescent="0.35">
      <c r="A122">
        <f t="shared" si="36"/>
        <v>121</v>
      </c>
      <c r="B122" s="18">
        <v>96</v>
      </c>
      <c r="C122" s="61">
        <v>1</v>
      </c>
      <c r="D122" s="118" t="b">
        <v>0</v>
      </c>
      <c r="E122" s="61"/>
      <c r="F122" s="66" t="s">
        <v>817</v>
      </c>
      <c r="G122" s="66" t="s">
        <v>827</v>
      </c>
      <c r="H122" s="2" t="s">
        <v>157</v>
      </c>
      <c r="I122" s="39">
        <f t="shared" si="41"/>
        <v>60</v>
      </c>
      <c r="J122" s="40">
        <f t="shared" si="42"/>
        <v>48</v>
      </c>
      <c r="K122" s="41">
        <f t="shared" si="43"/>
        <v>45</v>
      </c>
      <c r="L122" s="42">
        <f t="shared" si="44"/>
        <v>43</v>
      </c>
      <c r="M122" s="43">
        <f t="shared" si="45"/>
        <v>90</v>
      </c>
      <c r="N122" s="44">
        <f t="shared" si="46"/>
        <v>42</v>
      </c>
      <c r="O122" s="45">
        <f t="shared" si="47"/>
        <v>328</v>
      </c>
      <c r="P122" s="19">
        <f t="shared" si="48"/>
        <v>54.67</v>
      </c>
      <c r="Q122" s="177">
        <v>60</v>
      </c>
      <c r="R122" s="40">
        <v>48</v>
      </c>
      <c r="S122" s="41">
        <v>45</v>
      </c>
      <c r="T122" s="42">
        <v>43</v>
      </c>
      <c r="U122" s="43">
        <v>90</v>
      </c>
      <c r="V122" s="44">
        <v>42</v>
      </c>
      <c r="W122" s="45">
        <f t="shared" si="39"/>
        <v>328</v>
      </c>
      <c r="X122" s="19">
        <f t="shared" si="40"/>
        <v>54.67</v>
      </c>
      <c r="Y122" s="3">
        <v>60</v>
      </c>
      <c r="Z122" s="4">
        <v>48</v>
      </c>
      <c r="AA122" s="5">
        <v>45</v>
      </c>
      <c r="AB122" s="6">
        <v>43</v>
      </c>
      <c r="AC122" s="7">
        <v>90</v>
      </c>
      <c r="AD122" s="8">
        <v>42</v>
      </c>
      <c r="AE122" s="1">
        <v>328</v>
      </c>
      <c r="AF122" s="19">
        <v>54.67</v>
      </c>
      <c r="AG122" s="139">
        <v>60</v>
      </c>
      <c r="AH122" s="140">
        <v>48</v>
      </c>
      <c r="AI122" s="141">
        <v>45</v>
      </c>
      <c r="AJ122" s="142">
        <v>43</v>
      </c>
      <c r="AK122" s="143">
        <v>90</v>
      </c>
      <c r="AL122" s="144">
        <v>42</v>
      </c>
      <c r="AM122" s="138">
        <v>328</v>
      </c>
      <c r="AN122" s="153">
        <v>54.67</v>
      </c>
      <c r="AO122" s="139">
        <v>60</v>
      </c>
      <c r="AP122" s="140">
        <v>48</v>
      </c>
      <c r="AQ122" s="141">
        <v>45</v>
      </c>
      <c r="AR122" s="162">
        <v>90</v>
      </c>
      <c r="AS122" s="162">
        <v>90</v>
      </c>
      <c r="AT122" s="144">
        <v>42</v>
      </c>
      <c r="AU122" s="138">
        <f t="shared" si="51"/>
        <v>375</v>
      </c>
      <c r="AV122" s="153">
        <f t="shared" si="52"/>
        <v>62.5</v>
      </c>
      <c r="AW122" s="45"/>
      <c r="AX122" s="174" t="b">
        <f>IF('Refined Compare'!$D$2="All",TRUE,IF(F122='Refined Compare'!$D$2,TRUE,IF(G122='Refined Compare'!$D$2,TRUE,FALSE)))</f>
        <v>0</v>
      </c>
      <c r="AY122" s="174" t="b">
        <f>IF('Refined Compare'!$D$3="All",TRUE,IF(F122='Refined Compare'!$D$3,TRUE,IF(G122='Refined Compare'!$D$3,TRUE,FALSE)))</f>
        <v>1</v>
      </c>
      <c r="AZ122" s="174" t="b">
        <f t="shared" si="35"/>
        <v>1</v>
      </c>
    </row>
    <row r="123" spans="1:52" x14ac:dyDescent="0.35">
      <c r="A123">
        <f t="shared" si="36"/>
        <v>122</v>
      </c>
      <c r="B123" s="18">
        <v>97</v>
      </c>
      <c r="C123" s="61">
        <v>1</v>
      </c>
      <c r="D123" s="118" t="b">
        <v>1</v>
      </c>
      <c r="E123" s="61"/>
      <c r="F123" s="66" t="s">
        <v>817</v>
      </c>
      <c r="G123" s="66" t="s">
        <v>827</v>
      </c>
      <c r="H123" s="2" t="s">
        <v>406</v>
      </c>
      <c r="I123" s="39">
        <f t="shared" si="41"/>
        <v>85</v>
      </c>
      <c r="J123" s="40">
        <f t="shared" si="42"/>
        <v>73</v>
      </c>
      <c r="K123" s="41">
        <f t="shared" si="43"/>
        <v>70</v>
      </c>
      <c r="L123" s="42">
        <f t="shared" si="44"/>
        <v>73</v>
      </c>
      <c r="M123" s="43">
        <f t="shared" si="45"/>
        <v>115</v>
      </c>
      <c r="N123" s="44">
        <f t="shared" si="46"/>
        <v>67</v>
      </c>
      <c r="O123" s="45">
        <f t="shared" si="47"/>
        <v>483</v>
      </c>
      <c r="P123" s="19">
        <f t="shared" si="48"/>
        <v>80.5</v>
      </c>
      <c r="Q123" s="177">
        <v>85</v>
      </c>
      <c r="R123" s="40">
        <v>73</v>
      </c>
      <c r="S123" s="41">
        <v>70</v>
      </c>
      <c r="T123" s="42">
        <v>73</v>
      </c>
      <c r="U123" s="43">
        <v>115</v>
      </c>
      <c r="V123" s="44">
        <v>67</v>
      </c>
      <c r="W123" s="45">
        <f t="shared" si="39"/>
        <v>483</v>
      </c>
      <c r="X123" s="19">
        <f t="shared" si="40"/>
        <v>80.5</v>
      </c>
      <c r="Y123" s="3">
        <v>85</v>
      </c>
      <c r="Z123" s="4">
        <v>73</v>
      </c>
      <c r="AA123" s="5">
        <v>70</v>
      </c>
      <c r="AB123" s="6">
        <v>73</v>
      </c>
      <c r="AC123" s="7">
        <v>115</v>
      </c>
      <c r="AD123" s="8">
        <v>67</v>
      </c>
      <c r="AE123" s="1">
        <v>483</v>
      </c>
      <c r="AF123" s="19">
        <v>80.5</v>
      </c>
      <c r="AG123" s="139">
        <v>85</v>
      </c>
      <c r="AH123" s="140">
        <v>73</v>
      </c>
      <c r="AI123" s="141">
        <v>70</v>
      </c>
      <c r="AJ123" s="142">
        <v>73</v>
      </c>
      <c r="AK123" s="143">
        <v>115</v>
      </c>
      <c r="AL123" s="144">
        <v>67</v>
      </c>
      <c r="AM123" s="138">
        <v>483</v>
      </c>
      <c r="AN123" s="153">
        <v>80.5</v>
      </c>
      <c r="AO123" s="139">
        <v>85</v>
      </c>
      <c r="AP123" s="140">
        <v>73</v>
      </c>
      <c r="AQ123" s="141">
        <v>70</v>
      </c>
      <c r="AR123" s="162">
        <v>115</v>
      </c>
      <c r="AS123" s="162">
        <v>115</v>
      </c>
      <c r="AT123" s="144">
        <v>67</v>
      </c>
      <c r="AU123" s="138">
        <f t="shared" si="51"/>
        <v>525</v>
      </c>
      <c r="AV123" s="153">
        <f t="shared" si="52"/>
        <v>87.5</v>
      </c>
      <c r="AW123" s="45"/>
      <c r="AX123" s="174" t="b">
        <f>IF('Refined Compare'!$D$2="All",TRUE,IF(F123='Refined Compare'!$D$2,TRUE,IF(G123='Refined Compare'!$D$2,TRUE,FALSE)))</f>
        <v>0</v>
      </c>
      <c r="AY123" s="174" t="b">
        <f>IF('Refined Compare'!$D$3="All",TRUE,IF(F123='Refined Compare'!$D$3,TRUE,IF(G123='Refined Compare'!$D$3,TRUE,FALSE)))</f>
        <v>1</v>
      </c>
      <c r="AZ123" s="174" t="b">
        <f t="shared" si="35"/>
        <v>1</v>
      </c>
    </row>
    <row r="124" spans="1:52" x14ac:dyDescent="0.35">
      <c r="A124">
        <f t="shared" si="36"/>
        <v>123</v>
      </c>
      <c r="B124" s="18">
        <v>98</v>
      </c>
      <c r="C124" s="61">
        <v>1</v>
      </c>
      <c r="D124" s="61" t="b">
        <v>0</v>
      </c>
      <c r="E124" s="61"/>
      <c r="F124" s="66" t="s">
        <v>810</v>
      </c>
      <c r="G124" s="66" t="s">
        <v>827</v>
      </c>
      <c r="H124" s="2" t="s">
        <v>215</v>
      </c>
      <c r="I124" s="39">
        <f t="shared" si="41"/>
        <v>30</v>
      </c>
      <c r="J124" s="40">
        <f t="shared" si="42"/>
        <v>105</v>
      </c>
      <c r="K124" s="41">
        <f t="shared" si="43"/>
        <v>90</v>
      </c>
      <c r="L124" s="42">
        <f t="shared" si="44"/>
        <v>25</v>
      </c>
      <c r="M124" s="43">
        <f t="shared" si="45"/>
        <v>25</v>
      </c>
      <c r="N124" s="44">
        <f t="shared" si="46"/>
        <v>50</v>
      </c>
      <c r="O124" s="45">
        <f t="shared" si="47"/>
        <v>325</v>
      </c>
      <c r="P124" s="19">
        <f t="shared" si="48"/>
        <v>54.17</v>
      </c>
      <c r="Q124" s="177">
        <v>30</v>
      </c>
      <c r="R124" s="40">
        <v>105</v>
      </c>
      <c r="S124" s="41">
        <v>90</v>
      </c>
      <c r="T124" s="42">
        <v>25</v>
      </c>
      <c r="U124" s="43">
        <v>25</v>
      </c>
      <c r="V124" s="44">
        <v>50</v>
      </c>
      <c r="W124" s="45">
        <f t="shared" si="39"/>
        <v>325</v>
      </c>
      <c r="X124" s="19">
        <f t="shared" si="40"/>
        <v>54.17</v>
      </c>
      <c r="Y124" s="3">
        <v>30</v>
      </c>
      <c r="Z124" s="4">
        <v>105</v>
      </c>
      <c r="AA124" s="5">
        <v>90</v>
      </c>
      <c r="AB124" s="6">
        <v>25</v>
      </c>
      <c r="AC124" s="7">
        <v>25</v>
      </c>
      <c r="AD124" s="8">
        <v>50</v>
      </c>
      <c r="AE124" s="1">
        <v>325</v>
      </c>
      <c r="AF124" s="19">
        <v>54.17</v>
      </c>
      <c r="AG124" s="139">
        <v>30</v>
      </c>
      <c r="AH124" s="140">
        <v>105</v>
      </c>
      <c r="AI124" s="141">
        <v>90</v>
      </c>
      <c r="AJ124" s="142">
        <v>25</v>
      </c>
      <c r="AK124" s="143">
        <v>25</v>
      </c>
      <c r="AL124" s="144">
        <v>50</v>
      </c>
      <c r="AM124" s="138">
        <v>325</v>
      </c>
      <c r="AN124" s="153">
        <v>54.17</v>
      </c>
      <c r="AO124" s="139">
        <v>30</v>
      </c>
      <c r="AP124" s="140">
        <v>105</v>
      </c>
      <c r="AQ124" s="141">
        <v>90</v>
      </c>
      <c r="AR124" s="162">
        <v>25</v>
      </c>
      <c r="AS124" s="162">
        <v>25</v>
      </c>
      <c r="AT124" s="144">
        <v>50</v>
      </c>
      <c r="AU124" s="138">
        <f t="shared" si="51"/>
        <v>325</v>
      </c>
      <c r="AV124" s="153">
        <f t="shared" si="52"/>
        <v>54.166666666666664</v>
      </c>
      <c r="AW124" s="45"/>
      <c r="AX124" s="174" t="b">
        <f>IF('Refined Compare'!$D$2="All",TRUE,IF(F124='Refined Compare'!$D$2,TRUE,IF(G124='Refined Compare'!$D$2,TRUE,FALSE)))</f>
        <v>0</v>
      </c>
      <c r="AY124" s="174" t="b">
        <f>IF('Refined Compare'!$D$3="All",TRUE,IF(F124='Refined Compare'!$D$3,TRUE,IF(G124='Refined Compare'!$D$3,TRUE,FALSE)))</f>
        <v>1</v>
      </c>
      <c r="AZ124" s="174" t="b">
        <f t="shared" si="35"/>
        <v>1</v>
      </c>
    </row>
    <row r="125" spans="1:52" x14ac:dyDescent="0.35">
      <c r="A125">
        <f t="shared" si="36"/>
        <v>124</v>
      </c>
      <c r="B125" s="18">
        <v>99</v>
      </c>
      <c r="C125" s="61">
        <v>1</v>
      </c>
      <c r="D125" s="118" t="b">
        <v>1</v>
      </c>
      <c r="E125" s="61"/>
      <c r="F125" s="66" t="s">
        <v>810</v>
      </c>
      <c r="G125" s="66" t="s">
        <v>827</v>
      </c>
      <c r="H125" s="2" t="s">
        <v>472</v>
      </c>
      <c r="I125" s="39">
        <f t="shared" si="41"/>
        <v>55</v>
      </c>
      <c r="J125" s="40">
        <f t="shared" si="42"/>
        <v>130</v>
      </c>
      <c r="K125" s="41">
        <f t="shared" si="43"/>
        <v>115</v>
      </c>
      <c r="L125" s="42">
        <f t="shared" si="44"/>
        <v>50</v>
      </c>
      <c r="M125" s="43">
        <f t="shared" si="45"/>
        <v>50</v>
      </c>
      <c r="N125" s="44">
        <f t="shared" si="46"/>
        <v>75</v>
      </c>
      <c r="O125" s="45">
        <f t="shared" si="47"/>
        <v>475</v>
      </c>
      <c r="P125" s="19">
        <f t="shared" si="48"/>
        <v>79.17</v>
      </c>
      <c r="Q125" s="177">
        <v>55</v>
      </c>
      <c r="R125" s="40">
        <v>130</v>
      </c>
      <c r="S125" s="41">
        <v>115</v>
      </c>
      <c r="T125" s="42">
        <v>50</v>
      </c>
      <c r="U125" s="43">
        <v>50</v>
      </c>
      <c r="V125" s="44">
        <v>75</v>
      </c>
      <c r="W125" s="45">
        <f t="shared" si="39"/>
        <v>475</v>
      </c>
      <c r="X125" s="19">
        <f t="shared" si="40"/>
        <v>79.17</v>
      </c>
      <c r="Y125" s="3">
        <v>55</v>
      </c>
      <c r="Z125" s="4">
        <v>130</v>
      </c>
      <c r="AA125" s="5">
        <v>115</v>
      </c>
      <c r="AB125" s="6">
        <v>50</v>
      </c>
      <c r="AC125" s="7">
        <v>50</v>
      </c>
      <c r="AD125" s="8">
        <v>75</v>
      </c>
      <c r="AE125" s="1">
        <v>475</v>
      </c>
      <c r="AF125" s="19">
        <v>79.17</v>
      </c>
      <c r="AG125" s="139">
        <v>55</v>
      </c>
      <c r="AH125" s="140">
        <v>130</v>
      </c>
      <c r="AI125" s="141">
        <v>115</v>
      </c>
      <c r="AJ125" s="142">
        <v>50</v>
      </c>
      <c r="AK125" s="143">
        <v>50</v>
      </c>
      <c r="AL125" s="144">
        <v>75</v>
      </c>
      <c r="AM125" s="138">
        <v>475</v>
      </c>
      <c r="AN125" s="153">
        <v>79.17</v>
      </c>
      <c r="AO125" s="139">
        <v>55</v>
      </c>
      <c r="AP125" s="140">
        <v>130</v>
      </c>
      <c r="AQ125" s="141">
        <v>115</v>
      </c>
      <c r="AR125" s="162">
        <v>50</v>
      </c>
      <c r="AS125" s="162">
        <v>50</v>
      </c>
      <c r="AT125" s="144">
        <v>75</v>
      </c>
      <c r="AU125" s="138">
        <f t="shared" si="51"/>
        <v>475</v>
      </c>
      <c r="AV125" s="153">
        <f t="shared" si="52"/>
        <v>79.166666666666671</v>
      </c>
      <c r="AW125" s="45"/>
      <c r="AX125" s="174" t="b">
        <f>IF('Refined Compare'!$D$2="All",TRUE,IF(F125='Refined Compare'!$D$2,TRUE,IF(G125='Refined Compare'!$D$2,TRUE,FALSE)))</f>
        <v>0</v>
      </c>
      <c r="AY125" s="174" t="b">
        <f>IF('Refined Compare'!$D$3="All",TRUE,IF(F125='Refined Compare'!$D$3,TRUE,IF(G125='Refined Compare'!$D$3,TRUE,FALSE)))</f>
        <v>1</v>
      </c>
      <c r="AZ125" s="174" t="b">
        <f t="shared" si="35"/>
        <v>1</v>
      </c>
    </row>
    <row r="126" spans="1:52" x14ac:dyDescent="0.35">
      <c r="A126">
        <f t="shared" si="36"/>
        <v>125</v>
      </c>
      <c r="B126" s="18">
        <v>100</v>
      </c>
      <c r="C126" s="61">
        <v>1</v>
      </c>
      <c r="D126" s="61" t="b">
        <v>0</v>
      </c>
      <c r="E126" s="61"/>
      <c r="F126" s="66" t="s">
        <v>813</v>
      </c>
      <c r="G126" s="66" t="s">
        <v>827</v>
      </c>
      <c r="H126" s="2" t="s">
        <v>660</v>
      </c>
      <c r="I126" s="39">
        <f t="shared" si="41"/>
        <v>40</v>
      </c>
      <c r="J126" s="40">
        <f t="shared" si="42"/>
        <v>30</v>
      </c>
      <c r="K126" s="41">
        <f t="shared" si="43"/>
        <v>50</v>
      </c>
      <c r="L126" s="42">
        <f t="shared" si="44"/>
        <v>55</v>
      </c>
      <c r="M126" s="43">
        <f t="shared" si="45"/>
        <v>55</v>
      </c>
      <c r="N126" s="44">
        <f t="shared" si="46"/>
        <v>100</v>
      </c>
      <c r="O126" s="45">
        <f t="shared" si="47"/>
        <v>330</v>
      </c>
      <c r="P126" s="19">
        <f t="shared" si="48"/>
        <v>55</v>
      </c>
      <c r="Q126" s="177">
        <v>40</v>
      </c>
      <c r="R126" s="40">
        <v>30</v>
      </c>
      <c r="S126" s="41">
        <v>50</v>
      </c>
      <c r="T126" s="42">
        <v>55</v>
      </c>
      <c r="U126" s="43">
        <v>55</v>
      </c>
      <c r="V126" s="44">
        <v>100</v>
      </c>
      <c r="W126" s="45">
        <f t="shared" si="39"/>
        <v>330</v>
      </c>
      <c r="X126" s="19">
        <f t="shared" si="40"/>
        <v>55</v>
      </c>
      <c r="Y126" s="3">
        <v>40</v>
      </c>
      <c r="Z126" s="4">
        <v>30</v>
      </c>
      <c r="AA126" s="5">
        <v>50</v>
      </c>
      <c r="AB126" s="6">
        <v>55</v>
      </c>
      <c r="AC126" s="7">
        <v>55</v>
      </c>
      <c r="AD126" s="8">
        <v>100</v>
      </c>
      <c r="AE126" s="1">
        <v>330</v>
      </c>
      <c r="AF126" s="19">
        <v>55</v>
      </c>
      <c r="AG126" s="139">
        <v>40</v>
      </c>
      <c r="AH126" s="140">
        <v>30</v>
      </c>
      <c r="AI126" s="141">
        <v>50</v>
      </c>
      <c r="AJ126" s="142">
        <v>55</v>
      </c>
      <c r="AK126" s="143">
        <v>55</v>
      </c>
      <c r="AL126" s="144">
        <v>100</v>
      </c>
      <c r="AM126" s="138">
        <v>330</v>
      </c>
      <c r="AN126" s="153">
        <v>55</v>
      </c>
      <c r="AO126" s="139">
        <v>40</v>
      </c>
      <c r="AP126" s="140">
        <v>30</v>
      </c>
      <c r="AQ126" s="141">
        <v>50</v>
      </c>
      <c r="AR126" s="162">
        <v>55</v>
      </c>
      <c r="AS126" s="162">
        <v>55</v>
      </c>
      <c r="AT126" s="144">
        <v>100</v>
      </c>
      <c r="AU126" s="138">
        <f t="shared" si="51"/>
        <v>330</v>
      </c>
      <c r="AV126" s="153">
        <f t="shared" si="52"/>
        <v>55</v>
      </c>
      <c r="AW126" s="45"/>
      <c r="AX126" s="174" t="b">
        <f>IF('Refined Compare'!$D$2="All",TRUE,IF(F126='Refined Compare'!$D$2,TRUE,IF(G126='Refined Compare'!$D$2,TRUE,FALSE)))</f>
        <v>0</v>
      </c>
      <c r="AY126" s="174" t="b">
        <f>IF('Refined Compare'!$D$3="All",TRUE,IF(F126='Refined Compare'!$D$3,TRUE,IF(G126='Refined Compare'!$D$3,TRUE,FALSE)))</f>
        <v>1</v>
      </c>
      <c r="AZ126" s="174" t="b">
        <f t="shared" si="35"/>
        <v>1</v>
      </c>
    </row>
    <row r="127" spans="1:52" x14ac:dyDescent="0.35">
      <c r="A127">
        <f t="shared" si="36"/>
        <v>126</v>
      </c>
      <c r="B127" s="18">
        <v>101</v>
      </c>
      <c r="C127" s="61">
        <v>1</v>
      </c>
      <c r="D127" s="118" t="b">
        <v>1</v>
      </c>
      <c r="E127" s="61"/>
      <c r="F127" s="66" t="s">
        <v>813</v>
      </c>
      <c r="G127" s="66" t="s">
        <v>827</v>
      </c>
      <c r="H127" s="2" t="s">
        <v>770</v>
      </c>
      <c r="I127" s="39">
        <f t="shared" si="41"/>
        <v>60</v>
      </c>
      <c r="J127" s="40">
        <f t="shared" si="42"/>
        <v>50</v>
      </c>
      <c r="K127" s="41">
        <f t="shared" si="43"/>
        <v>70</v>
      </c>
      <c r="L127" s="42">
        <f t="shared" si="44"/>
        <v>80</v>
      </c>
      <c r="M127" s="43">
        <f t="shared" si="45"/>
        <v>80</v>
      </c>
      <c r="N127" s="44">
        <f t="shared" si="46"/>
        <v>140</v>
      </c>
      <c r="O127" s="45">
        <f t="shared" si="47"/>
        <v>480</v>
      </c>
      <c r="P127" s="19">
        <f t="shared" si="48"/>
        <v>80</v>
      </c>
      <c r="Q127" s="177">
        <v>60</v>
      </c>
      <c r="R127" s="40">
        <v>50</v>
      </c>
      <c r="S127" s="41">
        <v>70</v>
      </c>
      <c r="T127" s="42">
        <v>80</v>
      </c>
      <c r="U127" s="43">
        <v>80</v>
      </c>
      <c r="V127" s="44">
        <v>150</v>
      </c>
      <c r="W127" s="45">
        <f t="shared" si="39"/>
        <v>490</v>
      </c>
      <c r="X127" s="19">
        <f t="shared" si="40"/>
        <v>81.67</v>
      </c>
      <c r="Y127" s="3">
        <v>60</v>
      </c>
      <c r="Z127" s="4">
        <v>50</v>
      </c>
      <c r="AA127" s="5">
        <v>70</v>
      </c>
      <c r="AB127" s="6">
        <v>80</v>
      </c>
      <c r="AC127" s="7">
        <v>80</v>
      </c>
      <c r="AD127" s="8">
        <v>140</v>
      </c>
      <c r="AE127" s="1">
        <v>480</v>
      </c>
      <c r="AF127" s="19">
        <v>80</v>
      </c>
      <c r="AG127" s="139">
        <v>60</v>
      </c>
      <c r="AH127" s="140">
        <v>50</v>
      </c>
      <c r="AI127" s="141">
        <v>70</v>
      </c>
      <c r="AJ127" s="142">
        <v>80</v>
      </c>
      <c r="AK127" s="143">
        <v>80</v>
      </c>
      <c r="AL127" s="144">
        <v>140</v>
      </c>
      <c r="AM127" s="138">
        <v>480</v>
      </c>
      <c r="AN127" s="153">
        <v>80</v>
      </c>
      <c r="AO127" s="139">
        <v>60</v>
      </c>
      <c r="AP127" s="140">
        <v>50</v>
      </c>
      <c r="AQ127" s="141">
        <v>70</v>
      </c>
      <c r="AR127" s="162">
        <v>80</v>
      </c>
      <c r="AS127" s="162">
        <v>80</v>
      </c>
      <c r="AT127" s="144">
        <v>140</v>
      </c>
      <c r="AU127" s="138">
        <f t="shared" si="51"/>
        <v>480</v>
      </c>
      <c r="AV127" s="153">
        <f t="shared" si="52"/>
        <v>80</v>
      </c>
      <c r="AW127" s="45"/>
      <c r="AX127" s="174" t="b">
        <f>IF('Refined Compare'!$D$2="All",TRUE,IF(F127='Refined Compare'!$D$2,TRUE,IF(G127='Refined Compare'!$D$2,TRUE,FALSE)))</f>
        <v>0</v>
      </c>
      <c r="AY127" s="174" t="b">
        <f>IF('Refined Compare'!$D$3="All",TRUE,IF(F127='Refined Compare'!$D$3,TRUE,IF(G127='Refined Compare'!$D$3,TRUE,FALSE)))</f>
        <v>1</v>
      </c>
      <c r="AZ127" s="174" t="b">
        <f t="shared" si="35"/>
        <v>1</v>
      </c>
    </row>
    <row r="128" spans="1:52" x14ac:dyDescent="0.35">
      <c r="A128">
        <f t="shared" si="36"/>
        <v>127</v>
      </c>
      <c r="B128" s="18">
        <v>102</v>
      </c>
      <c r="C128" s="61">
        <v>1</v>
      </c>
      <c r="D128" s="61" t="b">
        <v>0</v>
      </c>
      <c r="E128" s="61"/>
      <c r="F128" s="66" t="s">
        <v>806</v>
      </c>
      <c r="G128" s="66" t="s">
        <v>817</v>
      </c>
      <c r="H128" s="2" t="s">
        <v>127</v>
      </c>
      <c r="I128" s="39">
        <f t="shared" si="41"/>
        <v>60</v>
      </c>
      <c r="J128" s="40">
        <f t="shared" si="42"/>
        <v>40</v>
      </c>
      <c r="K128" s="41">
        <f t="shared" si="43"/>
        <v>80</v>
      </c>
      <c r="L128" s="42">
        <f t="shared" si="44"/>
        <v>60</v>
      </c>
      <c r="M128" s="43">
        <f t="shared" si="45"/>
        <v>45</v>
      </c>
      <c r="N128" s="44">
        <f t="shared" si="46"/>
        <v>40</v>
      </c>
      <c r="O128" s="45">
        <f t="shared" si="47"/>
        <v>325</v>
      </c>
      <c r="P128" s="19">
        <f t="shared" si="48"/>
        <v>54.17</v>
      </c>
      <c r="Q128" s="177">
        <v>60</v>
      </c>
      <c r="R128" s="40">
        <v>40</v>
      </c>
      <c r="S128" s="41">
        <v>80</v>
      </c>
      <c r="T128" s="42">
        <v>60</v>
      </c>
      <c r="U128" s="43">
        <v>45</v>
      </c>
      <c r="V128" s="44">
        <v>40</v>
      </c>
      <c r="W128" s="45">
        <f t="shared" si="39"/>
        <v>325</v>
      </c>
      <c r="X128" s="19">
        <f t="shared" si="40"/>
        <v>54.17</v>
      </c>
      <c r="Y128" s="3">
        <v>60</v>
      </c>
      <c r="Z128" s="4">
        <v>40</v>
      </c>
      <c r="AA128" s="5">
        <v>80</v>
      </c>
      <c r="AB128" s="6">
        <v>60</v>
      </c>
      <c r="AC128" s="7">
        <v>45</v>
      </c>
      <c r="AD128" s="8">
        <v>40</v>
      </c>
      <c r="AE128" s="1">
        <v>325</v>
      </c>
      <c r="AF128" s="19">
        <v>54.17</v>
      </c>
      <c r="AG128" s="139">
        <v>60</v>
      </c>
      <c r="AH128" s="140">
        <v>40</v>
      </c>
      <c r="AI128" s="141">
        <v>80</v>
      </c>
      <c r="AJ128" s="142">
        <v>60</v>
      </c>
      <c r="AK128" s="143">
        <v>45</v>
      </c>
      <c r="AL128" s="144">
        <v>40</v>
      </c>
      <c r="AM128" s="138">
        <v>325</v>
      </c>
      <c r="AN128" s="153">
        <v>54.17</v>
      </c>
      <c r="AO128" s="139">
        <v>60</v>
      </c>
      <c r="AP128" s="140">
        <v>40</v>
      </c>
      <c r="AQ128" s="141">
        <v>80</v>
      </c>
      <c r="AR128" s="162">
        <v>60</v>
      </c>
      <c r="AS128" s="162">
        <v>60</v>
      </c>
      <c r="AT128" s="144">
        <v>40</v>
      </c>
      <c r="AU128" s="138">
        <f t="shared" si="51"/>
        <v>340</v>
      </c>
      <c r="AV128" s="153">
        <f t="shared" si="52"/>
        <v>56.666666666666664</v>
      </c>
      <c r="AW128" s="45"/>
      <c r="AX128" s="174" t="b">
        <f>IF('Refined Compare'!$D$2="All",TRUE,IF(F128='Refined Compare'!$D$2,TRUE,IF(G128='Refined Compare'!$D$2,TRUE,FALSE)))</f>
        <v>0</v>
      </c>
      <c r="AY128" s="174" t="b">
        <f>IF('Refined Compare'!$D$3="All",TRUE,IF(F128='Refined Compare'!$D$3,TRUE,IF(G128='Refined Compare'!$D$3,TRUE,FALSE)))</f>
        <v>0</v>
      </c>
      <c r="AZ128" s="174" t="b">
        <f t="shared" si="35"/>
        <v>1</v>
      </c>
    </row>
    <row r="129" spans="1:52" x14ac:dyDescent="0.35">
      <c r="A129">
        <f t="shared" si="36"/>
        <v>128</v>
      </c>
      <c r="B129" s="18">
        <v>103</v>
      </c>
      <c r="C129" s="61">
        <v>1</v>
      </c>
      <c r="D129" s="118" t="b">
        <v>1</v>
      </c>
      <c r="E129" s="61"/>
      <c r="F129" s="66" t="s">
        <v>806</v>
      </c>
      <c r="G129" s="66" t="s">
        <v>817</v>
      </c>
      <c r="H129" s="2" t="s">
        <v>269</v>
      </c>
      <c r="I129" s="39">
        <f t="shared" si="41"/>
        <v>95</v>
      </c>
      <c r="J129" s="40">
        <f t="shared" si="42"/>
        <v>95</v>
      </c>
      <c r="K129" s="41">
        <f t="shared" si="43"/>
        <v>85</v>
      </c>
      <c r="L129" s="42">
        <f t="shared" si="44"/>
        <v>125</v>
      </c>
      <c r="M129" s="43">
        <f t="shared" si="45"/>
        <v>65</v>
      </c>
      <c r="N129" s="44">
        <f t="shared" si="46"/>
        <v>55</v>
      </c>
      <c r="O129" s="45">
        <f t="shared" si="47"/>
        <v>520</v>
      </c>
      <c r="P129" s="19">
        <f t="shared" si="48"/>
        <v>86.67</v>
      </c>
      <c r="Q129" s="177">
        <v>95</v>
      </c>
      <c r="R129" s="40">
        <v>95</v>
      </c>
      <c r="S129" s="41">
        <v>85</v>
      </c>
      <c r="T129" s="42">
        <v>125</v>
      </c>
      <c r="U129" s="43">
        <v>75</v>
      </c>
      <c r="V129" s="44">
        <v>55</v>
      </c>
      <c r="W129" s="45">
        <f t="shared" si="39"/>
        <v>530</v>
      </c>
      <c r="X129" s="19">
        <f t="shared" si="40"/>
        <v>88.33</v>
      </c>
      <c r="Y129" s="3">
        <v>95</v>
      </c>
      <c r="Z129" s="4">
        <v>95</v>
      </c>
      <c r="AA129" s="5">
        <v>85</v>
      </c>
      <c r="AB129" s="6">
        <v>125</v>
      </c>
      <c r="AC129" s="7">
        <v>65</v>
      </c>
      <c r="AD129" s="8">
        <v>55</v>
      </c>
      <c r="AE129" s="1">
        <v>520</v>
      </c>
      <c r="AF129" s="19">
        <v>86.67</v>
      </c>
      <c r="AG129" s="139">
        <v>95</v>
      </c>
      <c r="AH129" s="140">
        <v>95</v>
      </c>
      <c r="AI129" s="141">
        <v>85</v>
      </c>
      <c r="AJ129" s="142">
        <v>125</v>
      </c>
      <c r="AK129" s="143">
        <v>65</v>
      </c>
      <c r="AL129" s="144">
        <v>55</v>
      </c>
      <c r="AM129" s="138">
        <v>520</v>
      </c>
      <c r="AN129" s="153">
        <v>86.67</v>
      </c>
      <c r="AO129" s="139">
        <v>95</v>
      </c>
      <c r="AP129" s="140">
        <v>95</v>
      </c>
      <c r="AQ129" s="141">
        <v>85</v>
      </c>
      <c r="AR129" s="162">
        <v>125</v>
      </c>
      <c r="AS129" s="162">
        <v>125</v>
      </c>
      <c r="AT129" s="144">
        <v>55</v>
      </c>
      <c r="AU129" s="138">
        <f t="shared" si="51"/>
        <v>580</v>
      </c>
      <c r="AV129" s="153">
        <f t="shared" si="52"/>
        <v>96.666666666666671</v>
      </c>
      <c r="AW129" s="45"/>
      <c r="AX129" s="174" t="b">
        <f>IF('Refined Compare'!$D$2="All",TRUE,IF(F129='Refined Compare'!$D$2,TRUE,IF(G129='Refined Compare'!$D$2,TRUE,FALSE)))</f>
        <v>0</v>
      </c>
      <c r="AY129" s="174" t="b">
        <f>IF('Refined Compare'!$D$3="All",TRUE,IF(F129='Refined Compare'!$D$3,TRUE,IF(G129='Refined Compare'!$D$3,TRUE,FALSE)))</f>
        <v>0</v>
      </c>
      <c r="AZ129" s="174" t="b">
        <f t="shared" si="35"/>
        <v>1</v>
      </c>
    </row>
    <row r="130" spans="1:52" x14ac:dyDescent="0.35">
      <c r="A130">
        <f t="shared" si="36"/>
        <v>129</v>
      </c>
      <c r="B130" s="18">
        <v>103</v>
      </c>
      <c r="C130" s="61">
        <v>7</v>
      </c>
      <c r="D130" s="118" t="b">
        <v>1</v>
      </c>
      <c r="E130" s="61"/>
      <c r="F130" s="66" t="s">
        <v>806</v>
      </c>
      <c r="G130" s="66" t="s">
        <v>822</v>
      </c>
      <c r="H130" s="2" t="s">
        <v>977</v>
      </c>
      <c r="I130" s="39">
        <f t="shared" ref="I130" si="53">IF($AW$2=7,Q130,IF($AW$2=6,Y130,IF($AW$2=1,AO130,AG130)))</f>
        <v>0</v>
      </c>
      <c r="J130" s="40">
        <f t="shared" ref="J130" si="54">IF($AW$2=7,R130,IF($AW$2=6,Z130,IF($AW$2=1,AP130,AH130)))</f>
        <v>0</v>
      </c>
      <c r="K130" s="41">
        <f t="shared" ref="K130" si="55">IF($AW$2=7,S130,IF($AW$2=6,AA130,IF($AW$2=1,AQ130,AI130)))</f>
        <v>0</v>
      </c>
      <c r="L130" s="42">
        <f t="shared" ref="L130" si="56">IF($AW$2=7,T130,IF($AW$2=6,AB130,IF($AW$2=1,AR130,AJ130)))</f>
        <v>0</v>
      </c>
      <c r="M130" s="43">
        <f t="shared" ref="M130" si="57">IF($AW$2=7,U130,IF($AW$2=6,AC130,IF($AW$2=1,AS130,AK130)))</f>
        <v>0</v>
      </c>
      <c r="N130" s="44">
        <f t="shared" ref="N130" si="58">IF($AW$2=7,V130,IF($AW$2=6,AD130,IF($AW$2=1,AT130,AL130)))</f>
        <v>0</v>
      </c>
      <c r="O130" s="45">
        <f t="shared" ref="O130" si="59">IF($AW$2=7,W130,IF($AW$2=6,AE130,IF($AW$2=1,AU130,AM130)))</f>
        <v>0</v>
      </c>
      <c r="P130" s="19">
        <f t="shared" ref="P130" si="60">IF($AW$2=7,X130,IF($AW$2=6,AF130,IF($AW$2=1,AV130,AN130)))</f>
        <v>0</v>
      </c>
      <c r="Q130" s="177">
        <v>95</v>
      </c>
      <c r="R130" s="40">
        <v>105</v>
      </c>
      <c r="S130" s="41">
        <v>85</v>
      </c>
      <c r="T130" s="42">
        <v>125</v>
      </c>
      <c r="U130" s="43">
        <v>75</v>
      </c>
      <c r="V130" s="44">
        <v>45</v>
      </c>
      <c r="W130" s="45">
        <f t="shared" ref="W130" si="61">SUM(Q130:V130)</f>
        <v>530</v>
      </c>
      <c r="X130" s="19">
        <f t="shared" ref="X130" si="62">ROUND(AVERAGE(Q130:V130),2)</f>
        <v>88.33</v>
      </c>
      <c r="Y130" s="3"/>
      <c r="Z130" s="4"/>
      <c r="AA130" s="5"/>
      <c r="AB130" s="6"/>
      <c r="AC130" s="7"/>
      <c r="AD130" s="8"/>
      <c r="AE130" s="1"/>
      <c r="AF130" s="19"/>
      <c r="AG130" s="139"/>
      <c r="AH130" s="140"/>
      <c r="AI130" s="141"/>
      <c r="AJ130" s="142"/>
      <c r="AK130" s="143"/>
      <c r="AL130" s="144"/>
      <c r="AM130" s="138"/>
      <c r="AN130" s="153"/>
      <c r="AO130" s="139"/>
      <c r="AP130" s="140"/>
      <c r="AQ130" s="141"/>
      <c r="AR130" s="162"/>
      <c r="AS130" s="162"/>
      <c r="AT130" s="144"/>
      <c r="AU130" s="138"/>
      <c r="AV130" s="153"/>
      <c r="AW130" s="45"/>
      <c r="AX130" s="174" t="b">
        <f>IF('Refined Compare'!$D$2="All",TRUE,IF(F130='Refined Compare'!$D$2,TRUE,IF(G130='Refined Compare'!$D$2,TRUE,FALSE)))</f>
        <v>0</v>
      </c>
      <c r="AY130" s="174" t="b">
        <f>IF('Refined Compare'!$D$3="All",TRUE,IF(F130='Refined Compare'!$D$3,TRUE,IF(G130='Refined Compare'!$D$3,TRUE,FALSE)))</f>
        <v>0</v>
      </c>
      <c r="AZ130" s="174" t="b">
        <f t="shared" ref="AZ130:AZ193" si="63">IF(C130&lt;=$AW$2,TRUE,FALSE)</f>
        <v>0</v>
      </c>
    </row>
    <row r="131" spans="1:52" x14ac:dyDescent="0.35">
      <c r="A131">
        <f t="shared" si="36"/>
        <v>130</v>
      </c>
      <c r="B131" s="18">
        <v>104</v>
      </c>
      <c r="C131" s="61">
        <v>1</v>
      </c>
      <c r="D131" s="61" t="b">
        <v>0</v>
      </c>
      <c r="E131" s="61"/>
      <c r="F131" s="66" t="s">
        <v>814</v>
      </c>
      <c r="G131" s="66" t="s">
        <v>827</v>
      </c>
      <c r="H131" s="2" t="s">
        <v>99</v>
      </c>
      <c r="I131" s="39">
        <f t="shared" si="41"/>
        <v>50</v>
      </c>
      <c r="J131" s="40">
        <f t="shared" si="42"/>
        <v>50</v>
      </c>
      <c r="K131" s="41">
        <f t="shared" si="43"/>
        <v>95</v>
      </c>
      <c r="L131" s="42">
        <f t="shared" si="44"/>
        <v>40</v>
      </c>
      <c r="M131" s="43">
        <f t="shared" si="45"/>
        <v>50</v>
      </c>
      <c r="N131" s="44">
        <f t="shared" si="46"/>
        <v>35</v>
      </c>
      <c r="O131" s="45">
        <f t="shared" si="47"/>
        <v>320</v>
      </c>
      <c r="P131" s="19">
        <f t="shared" si="48"/>
        <v>53.33</v>
      </c>
      <c r="Q131" s="177">
        <v>50</v>
      </c>
      <c r="R131" s="40">
        <v>50</v>
      </c>
      <c r="S131" s="41">
        <v>95</v>
      </c>
      <c r="T131" s="42">
        <v>40</v>
      </c>
      <c r="U131" s="43">
        <v>50</v>
      </c>
      <c r="V131" s="44">
        <v>35</v>
      </c>
      <c r="W131" s="45">
        <f t="shared" si="39"/>
        <v>320</v>
      </c>
      <c r="X131" s="19">
        <f t="shared" si="40"/>
        <v>53.33</v>
      </c>
      <c r="Y131" s="3">
        <v>50</v>
      </c>
      <c r="Z131" s="4">
        <v>50</v>
      </c>
      <c r="AA131" s="5">
        <v>95</v>
      </c>
      <c r="AB131" s="6">
        <v>40</v>
      </c>
      <c r="AC131" s="7">
        <v>50</v>
      </c>
      <c r="AD131" s="8">
        <v>35</v>
      </c>
      <c r="AE131" s="1">
        <v>320</v>
      </c>
      <c r="AF131" s="19">
        <v>53.33</v>
      </c>
      <c r="AG131" s="139">
        <v>50</v>
      </c>
      <c r="AH131" s="140">
        <v>50</v>
      </c>
      <c r="AI131" s="141">
        <v>95</v>
      </c>
      <c r="AJ131" s="142">
        <v>40</v>
      </c>
      <c r="AK131" s="143">
        <v>50</v>
      </c>
      <c r="AL131" s="144">
        <v>35</v>
      </c>
      <c r="AM131" s="138">
        <v>320</v>
      </c>
      <c r="AN131" s="153">
        <v>53.33</v>
      </c>
      <c r="AO131" s="139">
        <v>50</v>
      </c>
      <c r="AP131" s="140">
        <v>50</v>
      </c>
      <c r="AQ131" s="141">
        <v>95</v>
      </c>
      <c r="AR131" s="162">
        <v>40</v>
      </c>
      <c r="AS131" s="162">
        <v>40</v>
      </c>
      <c r="AT131" s="144">
        <v>35</v>
      </c>
      <c r="AU131" s="138">
        <f t="shared" si="51"/>
        <v>310</v>
      </c>
      <c r="AV131" s="153">
        <f t="shared" si="52"/>
        <v>51.666666666666664</v>
      </c>
      <c r="AW131" s="45"/>
      <c r="AX131" s="174" t="b">
        <f>IF('Refined Compare'!$D$2="All",TRUE,IF(F131='Refined Compare'!$D$2,TRUE,IF(G131='Refined Compare'!$D$2,TRUE,FALSE)))</f>
        <v>0</v>
      </c>
      <c r="AY131" s="174" t="b">
        <f>IF('Refined Compare'!$D$3="All",TRUE,IF(F131='Refined Compare'!$D$3,TRUE,IF(G131='Refined Compare'!$D$3,TRUE,FALSE)))</f>
        <v>1</v>
      </c>
      <c r="AZ131" s="174" t="b">
        <f t="shared" si="63"/>
        <v>1</v>
      </c>
    </row>
    <row r="132" spans="1:52" x14ac:dyDescent="0.35">
      <c r="A132">
        <f t="shared" si="36"/>
        <v>131</v>
      </c>
      <c r="B132" s="18">
        <v>105</v>
      </c>
      <c r="C132" s="61">
        <v>1</v>
      </c>
      <c r="D132" s="118" t="b">
        <v>1</v>
      </c>
      <c r="E132" s="61"/>
      <c r="F132" s="66" t="s">
        <v>814</v>
      </c>
      <c r="G132" s="66" t="s">
        <v>827</v>
      </c>
      <c r="H132" s="2" t="s">
        <v>179</v>
      </c>
      <c r="I132" s="39">
        <f t="shared" si="41"/>
        <v>60</v>
      </c>
      <c r="J132" s="40">
        <f t="shared" si="42"/>
        <v>80</v>
      </c>
      <c r="K132" s="41">
        <f t="shared" si="43"/>
        <v>110</v>
      </c>
      <c r="L132" s="42">
        <f t="shared" si="44"/>
        <v>50</v>
      </c>
      <c r="M132" s="43">
        <f t="shared" si="45"/>
        <v>80</v>
      </c>
      <c r="N132" s="44">
        <f t="shared" si="46"/>
        <v>45</v>
      </c>
      <c r="O132" s="45">
        <f t="shared" si="47"/>
        <v>425</v>
      </c>
      <c r="P132" s="19">
        <f t="shared" si="48"/>
        <v>70.83</v>
      </c>
      <c r="Q132" s="177">
        <v>60</v>
      </c>
      <c r="R132" s="40">
        <v>80</v>
      </c>
      <c r="S132" s="41">
        <v>110</v>
      </c>
      <c r="T132" s="42">
        <v>50</v>
      </c>
      <c r="U132" s="43">
        <v>80</v>
      </c>
      <c r="V132" s="44">
        <v>45</v>
      </c>
      <c r="W132" s="45">
        <f t="shared" si="39"/>
        <v>425</v>
      </c>
      <c r="X132" s="19">
        <f t="shared" si="40"/>
        <v>70.83</v>
      </c>
      <c r="Y132" s="3">
        <v>60</v>
      </c>
      <c r="Z132" s="4">
        <v>80</v>
      </c>
      <c r="AA132" s="5">
        <v>110</v>
      </c>
      <c r="AB132" s="6">
        <v>50</v>
      </c>
      <c r="AC132" s="7">
        <v>80</v>
      </c>
      <c r="AD132" s="8">
        <v>45</v>
      </c>
      <c r="AE132" s="1">
        <v>425</v>
      </c>
      <c r="AF132" s="19">
        <v>70.83</v>
      </c>
      <c r="AG132" s="139">
        <v>60</v>
      </c>
      <c r="AH132" s="140">
        <v>80</v>
      </c>
      <c r="AI132" s="141">
        <v>110</v>
      </c>
      <c r="AJ132" s="142">
        <v>50</v>
      </c>
      <c r="AK132" s="143">
        <v>80</v>
      </c>
      <c r="AL132" s="144">
        <v>45</v>
      </c>
      <c r="AM132" s="138">
        <v>425</v>
      </c>
      <c r="AN132" s="153">
        <v>70.83</v>
      </c>
      <c r="AO132" s="139">
        <v>60</v>
      </c>
      <c r="AP132" s="140">
        <v>80</v>
      </c>
      <c r="AQ132" s="141">
        <v>110</v>
      </c>
      <c r="AR132" s="162">
        <v>50</v>
      </c>
      <c r="AS132" s="162">
        <v>50</v>
      </c>
      <c r="AT132" s="144">
        <v>45</v>
      </c>
      <c r="AU132" s="138">
        <f t="shared" si="51"/>
        <v>395</v>
      </c>
      <c r="AV132" s="153">
        <f t="shared" si="52"/>
        <v>65.833333333333329</v>
      </c>
      <c r="AW132" s="45"/>
      <c r="AX132" s="174" t="b">
        <f>IF('Refined Compare'!$D$2="All",TRUE,IF(F132='Refined Compare'!$D$2,TRUE,IF(G132='Refined Compare'!$D$2,TRUE,FALSE)))</f>
        <v>0</v>
      </c>
      <c r="AY132" s="174" t="b">
        <f>IF('Refined Compare'!$D$3="All",TRUE,IF(F132='Refined Compare'!$D$3,TRUE,IF(G132='Refined Compare'!$D$3,TRUE,FALSE)))</f>
        <v>1</v>
      </c>
      <c r="AZ132" s="174" t="b">
        <f t="shared" si="63"/>
        <v>1</v>
      </c>
    </row>
    <row r="133" spans="1:52" x14ac:dyDescent="0.35">
      <c r="A133">
        <f t="shared" si="36"/>
        <v>132</v>
      </c>
      <c r="B133" s="18">
        <v>105</v>
      </c>
      <c r="C133" s="61">
        <v>7</v>
      </c>
      <c r="D133" s="118" t="b">
        <v>1</v>
      </c>
      <c r="E133" s="61"/>
      <c r="F133" s="66" t="s">
        <v>808</v>
      </c>
      <c r="G133" s="66" t="s">
        <v>821</v>
      </c>
      <c r="H133" s="2" t="s">
        <v>978</v>
      </c>
      <c r="I133" s="39">
        <f t="shared" si="41"/>
        <v>0</v>
      </c>
      <c r="J133" s="40">
        <f t="shared" si="42"/>
        <v>0</v>
      </c>
      <c r="K133" s="41">
        <f t="shared" si="43"/>
        <v>0</v>
      </c>
      <c r="L133" s="42">
        <f t="shared" si="44"/>
        <v>0</v>
      </c>
      <c r="M133" s="43">
        <f t="shared" si="45"/>
        <v>0</v>
      </c>
      <c r="N133" s="44">
        <f t="shared" si="46"/>
        <v>0</v>
      </c>
      <c r="O133" s="45">
        <f t="shared" si="47"/>
        <v>0</v>
      </c>
      <c r="P133" s="19">
        <f t="shared" si="48"/>
        <v>0</v>
      </c>
      <c r="Q133" s="177">
        <v>60</v>
      </c>
      <c r="R133" s="40">
        <v>80</v>
      </c>
      <c r="S133" s="41">
        <v>110</v>
      </c>
      <c r="T133" s="42">
        <v>50</v>
      </c>
      <c r="U133" s="43">
        <v>80</v>
      </c>
      <c r="V133" s="44">
        <v>45</v>
      </c>
      <c r="W133" s="45">
        <f t="shared" si="39"/>
        <v>425</v>
      </c>
      <c r="X133" s="19">
        <f t="shared" si="40"/>
        <v>70.83</v>
      </c>
      <c r="Y133" s="3"/>
      <c r="Z133" s="4"/>
      <c r="AA133" s="5"/>
      <c r="AB133" s="6"/>
      <c r="AC133" s="7"/>
      <c r="AD133" s="8"/>
      <c r="AE133" s="1"/>
      <c r="AF133" s="19"/>
      <c r="AG133" s="139"/>
      <c r="AH133" s="140"/>
      <c r="AI133" s="141"/>
      <c r="AJ133" s="142"/>
      <c r="AK133" s="143"/>
      <c r="AL133" s="144"/>
      <c r="AM133" s="138"/>
      <c r="AN133" s="153"/>
      <c r="AO133" s="139"/>
      <c r="AP133" s="140"/>
      <c r="AQ133" s="141"/>
      <c r="AR133" s="162"/>
      <c r="AS133" s="162"/>
      <c r="AT133" s="144"/>
      <c r="AU133" s="138"/>
      <c r="AV133" s="153"/>
      <c r="AW133" s="45"/>
      <c r="AX133" s="174" t="b">
        <f>IF('Refined Compare'!$D$2="All",TRUE,IF(F133='Refined Compare'!$D$2,TRUE,IF(G133='Refined Compare'!$D$2,TRUE,FALSE)))</f>
        <v>0</v>
      </c>
      <c r="AY133" s="174" t="b">
        <f>IF('Refined Compare'!$D$3="All",TRUE,IF(F133='Refined Compare'!$D$3,TRUE,IF(G133='Refined Compare'!$D$3,TRUE,FALSE)))</f>
        <v>0</v>
      </c>
      <c r="AZ133" s="174" t="b">
        <f t="shared" si="63"/>
        <v>0</v>
      </c>
    </row>
    <row r="134" spans="1:52" x14ac:dyDescent="0.35">
      <c r="A134">
        <f t="shared" si="36"/>
        <v>133</v>
      </c>
      <c r="B134" s="18">
        <v>106</v>
      </c>
      <c r="C134" s="61">
        <v>1</v>
      </c>
      <c r="D134" s="118" t="b">
        <v>1</v>
      </c>
      <c r="E134" s="61"/>
      <c r="F134" s="66" t="s">
        <v>816</v>
      </c>
      <c r="G134" s="66" t="s">
        <v>827</v>
      </c>
      <c r="H134" s="2" t="s">
        <v>571</v>
      </c>
      <c r="I134" s="39">
        <f t="shared" si="41"/>
        <v>50</v>
      </c>
      <c r="J134" s="40">
        <f t="shared" si="42"/>
        <v>120</v>
      </c>
      <c r="K134" s="41">
        <f t="shared" si="43"/>
        <v>53</v>
      </c>
      <c r="L134" s="42">
        <f t="shared" si="44"/>
        <v>35</v>
      </c>
      <c r="M134" s="43">
        <f t="shared" si="45"/>
        <v>110</v>
      </c>
      <c r="N134" s="44">
        <f t="shared" si="46"/>
        <v>87</v>
      </c>
      <c r="O134" s="45">
        <f t="shared" si="47"/>
        <v>455</v>
      </c>
      <c r="P134" s="19">
        <f t="shared" si="48"/>
        <v>75.83</v>
      </c>
      <c r="Q134" s="177">
        <v>50</v>
      </c>
      <c r="R134" s="40">
        <v>120</v>
      </c>
      <c r="S134" s="41">
        <v>53</v>
      </c>
      <c r="T134" s="42">
        <v>35</v>
      </c>
      <c r="U134" s="43">
        <v>110</v>
      </c>
      <c r="V134" s="44">
        <v>87</v>
      </c>
      <c r="W134" s="45">
        <f t="shared" si="39"/>
        <v>455</v>
      </c>
      <c r="X134" s="19">
        <f t="shared" si="40"/>
        <v>75.83</v>
      </c>
      <c r="Y134" s="3">
        <v>50</v>
      </c>
      <c r="Z134" s="4">
        <v>120</v>
      </c>
      <c r="AA134" s="5">
        <v>53</v>
      </c>
      <c r="AB134" s="6">
        <v>35</v>
      </c>
      <c r="AC134" s="7">
        <v>110</v>
      </c>
      <c r="AD134" s="8">
        <v>87</v>
      </c>
      <c r="AE134" s="1">
        <v>455</v>
      </c>
      <c r="AF134" s="19">
        <v>75.83</v>
      </c>
      <c r="AG134" s="139">
        <v>50</v>
      </c>
      <c r="AH134" s="140">
        <v>120</v>
      </c>
      <c r="AI134" s="141">
        <v>53</v>
      </c>
      <c r="AJ134" s="142">
        <v>35</v>
      </c>
      <c r="AK134" s="143">
        <v>110</v>
      </c>
      <c r="AL134" s="144">
        <v>87</v>
      </c>
      <c r="AM134" s="138">
        <v>455</v>
      </c>
      <c r="AN134" s="153">
        <v>75.83</v>
      </c>
      <c r="AO134" s="139">
        <v>50</v>
      </c>
      <c r="AP134" s="140">
        <v>120</v>
      </c>
      <c r="AQ134" s="141">
        <v>53</v>
      </c>
      <c r="AR134" s="162">
        <v>35</v>
      </c>
      <c r="AS134" s="162">
        <v>35</v>
      </c>
      <c r="AT134" s="144">
        <v>87</v>
      </c>
      <c r="AU134" s="138">
        <f t="shared" si="51"/>
        <v>380</v>
      </c>
      <c r="AV134" s="153">
        <f t="shared" si="52"/>
        <v>63.333333333333336</v>
      </c>
      <c r="AW134" s="45"/>
      <c r="AX134" s="174" t="b">
        <f>IF('Refined Compare'!$D$2="All",TRUE,IF(F134='Refined Compare'!$D$2,TRUE,IF(G134='Refined Compare'!$D$2,TRUE,FALSE)))</f>
        <v>0</v>
      </c>
      <c r="AY134" s="174" t="b">
        <f>IF('Refined Compare'!$D$3="All",TRUE,IF(F134='Refined Compare'!$D$3,TRUE,IF(G134='Refined Compare'!$D$3,TRUE,FALSE)))</f>
        <v>1</v>
      </c>
      <c r="AZ134" s="174" t="b">
        <f t="shared" si="63"/>
        <v>1</v>
      </c>
    </row>
    <row r="135" spans="1:52" x14ac:dyDescent="0.35">
      <c r="A135">
        <f t="shared" si="36"/>
        <v>134</v>
      </c>
      <c r="B135" s="18">
        <v>107</v>
      </c>
      <c r="C135" s="61">
        <v>1</v>
      </c>
      <c r="D135" s="118" t="b">
        <v>1</v>
      </c>
      <c r="E135" s="61"/>
      <c r="F135" s="66" t="s">
        <v>816</v>
      </c>
      <c r="G135" s="66" t="s">
        <v>827</v>
      </c>
      <c r="H135" s="2" t="s">
        <v>487</v>
      </c>
      <c r="I135" s="39">
        <f t="shared" si="41"/>
        <v>50</v>
      </c>
      <c r="J135" s="40">
        <f t="shared" si="42"/>
        <v>105</v>
      </c>
      <c r="K135" s="41">
        <f t="shared" si="43"/>
        <v>79</v>
      </c>
      <c r="L135" s="42">
        <f t="shared" si="44"/>
        <v>35</v>
      </c>
      <c r="M135" s="43">
        <f t="shared" si="45"/>
        <v>110</v>
      </c>
      <c r="N135" s="44">
        <f t="shared" si="46"/>
        <v>76</v>
      </c>
      <c r="O135" s="45">
        <f t="shared" si="47"/>
        <v>455</v>
      </c>
      <c r="P135" s="19">
        <f t="shared" si="48"/>
        <v>75.83</v>
      </c>
      <c r="Q135" s="177">
        <v>50</v>
      </c>
      <c r="R135" s="40">
        <v>105</v>
      </c>
      <c r="S135" s="41">
        <v>79</v>
      </c>
      <c r="T135" s="42">
        <v>35</v>
      </c>
      <c r="U135" s="43">
        <v>110</v>
      </c>
      <c r="V135" s="44">
        <v>76</v>
      </c>
      <c r="W135" s="45">
        <f t="shared" si="39"/>
        <v>455</v>
      </c>
      <c r="X135" s="19">
        <f t="shared" si="40"/>
        <v>75.83</v>
      </c>
      <c r="Y135" s="3">
        <v>50</v>
      </c>
      <c r="Z135" s="4">
        <v>105</v>
      </c>
      <c r="AA135" s="5">
        <v>79</v>
      </c>
      <c r="AB135" s="6">
        <v>35</v>
      </c>
      <c r="AC135" s="7">
        <v>110</v>
      </c>
      <c r="AD135" s="8">
        <v>76</v>
      </c>
      <c r="AE135" s="1">
        <v>455</v>
      </c>
      <c r="AF135" s="19">
        <v>75.83</v>
      </c>
      <c r="AG135" s="139">
        <v>50</v>
      </c>
      <c r="AH135" s="140">
        <v>105</v>
      </c>
      <c r="AI135" s="141">
        <v>79</v>
      </c>
      <c r="AJ135" s="142">
        <v>35</v>
      </c>
      <c r="AK135" s="143">
        <v>110</v>
      </c>
      <c r="AL135" s="144">
        <v>76</v>
      </c>
      <c r="AM135" s="138">
        <v>455</v>
      </c>
      <c r="AN135" s="153">
        <v>75.83</v>
      </c>
      <c r="AO135" s="139">
        <v>50</v>
      </c>
      <c r="AP135" s="140">
        <v>105</v>
      </c>
      <c r="AQ135" s="141">
        <v>79</v>
      </c>
      <c r="AR135" s="162">
        <v>35</v>
      </c>
      <c r="AS135" s="162">
        <v>35</v>
      </c>
      <c r="AT135" s="144">
        <v>76</v>
      </c>
      <c r="AU135" s="138">
        <f t="shared" si="51"/>
        <v>380</v>
      </c>
      <c r="AV135" s="153">
        <f t="shared" si="52"/>
        <v>63.333333333333336</v>
      </c>
      <c r="AW135" s="45"/>
      <c r="AX135" s="174" t="b">
        <f>IF('Refined Compare'!$D$2="All",TRUE,IF(F135='Refined Compare'!$D$2,TRUE,IF(G135='Refined Compare'!$D$2,TRUE,FALSE)))</f>
        <v>0</v>
      </c>
      <c r="AY135" s="174" t="b">
        <f>IF('Refined Compare'!$D$3="All",TRUE,IF(F135='Refined Compare'!$D$3,TRUE,IF(G135='Refined Compare'!$D$3,TRUE,FALSE)))</f>
        <v>1</v>
      </c>
      <c r="AZ135" s="174" t="b">
        <f t="shared" si="63"/>
        <v>1</v>
      </c>
    </row>
    <row r="136" spans="1:52" x14ac:dyDescent="0.35">
      <c r="A136">
        <f t="shared" si="36"/>
        <v>135</v>
      </c>
      <c r="B136" s="18">
        <v>108</v>
      </c>
      <c r="C136" s="61">
        <v>1</v>
      </c>
      <c r="D136" s="118" t="b">
        <f>IF($AW$2&lt;4,TRUE,FALSE)</f>
        <v>0</v>
      </c>
      <c r="E136" s="61"/>
      <c r="F136" s="66" t="s">
        <v>812</v>
      </c>
      <c r="G136" s="66" t="s">
        <v>827</v>
      </c>
      <c r="H136" s="2" t="s">
        <v>57</v>
      </c>
      <c r="I136" s="39">
        <f t="shared" si="41"/>
        <v>90</v>
      </c>
      <c r="J136" s="40">
        <f t="shared" si="42"/>
        <v>55</v>
      </c>
      <c r="K136" s="41">
        <f t="shared" si="43"/>
        <v>75</v>
      </c>
      <c r="L136" s="42">
        <f t="shared" si="44"/>
        <v>60</v>
      </c>
      <c r="M136" s="43">
        <f t="shared" si="45"/>
        <v>75</v>
      </c>
      <c r="N136" s="44">
        <f t="shared" si="46"/>
        <v>30</v>
      </c>
      <c r="O136" s="45">
        <f t="shared" si="47"/>
        <v>385</v>
      </c>
      <c r="P136" s="19">
        <f t="shared" si="48"/>
        <v>64.17</v>
      </c>
      <c r="Q136" s="177">
        <v>90</v>
      </c>
      <c r="R136" s="40">
        <v>55</v>
      </c>
      <c r="S136" s="41">
        <v>75</v>
      </c>
      <c r="T136" s="42">
        <v>60</v>
      </c>
      <c r="U136" s="43">
        <v>75</v>
      </c>
      <c r="V136" s="44">
        <v>30</v>
      </c>
      <c r="W136" s="45">
        <f t="shared" si="39"/>
        <v>385</v>
      </c>
      <c r="X136" s="19">
        <f t="shared" si="40"/>
        <v>64.17</v>
      </c>
      <c r="Y136" s="3">
        <v>90</v>
      </c>
      <c r="Z136" s="4">
        <v>55</v>
      </c>
      <c r="AA136" s="5">
        <v>75</v>
      </c>
      <c r="AB136" s="6">
        <v>60</v>
      </c>
      <c r="AC136" s="7">
        <v>75</v>
      </c>
      <c r="AD136" s="8">
        <v>30</v>
      </c>
      <c r="AE136" s="1">
        <v>385</v>
      </c>
      <c r="AF136" s="19">
        <v>64.17</v>
      </c>
      <c r="AG136" s="139">
        <v>90</v>
      </c>
      <c r="AH136" s="140">
        <v>55</v>
      </c>
      <c r="AI136" s="141">
        <v>75</v>
      </c>
      <c r="AJ136" s="142">
        <v>60</v>
      </c>
      <c r="AK136" s="143">
        <v>75</v>
      </c>
      <c r="AL136" s="144">
        <v>30</v>
      </c>
      <c r="AM136" s="138">
        <v>385</v>
      </c>
      <c r="AN136" s="153">
        <v>64.17</v>
      </c>
      <c r="AO136" s="139">
        <v>90</v>
      </c>
      <c r="AP136" s="140">
        <v>55</v>
      </c>
      <c r="AQ136" s="141">
        <v>75</v>
      </c>
      <c r="AR136" s="162">
        <v>60</v>
      </c>
      <c r="AS136" s="162">
        <v>60</v>
      </c>
      <c r="AT136" s="144">
        <v>30</v>
      </c>
      <c r="AU136" s="138">
        <f t="shared" si="51"/>
        <v>370</v>
      </c>
      <c r="AV136" s="153">
        <f t="shared" si="52"/>
        <v>61.666666666666664</v>
      </c>
      <c r="AW136" s="45"/>
      <c r="AX136" s="174" t="b">
        <f>IF('Refined Compare'!$D$2="All",TRUE,IF(F136='Refined Compare'!$D$2,TRUE,IF(G136='Refined Compare'!$D$2,TRUE,FALSE)))</f>
        <v>0</v>
      </c>
      <c r="AY136" s="174" t="b">
        <f>IF('Refined Compare'!$D$3="All",TRUE,IF(F136='Refined Compare'!$D$3,TRUE,IF(G136='Refined Compare'!$D$3,TRUE,FALSE)))</f>
        <v>1</v>
      </c>
      <c r="AZ136" s="174" t="b">
        <f t="shared" si="63"/>
        <v>1</v>
      </c>
    </row>
    <row r="137" spans="1:52" x14ac:dyDescent="0.35">
      <c r="A137">
        <f t="shared" si="36"/>
        <v>136</v>
      </c>
      <c r="B137" s="18">
        <v>109</v>
      </c>
      <c r="C137" s="61">
        <v>1</v>
      </c>
      <c r="D137" s="61" t="b">
        <v>0</v>
      </c>
      <c r="E137" s="61"/>
      <c r="F137" s="66" t="s">
        <v>807</v>
      </c>
      <c r="G137" s="66" t="s">
        <v>827</v>
      </c>
      <c r="H137" s="2" t="s">
        <v>100</v>
      </c>
      <c r="I137" s="39">
        <f t="shared" si="41"/>
        <v>40</v>
      </c>
      <c r="J137" s="40">
        <f t="shared" si="42"/>
        <v>65</v>
      </c>
      <c r="K137" s="41">
        <f t="shared" si="43"/>
        <v>95</v>
      </c>
      <c r="L137" s="42">
        <f t="shared" si="44"/>
        <v>60</v>
      </c>
      <c r="M137" s="43">
        <f t="shared" si="45"/>
        <v>45</v>
      </c>
      <c r="N137" s="44">
        <f t="shared" si="46"/>
        <v>35</v>
      </c>
      <c r="O137" s="45">
        <f t="shared" si="47"/>
        <v>340</v>
      </c>
      <c r="P137" s="19">
        <f t="shared" si="48"/>
        <v>56.67</v>
      </c>
      <c r="Q137" s="177">
        <v>40</v>
      </c>
      <c r="R137" s="40">
        <v>65</v>
      </c>
      <c r="S137" s="41">
        <v>95</v>
      </c>
      <c r="T137" s="42">
        <v>60</v>
      </c>
      <c r="U137" s="43">
        <v>45</v>
      </c>
      <c r="V137" s="44">
        <v>35</v>
      </c>
      <c r="W137" s="45">
        <f t="shared" si="39"/>
        <v>340</v>
      </c>
      <c r="X137" s="19">
        <f t="shared" si="40"/>
        <v>56.67</v>
      </c>
      <c r="Y137" s="3">
        <v>40</v>
      </c>
      <c r="Z137" s="4">
        <v>65</v>
      </c>
      <c r="AA137" s="5">
        <v>95</v>
      </c>
      <c r="AB137" s="6">
        <v>60</v>
      </c>
      <c r="AC137" s="7">
        <v>45</v>
      </c>
      <c r="AD137" s="8">
        <v>35</v>
      </c>
      <c r="AE137" s="1">
        <v>340</v>
      </c>
      <c r="AF137" s="19">
        <v>56.67</v>
      </c>
      <c r="AG137" s="139">
        <v>40</v>
      </c>
      <c r="AH137" s="140">
        <v>65</v>
      </c>
      <c r="AI137" s="141">
        <v>95</v>
      </c>
      <c r="AJ137" s="142">
        <v>60</v>
      </c>
      <c r="AK137" s="143">
        <v>45</v>
      </c>
      <c r="AL137" s="144">
        <v>35</v>
      </c>
      <c r="AM137" s="138">
        <v>340</v>
      </c>
      <c r="AN137" s="153">
        <v>56.67</v>
      </c>
      <c r="AO137" s="139">
        <v>40</v>
      </c>
      <c r="AP137" s="140">
        <v>65</v>
      </c>
      <c r="AQ137" s="141">
        <v>95</v>
      </c>
      <c r="AR137" s="162">
        <v>60</v>
      </c>
      <c r="AS137" s="162">
        <v>60</v>
      </c>
      <c r="AT137" s="144">
        <v>35</v>
      </c>
      <c r="AU137" s="138">
        <f t="shared" si="51"/>
        <v>355</v>
      </c>
      <c r="AV137" s="153">
        <f t="shared" si="52"/>
        <v>59.166666666666664</v>
      </c>
      <c r="AW137" s="45"/>
      <c r="AX137" s="174" t="b">
        <f>IF('Refined Compare'!$D$2="All",TRUE,IF(F137='Refined Compare'!$D$2,TRUE,IF(G137='Refined Compare'!$D$2,TRUE,FALSE)))</f>
        <v>0</v>
      </c>
      <c r="AY137" s="174" t="b">
        <f>IF('Refined Compare'!$D$3="All",TRUE,IF(F137='Refined Compare'!$D$3,TRUE,IF(G137='Refined Compare'!$D$3,TRUE,FALSE)))</f>
        <v>1</v>
      </c>
      <c r="AZ137" s="174" t="b">
        <f t="shared" si="63"/>
        <v>1</v>
      </c>
    </row>
    <row r="138" spans="1:52" x14ac:dyDescent="0.35">
      <c r="A138">
        <f t="shared" si="36"/>
        <v>137</v>
      </c>
      <c r="B138" s="18">
        <v>110</v>
      </c>
      <c r="C138" s="61">
        <v>1</v>
      </c>
      <c r="D138" s="118" t="b">
        <v>1</v>
      </c>
      <c r="E138" s="61"/>
      <c r="F138" s="66" t="s">
        <v>807</v>
      </c>
      <c r="G138" s="66" t="s">
        <v>827</v>
      </c>
      <c r="H138" s="2" t="s">
        <v>316</v>
      </c>
      <c r="I138" s="39">
        <f t="shared" si="41"/>
        <v>65</v>
      </c>
      <c r="J138" s="40">
        <f t="shared" si="42"/>
        <v>90</v>
      </c>
      <c r="K138" s="41">
        <f t="shared" si="43"/>
        <v>120</v>
      </c>
      <c r="L138" s="42">
        <f t="shared" si="44"/>
        <v>85</v>
      </c>
      <c r="M138" s="43">
        <f t="shared" si="45"/>
        <v>70</v>
      </c>
      <c r="N138" s="44">
        <f t="shared" si="46"/>
        <v>60</v>
      </c>
      <c r="O138" s="45">
        <f t="shared" si="47"/>
        <v>490</v>
      </c>
      <c r="P138" s="19">
        <f t="shared" si="48"/>
        <v>81.67</v>
      </c>
      <c r="Q138" s="177">
        <v>65</v>
      </c>
      <c r="R138" s="40">
        <v>90</v>
      </c>
      <c r="S138" s="41">
        <v>120</v>
      </c>
      <c r="T138" s="42">
        <v>85</v>
      </c>
      <c r="U138" s="43">
        <v>70</v>
      </c>
      <c r="V138" s="44">
        <v>60</v>
      </c>
      <c r="W138" s="45">
        <f t="shared" si="39"/>
        <v>490</v>
      </c>
      <c r="X138" s="19">
        <f t="shared" si="40"/>
        <v>81.67</v>
      </c>
      <c r="Y138" s="3">
        <v>65</v>
      </c>
      <c r="Z138" s="4">
        <v>90</v>
      </c>
      <c r="AA138" s="5">
        <v>120</v>
      </c>
      <c r="AB138" s="6">
        <v>85</v>
      </c>
      <c r="AC138" s="7">
        <v>70</v>
      </c>
      <c r="AD138" s="8">
        <v>60</v>
      </c>
      <c r="AE138" s="1">
        <v>490</v>
      </c>
      <c r="AF138" s="19">
        <v>81.67</v>
      </c>
      <c r="AG138" s="139">
        <v>65</v>
      </c>
      <c r="AH138" s="140">
        <v>90</v>
      </c>
      <c r="AI138" s="141">
        <v>120</v>
      </c>
      <c r="AJ138" s="142">
        <v>85</v>
      </c>
      <c r="AK138" s="143">
        <v>70</v>
      </c>
      <c r="AL138" s="144">
        <v>60</v>
      </c>
      <c r="AM138" s="138">
        <v>490</v>
      </c>
      <c r="AN138" s="153">
        <v>81.67</v>
      </c>
      <c r="AO138" s="139">
        <v>65</v>
      </c>
      <c r="AP138" s="140">
        <v>90</v>
      </c>
      <c r="AQ138" s="141">
        <v>120</v>
      </c>
      <c r="AR138" s="162">
        <v>85</v>
      </c>
      <c r="AS138" s="162">
        <v>85</v>
      </c>
      <c r="AT138" s="144">
        <v>60</v>
      </c>
      <c r="AU138" s="138">
        <f t="shared" si="51"/>
        <v>505</v>
      </c>
      <c r="AV138" s="153">
        <f t="shared" si="52"/>
        <v>84.166666666666671</v>
      </c>
      <c r="AW138" s="45"/>
      <c r="AX138" s="174" t="b">
        <f>IF('Refined Compare'!$D$2="All",TRUE,IF(F138='Refined Compare'!$D$2,TRUE,IF(G138='Refined Compare'!$D$2,TRUE,FALSE)))</f>
        <v>0</v>
      </c>
      <c r="AY138" s="174" t="b">
        <f>IF('Refined Compare'!$D$3="All",TRUE,IF(F138='Refined Compare'!$D$3,TRUE,IF(G138='Refined Compare'!$D$3,TRUE,FALSE)))</f>
        <v>1</v>
      </c>
      <c r="AZ138" s="174" t="b">
        <f t="shared" si="63"/>
        <v>1</v>
      </c>
    </row>
    <row r="139" spans="1:52" x14ac:dyDescent="0.35">
      <c r="A139">
        <f t="shared" si="36"/>
        <v>138</v>
      </c>
      <c r="B139" s="18">
        <v>111</v>
      </c>
      <c r="C139" s="61">
        <v>1</v>
      </c>
      <c r="D139" s="61" t="b">
        <v>0</v>
      </c>
      <c r="E139" s="61"/>
      <c r="F139" s="66" t="s">
        <v>814</v>
      </c>
      <c r="G139" s="66" t="s">
        <v>818</v>
      </c>
      <c r="H139" s="2" t="s">
        <v>37</v>
      </c>
      <c r="I139" s="39">
        <f t="shared" si="41"/>
        <v>80</v>
      </c>
      <c r="J139" s="40">
        <f t="shared" si="42"/>
        <v>85</v>
      </c>
      <c r="K139" s="41">
        <f t="shared" si="43"/>
        <v>95</v>
      </c>
      <c r="L139" s="42">
        <f t="shared" si="44"/>
        <v>30</v>
      </c>
      <c r="M139" s="43">
        <f t="shared" si="45"/>
        <v>30</v>
      </c>
      <c r="N139" s="44">
        <f t="shared" si="46"/>
        <v>25</v>
      </c>
      <c r="O139" s="45">
        <f t="shared" si="47"/>
        <v>345</v>
      </c>
      <c r="P139" s="19">
        <f t="shared" si="48"/>
        <v>57.5</v>
      </c>
      <c r="Q139" s="177">
        <v>80</v>
      </c>
      <c r="R139" s="40">
        <v>85</v>
      </c>
      <c r="S139" s="41">
        <v>95</v>
      </c>
      <c r="T139" s="42">
        <v>30</v>
      </c>
      <c r="U139" s="43">
        <v>30</v>
      </c>
      <c r="V139" s="44">
        <v>25</v>
      </c>
      <c r="W139" s="45">
        <f t="shared" si="39"/>
        <v>345</v>
      </c>
      <c r="X139" s="19">
        <f t="shared" si="40"/>
        <v>57.5</v>
      </c>
      <c r="Y139" s="3">
        <v>80</v>
      </c>
      <c r="Z139" s="4">
        <v>85</v>
      </c>
      <c r="AA139" s="5">
        <v>95</v>
      </c>
      <c r="AB139" s="6">
        <v>30</v>
      </c>
      <c r="AC139" s="7">
        <v>30</v>
      </c>
      <c r="AD139" s="8">
        <v>25</v>
      </c>
      <c r="AE139" s="1">
        <v>345</v>
      </c>
      <c r="AF139" s="19">
        <v>57.5</v>
      </c>
      <c r="AG139" s="139">
        <v>80</v>
      </c>
      <c r="AH139" s="140">
        <v>85</v>
      </c>
      <c r="AI139" s="141">
        <v>95</v>
      </c>
      <c r="AJ139" s="142">
        <v>30</v>
      </c>
      <c r="AK139" s="143">
        <v>30</v>
      </c>
      <c r="AL139" s="144">
        <v>25</v>
      </c>
      <c r="AM139" s="138">
        <v>345</v>
      </c>
      <c r="AN139" s="153">
        <v>57.5</v>
      </c>
      <c r="AO139" s="139">
        <v>80</v>
      </c>
      <c r="AP139" s="140">
        <v>85</v>
      </c>
      <c r="AQ139" s="141">
        <v>95</v>
      </c>
      <c r="AR139" s="162">
        <v>30</v>
      </c>
      <c r="AS139" s="162">
        <v>30</v>
      </c>
      <c r="AT139" s="144">
        <v>25</v>
      </c>
      <c r="AU139" s="138">
        <f t="shared" si="51"/>
        <v>345</v>
      </c>
      <c r="AV139" s="153">
        <f t="shared" si="52"/>
        <v>57.5</v>
      </c>
      <c r="AW139" s="45"/>
      <c r="AX139" s="174" t="b">
        <f>IF('Refined Compare'!$D$2="All",TRUE,IF(F139='Refined Compare'!$D$2,TRUE,IF(G139='Refined Compare'!$D$2,TRUE,FALSE)))</f>
        <v>0</v>
      </c>
      <c r="AY139" s="174" t="b">
        <f>IF('Refined Compare'!$D$3="All",TRUE,IF(F139='Refined Compare'!$D$3,TRUE,IF(G139='Refined Compare'!$D$3,TRUE,FALSE)))</f>
        <v>0</v>
      </c>
      <c r="AZ139" s="174" t="b">
        <f t="shared" si="63"/>
        <v>1</v>
      </c>
    </row>
    <row r="140" spans="1:52" x14ac:dyDescent="0.35">
      <c r="A140">
        <f t="shared" si="36"/>
        <v>139</v>
      </c>
      <c r="B140" s="18">
        <v>112</v>
      </c>
      <c r="C140" s="61">
        <v>1</v>
      </c>
      <c r="D140" s="118" t="b">
        <f>IF($AW$2&lt;4,TRUE,FALSE)</f>
        <v>0</v>
      </c>
      <c r="E140" s="61"/>
      <c r="F140" s="66" t="s">
        <v>814</v>
      </c>
      <c r="G140" s="66" t="s">
        <v>818</v>
      </c>
      <c r="H140" s="2" t="s">
        <v>128</v>
      </c>
      <c r="I140" s="39">
        <f t="shared" si="41"/>
        <v>105</v>
      </c>
      <c r="J140" s="40">
        <f t="shared" si="42"/>
        <v>130</v>
      </c>
      <c r="K140" s="41">
        <f t="shared" si="43"/>
        <v>120</v>
      </c>
      <c r="L140" s="42">
        <f t="shared" si="44"/>
        <v>45</v>
      </c>
      <c r="M140" s="43">
        <f t="shared" si="45"/>
        <v>45</v>
      </c>
      <c r="N140" s="44">
        <f t="shared" si="46"/>
        <v>40</v>
      </c>
      <c r="O140" s="45">
        <f t="shared" si="47"/>
        <v>485</v>
      </c>
      <c r="P140" s="19">
        <f t="shared" si="48"/>
        <v>80.83</v>
      </c>
      <c r="Q140" s="177">
        <v>105</v>
      </c>
      <c r="R140" s="40">
        <v>130</v>
      </c>
      <c r="S140" s="41">
        <v>120</v>
      </c>
      <c r="T140" s="42">
        <v>45</v>
      </c>
      <c r="U140" s="43">
        <v>45</v>
      </c>
      <c r="V140" s="44">
        <v>40</v>
      </c>
      <c r="W140" s="45">
        <f t="shared" si="39"/>
        <v>485</v>
      </c>
      <c r="X140" s="19">
        <f t="shared" si="40"/>
        <v>80.83</v>
      </c>
      <c r="Y140" s="3">
        <v>105</v>
      </c>
      <c r="Z140" s="4">
        <v>130</v>
      </c>
      <c r="AA140" s="5">
        <v>120</v>
      </c>
      <c r="AB140" s="6">
        <v>45</v>
      </c>
      <c r="AC140" s="7">
        <v>45</v>
      </c>
      <c r="AD140" s="8">
        <v>40</v>
      </c>
      <c r="AE140" s="1">
        <v>485</v>
      </c>
      <c r="AF140" s="19">
        <v>80.83</v>
      </c>
      <c r="AG140" s="139">
        <v>105</v>
      </c>
      <c r="AH140" s="140">
        <v>130</v>
      </c>
      <c r="AI140" s="141">
        <v>120</v>
      </c>
      <c r="AJ140" s="142">
        <v>45</v>
      </c>
      <c r="AK140" s="143">
        <v>45</v>
      </c>
      <c r="AL140" s="144">
        <v>40</v>
      </c>
      <c r="AM140" s="138">
        <v>485</v>
      </c>
      <c r="AN140" s="153">
        <v>80.83</v>
      </c>
      <c r="AO140" s="139">
        <v>105</v>
      </c>
      <c r="AP140" s="140">
        <v>130</v>
      </c>
      <c r="AQ140" s="141">
        <v>120</v>
      </c>
      <c r="AR140" s="162">
        <v>45</v>
      </c>
      <c r="AS140" s="162">
        <v>45</v>
      </c>
      <c r="AT140" s="144">
        <v>40</v>
      </c>
      <c r="AU140" s="138">
        <f t="shared" si="51"/>
        <v>485</v>
      </c>
      <c r="AV140" s="153">
        <f t="shared" si="52"/>
        <v>80.833333333333329</v>
      </c>
      <c r="AW140" s="45"/>
      <c r="AX140" s="174" t="b">
        <f>IF('Refined Compare'!$D$2="All",TRUE,IF(F140='Refined Compare'!$D$2,TRUE,IF(G140='Refined Compare'!$D$2,TRUE,FALSE)))</f>
        <v>0</v>
      </c>
      <c r="AY140" s="174" t="b">
        <f>IF('Refined Compare'!$D$3="All",TRUE,IF(F140='Refined Compare'!$D$3,TRUE,IF(G140='Refined Compare'!$D$3,TRUE,FALSE)))</f>
        <v>0</v>
      </c>
      <c r="AZ140" s="174" t="b">
        <f t="shared" si="63"/>
        <v>1</v>
      </c>
    </row>
    <row r="141" spans="1:52" x14ac:dyDescent="0.35">
      <c r="A141">
        <f t="shared" si="36"/>
        <v>140</v>
      </c>
      <c r="B141" s="18">
        <v>113</v>
      </c>
      <c r="C141" s="61">
        <v>1</v>
      </c>
      <c r="D141" s="118" t="b">
        <f>IF($AW$2&lt;2,TRUE,FALSE)</f>
        <v>0</v>
      </c>
      <c r="E141" s="61"/>
      <c r="F141" s="66" t="s">
        <v>812</v>
      </c>
      <c r="G141" s="66" t="s">
        <v>827</v>
      </c>
      <c r="H141" s="2" t="s">
        <v>216</v>
      </c>
      <c r="I141" s="39">
        <f t="shared" si="41"/>
        <v>250</v>
      </c>
      <c r="J141" s="40">
        <f t="shared" si="42"/>
        <v>5</v>
      </c>
      <c r="K141" s="41">
        <f t="shared" si="43"/>
        <v>5</v>
      </c>
      <c r="L141" s="42">
        <f t="shared" si="44"/>
        <v>35</v>
      </c>
      <c r="M141" s="43">
        <f t="shared" si="45"/>
        <v>105</v>
      </c>
      <c r="N141" s="44">
        <f t="shared" si="46"/>
        <v>50</v>
      </c>
      <c r="O141" s="45">
        <f t="shared" si="47"/>
        <v>450</v>
      </c>
      <c r="P141" s="19">
        <f t="shared" si="48"/>
        <v>75</v>
      </c>
      <c r="Q141" s="177">
        <v>250</v>
      </c>
      <c r="R141" s="40">
        <v>5</v>
      </c>
      <c r="S141" s="41">
        <v>5</v>
      </c>
      <c r="T141" s="42">
        <v>35</v>
      </c>
      <c r="U141" s="43">
        <v>105</v>
      </c>
      <c r="V141" s="44">
        <v>50</v>
      </c>
      <c r="W141" s="45">
        <f t="shared" si="39"/>
        <v>450</v>
      </c>
      <c r="X141" s="19">
        <f t="shared" si="40"/>
        <v>75</v>
      </c>
      <c r="Y141" s="3">
        <v>250</v>
      </c>
      <c r="Z141" s="4">
        <v>5</v>
      </c>
      <c r="AA141" s="5">
        <v>5</v>
      </c>
      <c r="AB141" s="6">
        <v>35</v>
      </c>
      <c r="AC141" s="7">
        <v>105</v>
      </c>
      <c r="AD141" s="8">
        <v>50</v>
      </c>
      <c r="AE141" s="1">
        <v>450</v>
      </c>
      <c r="AF141" s="19">
        <v>75</v>
      </c>
      <c r="AG141" s="139">
        <v>250</v>
      </c>
      <c r="AH141" s="140">
        <v>5</v>
      </c>
      <c r="AI141" s="141">
        <v>5</v>
      </c>
      <c r="AJ141" s="142">
        <v>35</v>
      </c>
      <c r="AK141" s="143">
        <v>105</v>
      </c>
      <c r="AL141" s="144">
        <v>50</v>
      </c>
      <c r="AM141" s="138">
        <v>450</v>
      </c>
      <c r="AN141" s="153">
        <v>75</v>
      </c>
      <c r="AO141" s="139">
        <v>250</v>
      </c>
      <c r="AP141" s="140">
        <v>5</v>
      </c>
      <c r="AQ141" s="141">
        <v>5</v>
      </c>
      <c r="AR141" s="162">
        <v>105</v>
      </c>
      <c r="AS141" s="162">
        <v>105</v>
      </c>
      <c r="AT141" s="144">
        <v>50</v>
      </c>
      <c r="AU141" s="138">
        <f t="shared" si="51"/>
        <v>520</v>
      </c>
      <c r="AV141" s="153">
        <f t="shared" si="52"/>
        <v>86.666666666666671</v>
      </c>
      <c r="AW141" s="45"/>
      <c r="AX141" s="174" t="b">
        <f>IF('Refined Compare'!$D$2="All",TRUE,IF(F141='Refined Compare'!$D$2,TRUE,IF(G141='Refined Compare'!$D$2,TRUE,FALSE)))</f>
        <v>0</v>
      </c>
      <c r="AY141" s="174" t="b">
        <f>IF('Refined Compare'!$D$3="All",TRUE,IF(F141='Refined Compare'!$D$3,TRUE,IF(G141='Refined Compare'!$D$3,TRUE,FALSE)))</f>
        <v>1</v>
      </c>
      <c r="AZ141" s="174" t="b">
        <f t="shared" si="63"/>
        <v>1</v>
      </c>
    </row>
    <row r="142" spans="1:52" x14ac:dyDescent="0.35">
      <c r="A142">
        <f t="shared" si="36"/>
        <v>141</v>
      </c>
      <c r="B142" s="18">
        <v>114</v>
      </c>
      <c r="C142" s="61">
        <v>1</v>
      </c>
      <c r="D142" s="118" t="b">
        <f>IF($AW$2&lt;4,TRUE,FALSE)</f>
        <v>0</v>
      </c>
      <c r="E142" s="61"/>
      <c r="F142" s="66" t="s">
        <v>806</v>
      </c>
      <c r="G142" s="66" t="s">
        <v>827</v>
      </c>
      <c r="H142" s="2" t="s">
        <v>317</v>
      </c>
      <c r="I142" s="39">
        <f t="shared" si="41"/>
        <v>65</v>
      </c>
      <c r="J142" s="40">
        <f t="shared" si="42"/>
        <v>55</v>
      </c>
      <c r="K142" s="41">
        <f t="shared" si="43"/>
        <v>115</v>
      </c>
      <c r="L142" s="42">
        <f t="shared" si="44"/>
        <v>100</v>
      </c>
      <c r="M142" s="43">
        <f t="shared" si="45"/>
        <v>40</v>
      </c>
      <c r="N142" s="44">
        <f t="shared" si="46"/>
        <v>60</v>
      </c>
      <c r="O142" s="45">
        <f t="shared" si="47"/>
        <v>435</v>
      </c>
      <c r="P142" s="19">
        <f t="shared" si="48"/>
        <v>72.5</v>
      </c>
      <c r="Q142" s="177">
        <v>65</v>
      </c>
      <c r="R142" s="40">
        <v>55</v>
      </c>
      <c r="S142" s="41">
        <v>115</v>
      </c>
      <c r="T142" s="42">
        <v>100</v>
      </c>
      <c r="U142" s="43">
        <v>40</v>
      </c>
      <c r="V142" s="44">
        <v>60</v>
      </c>
      <c r="W142" s="45">
        <f t="shared" si="39"/>
        <v>435</v>
      </c>
      <c r="X142" s="19">
        <f t="shared" si="40"/>
        <v>72.5</v>
      </c>
      <c r="Y142" s="3">
        <v>65</v>
      </c>
      <c r="Z142" s="4">
        <v>55</v>
      </c>
      <c r="AA142" s="5">
        <v>115</v>
      </c>
      <c r="AB142" s="6">
        <v>100</v>
      </c>
      <c r="AC142" s="7">
        <v>40</v>
      </c>
      <c r="AD142" s="8">
        <v>60</v>
      </c>
      <c r="AE142" s="1">
        <v>435</v>
      </c>
      <c r="AF142" s="19">
        <v>72.5</v>
      </c>
      <c r="AG142" s="139">
        <v>65</v>
      </c>
      <c r="AH142" s="140">
        <v>55</v>
      </c>
      <c r="AI142" s="141">
        <v>115</v>
      </c>
      <c r="AJ142" s="142">
        <v>100</v>
      </c>
      <c r="AK142" s="143">
        <v>40</v>
      </c>
      <c r="AL142" s="144">
        <v>60</v>
      </c>
      <c r="AM142" s="138">
        <v>435</v>
      </c>
      <c r="AN142" s="153">
        <v>72.5</v>
      </c>
      <c r="AO142" s="139">
        <v>65</v>
      </c>
      <c r="AP142" s="140">
        <v>55</v>
      </c>
      <c r="AQ142" s="141">
        <v>115</v>
      </c>
      <c r="AR142" s="162">
        <v>100</v>
      </c>
      <c r="AS142" s="162">
        <v>100</v>
      </c>
      <c r="AT142" s="144">
        <v>60</v>
      </c>
      <c r="AU142" s="138">
        <f t="shared" si="51"/>
        <v>495</v>
      </c>
      <c r="AV142" s="153">
        <f t="shared" si="52"/>
        <v>82.5</v>
      </c>
      <c r="AW142" s="45"/>
      <c r="AX142" s="174" t="b">
        <f>IF('Refined Compare'!$D$2="All",TRUE,IF(F142='Refined Compare'!$D$2,TRUE,IF(G142='Refined Compare'!$D$2,TRUE,FALSE)))</f>
        <v>0</v>
      </c>
      <c r="AY142" s="174" t="b">
        <f>IF('Refined Compare'!$D$3="All",TRUE,IF(F142='Refined Compare'!$D$3,TRUE,IF(G142='Refined Compare'!$D$3,TRUE,FALSE)))</f>
        <v>1</v>
      </c>
      <c r="AZ142" s="174" t="b">
        <f t="shared" si="63"/>
        <v>1</v>
      </c>
    </row>
    <row r="143" spans="1:52" x14ac:dyDescent="0.35">
      <c r="A143">
        <f t="shared" ref="A143:A206" si="64">A142+1</f>
        <v>142</v>
      </c>
      <c r="B143" s="18">
        <v>115</v>
      </c>
      <c r="C143" s="61">
        <v>1</v>
      </c>
      <c r="D143" s="61" t="b">
        <f>IF($AW$2&lt;6,TRUE,FALSE)</f>
        <v>1</v>
      </c>
      <c r="E143" s="61"/>
      <c r="F143" s="66" t="s">
        <v>812</v>
      </c>
      <c r="G143" s="66" t="s">
        <v>827</v>
      </c>
      <c r="H143" s="2" t="s">
        <v>582</v>
      </c>
      <c r="I143" s="39">
        <f t="shared" si="41"/>
        <v>105</v>
      </c>
      <c r="J143" s="40">
        <f t="shared" si="42"/>
        <v>95</v>
      </c>
      <c r="K143" s="41">
        <f t="shared" si="43"/>
        <v>80</v>
      </c>
      <c r="L143" s="42">
        <f t="shared" si="44"/>
        <v>40</v>
      </c>
      <c r="M143" s="43">
        <f t="shared" si="45"/>
        <v>80</v>
      </c>
      <c r="N143" s="44">
        <f t="shared" si="46"/>
        <v>90</v>
      </c>
      <c r="O143" s="45">
        <f t="shared" si="47"/>
        <v>490</v>
      </c>
      <c r="P143" s="19">
        <f t="shared" si="48"/>
        <v>81.67</v>
      </c>
      <c r="Q143" s="177">
        <v>105</v>
      </c>
      <c r="R143" s="40">
        <v>95</v>
      </c>
      <c r="S143" s="41">
        <v>80</v>
      </c>
      <c r="T143" s="42">
        <v>40</v>
      </c>
      <c r="U143" s="43">
        <v>80</v>
      </c>
      <c r="V143" s="44">
        <v>90</v>
      </c>
      <c r="W143" s="45">
        <f t="shared" si="39"/>
        <v>490</v>
      </c>
      <c r="X143" s="19">
        <f t="shared" si="40"/>
        <v>81.67</v>
      </c>
      <c r="Y143" s="3">
        <v>105</v>
      </c>
      <c r="Z143" s="4">
        <v>95</v>
      </c>
      <c r="AA143" s="5">
        <v>80</v>
      </c>
      <c r="AB143" s="6">
        <v>40</v>
      </c>
      <c r="AC143" s="7">
        <v>80</v>
      </c>
      <c r="AD143" s="8">
        <v>90</v>
      </c>
      <c r="AE143" s="1">
        <v>490</v>
      </c>
      <c r="AF143" s="19">
        <v>81.67</v>
      </c>
      <c r="AG143" s="139">
        <v>105</v>
      </c>
      <c r="AH143" s="140">
        <v>95</v>
      </c>
      <c r="AI143" s="141">
        <v>80</v>
      </c>
      <c r="AJ143" s="142">
        <v>40</v>
      </c>
      <c r="AK143" s="143">
        <v>80</v>
      </c>
      <c r="AL143" s="144">
        <v>90</v>
      </c>
      <c r="AM143" s="138">
        <v>490</v>
      </c>
      <c r="AN143" s="153">
        <v>81.67</v>
      </c>
      <c r="AO143" s="139">
        <v>105</v>
      </c>
      <c r="AP143" s="140">
        <v>95</v>
      </c>
      <c r="AQ143" s="141">
        <v>80</v>
      </c>
      <c r="AR143" s="162">
        <v>40</v>
      </c>
      <c r="AS143" s="162">
        <v>40</v>
      </c>
      <c r="AT143" s="144">
        <v>90</v>
      </c>
      <c r="AU143" s="138">
        <f t="shared" si="51"/>
        <v>450</v>
      </c>
      <c r="AV143" s="153">
        <f t="shared" si="52"/>
        <v>75</v>
      </c>
      <c r="AW143" s="45"/>
      <c r="AX143" s="174" t="b">
        <f>IF('Refined Compare'!$D$2="All",TRUE,IF(F143='Refined Compare'!$D$2,TRUE,IF(G143='Refined Compare'!$D$2,TRUE,FALSE)))</f>
        <v>0</v>
      </c>
      <c r="AY143" s="174" t="b">
        <f>IF('Refined Compare'!$D$3="All",TRUE,IF(F143='Refined Compare'!$D$3,TRUE,IF(G143='Refined Compare'!$D$3,TRUE,FALSE)))</f>
        <v>1</v>
      </c>
      <c r="AZ143" s="174" t="b">
        <f t="shared" si="63"/>
        <v>1</v>
      </c>
    </row>
    <row r="144" spans="1:52" x14ac:dyDescent="0.35">
      <c r="A144">
        <f t="shared" si="64"/>
        <v>143</v>
      </c>
      <c r="B144" s="62">
        <v>115</v>
      </c>
      <c r="C144" s="61">
        <v>6</v>
      </c>
      <c r="D144" s="118" t="b">
        <f>IF(AZ144,TRUE,FALSE)</f>
        <v>0</v>
      </c>
      <c r="E144" s="61" t="s">
        <v>801</v>
      </c>
      <c r="F144" s="66" t="s">
        <v>812</v>
      </c>
      <c r="G144" s="66" t="s">
        <v>827</v>
      </c>
      <c r="H144" s="2" t="s">
        <v>834</v>
      </c>
      <c r="I144" s="39">
        <f t="shared" si="41"/>
        <v>0</v>
      </c>
      <c r="J144" s="40">
        <f t="shared" si="42"/>
        <v>0</v>
      </c>
      <c r="K144" s="41">
        <f t="shared" si="43"/>
        <v>0</v>
      </c>
      <c r="L144" s="42">
        <f t="shared" si="44"/>
        <v>0</v>
      </c>
      <c r="M144" s="43">
        <f t="shared" si="45"/>
        <v>0</v>
      </c>
      <c r="N144" s="44">
        <f t="shared" si="46"/>
        <v>0</v>
      </c>
      <c r="O144" s="45">
        <f t="shared" si="47"/>
        <v>0</v>
      </c>
      <c r="P144" s="19">
        <f t="shared" si="48"/>
        <v>0</v>
      </c>
      <c r="Q144" s="177">
        <v>105</v>
      </c>
      <c r="R144" s="40">
        <v>125</v>
      </c>
      <c r="S144" s="41">
        <v>100</v>
      </c>
      <c r="T144" s="42">
        <v>60</v>
      </c>
      <c r="U144" s="43">
        <v>100</v>
      </c>
      <c r="V144" s="44">
        <v>100</v>
      </c>
      <c r="W144" s="45">
        <f t="shared" si="39"/>
        <v>590</v>
      </c>
      <c r="X144" s="19">
        <f t="shared" si="40"/>
        <v>98.33</v>
      </c>
      <c r="Y144" s="3">
        <v>105</v>
      </c>
      <c r="Z144" s="4">
        <v>125</v>
      </c>
      <c r="AA144" s="5">
        <v>100</v>
      </c>
      <c r="AB144" s="6">
        <v>60</v>
      </c>
      <c r="AC144" s="7">
        <v>100</v>
      </c>
      <c r="AD144" s="8">
        <v>100</v>
      </c>
      <c r="AE144" s="1">
        <v>590</v>
      </c>
      <c r="AF144" s="19">
        <v>98.33</v>
      </c>
      <c r="AN144" s="172"/>
      <c r="AV144" s="172"/>
      <c r="AW144" s="45"/>
      <c r="AX144" s="174" t="b">
        <f>IF('Refined Compare'!$D$2="All",TRUE,IF(F144='Refined Compare'!$D$2,TRUE,IF(G144='Refined Compare'!$D$2,TRUE,FALSE)))</f>
        <v>0</v>
      </c>
      <c r="AY144" s="174" t="b">
        <f>IF('Refined Compare'!$D$3="All",TRUE,IF(F144='Refined Compare'!$D$3,TRUE,IF(G144='Refined Compare'!$D$3,TRUE,FALSE)))</f>
        <v>1</v>
      </c>
      <c r="AZ144" s="174" t="b">
        <f t="shared" si="63"/>
        <v>0</v>
      </c>
    </row>
    <row r="145" spans="1:52" x14ac:dyDescent="0.35">
      <c r="A145">
        <f t="shared" si="64"/>
        <v>144</v>
      </c>
      <c r="B145" s="18">
        <v>116</v>
      </c>
      <c r="C145" s="61">
        <v>1</v>
      </c>
      <c r="D145" s="61" t="b">
        <v>0</v>
      </c>
      <c r="E145" s="61"/>
      <c r="F145" s="66" t="s">
        <v>810</v>
      </c>
      <c r="G145" s="66" t="s">
        <v>827</v>
      </c>
      <c r="H145" s="2" t="s">
        <v>318</v>
      </c>
      <c r="I145" s="39">
        <f t="shared" si="41"/>
        <v>30</v>
      </c>
      <c r="J145" s="40">
        <f t="shared" si="42"/>
        <v>40</v>
      </c>
      <c r="K145" s="41">
        <f t="shared" si="43"/>
        <v>70</v>
      </c>
      <c r="L145" s="42">
        <f t="shared" si="44"/>
        <v>70</v>
      </c>
      <c r="M145" s="43">
        <f t="shared" si="45"/>
        <v>25</v>
      </c>
      <c r="N145" s="44">
        <f t="shared" si="46"/>
        <v>60</v>
      </c>
      <c r="O145" s="45">
        <f t="shared" si="47"/>
        <v>295</v>
      </c>
      <c r="P145" s="19">
        <f t="shared" si="48"/>
        <v>49.17</v>
      </c>
      <c r="Q145" s="177">
        <v>30</v>
      </c>
      <c r="R145" s="40">
        <v>40</v>
      </c>
      <c r="S145" s="41">
        <v>70</v>
      </c>
      <c r="T145" s="42">
        <v>70</v>
      </c>
      <c r="U145" s="43">
        <v>25</v>
      </c>
      <c r="V145" s="44">
        <v>60</v>
      </c>
      <c r="W145" s="45">
        <f t="shared" si="39"/>
        <v>295</v>
      </c>
      <c r="X145" s="19">
        <f t="shared" si="40"/>
        <v>49.17</v>
      </c>
      <c r="Y145" s="3">
        <v>30</v>
      </c>
      <c r="Z145" s="4">
        <v>40</v>
      </c>
      <c r="AA145" s="5">
        <v>70</v>
      </c>
      <c r="AB145" s="6">
        <v>70</v>
      </c>
      <c r="AC145" s="7">
        <v>25</v>
      </c>
      <c r="AD145" s="8">
        <v>60</v>
      </c>
      <c r="AE145" s="1">
        <v>295</v>
      </c>
      <c r="AF145" s="19">
        <v>49.17</v>
      </c>
      <c r="AG145" s="139">
        <v>30</v>
      </c>
      <c r="AH145" s="140">
        <v>40</v>
      </c>
      <c r="AI145" s="141">
        <v>70</v>
      </c>
      <c r="AJ145" s="142">
        <v>70</v>
      </c>
      <c r="AK145" s="143">
        <v>25</v>
      </c>
      <c r="AL145" s="144">
        <v>60</v>
      </c>
      <c r="AM145" s="138">
        <v>295</v>
      </c>
      <c r="AN145" s="153">
        <v>49.17</v>
      </c>
      <c r="AO145" s="139">
        <v>30</v>
      </c>
      <c r="AP145" s="140">
        <v>40</v>
      </c>
      <c r="AQ145" s="141">
        <v>70</v>
      </c>
      <c r="AR145" s="162">
        <v>70</v>
      </c>
      <c r="AS145" s="162">
        <v>70</v>
      </c>
      <c r="AT145" s="144">
        <v>60</v>
      </c>
      <c r="AU145" s="138">
        <f t="shared" ref="AU145:AU156" si="65">SUM(AO145:AT145)</f>
        <v>340</v>
      </c>
      <c r="AV145" s="153">
        <f t="shared" ref="AV145:AV156" si="66">AU145/6</f>
        <v>56.666666666666664</v>
      </c>
      <c r="AW145" s="45"/>
      <c r="AX145" s="174" t="b">
        <f>IF('Refined Compare'!$D$2="All",TRUE,IF(F145='Refined Compare'!$D$2,TRUE,IF(G145='Refined Compare'!$D$2,TRUE,FALSE)))</f>
        <v>0</v>
      </c>
      <c r="AY145" s="174" t="b">
        <f>IF('Refined Compare'!$D$3="All",TRUE,IF(F145='Refined Compare'!$D$3,TRUE,IF(G145='Refined Compare'!$D$3,TRUE,FALSE)))</f>
        <v>1</v>
      </c>
      <c r="AZ145" s="174" t="b">
        <f t="shared" si="63"/>
        <v>1</v>
      </c>
    </row>
    <row r="146" spans="1:52" x14ac:dyDescent="0.35">
      <c r="A146">
        <f t="shared" si="64"/>
        <v>145</v>
      </c>
      <c r="B146" s="18">
        <v>117</v>
      </c>
      <c r="C146" s="61">
        <v>1</v>
      </c>
      <c r="D146" s="118" t="b">
        <f>IF($AW$2&lt;2,TRUE,FALSE)</f>
        <v>0</v>
      </c>
      <c r="E146" s="61"/>
      <c r="F146" s="66" t="s">
        <v>810</v>
      </c>
      <c r="G146" s="66" t="s">
        <v>827</v>
      </c>
      <c r="H146" s="2" t="s">
        <v>541</v>
      </c>
      <c r="I146" s="39">
        <f t="shared" si="41"/>
        <v>55</v>
      </c>
      <c r="J146" s="40">
        <f t="shared" si="42"/>
        <v>65</v>
      </c>
      <c r="K146" s="41">
        <f t="shared" si="43"/>
        <v>95</v>
      </c>
      <c r="L146" s="42">
        <f t="shared" si="44"/>
        <v>95</v>
      </c>
      <c r="M146" s="43">
        <f t="shared" si="45"/>
        <v>45</v>
      </c>
      <c r="N146" s="44">
        <f t="shared" si="46"/>
        <v>85</v>
      </c>
      <c r="O146" s="45">
        <f t="shared" si="47"/>
        <v>440</v>
      </c>
      <c r="P146" s="19">
        <f t="shared" si="48"/>
        <v>73.33</v>
      </c>
      <c r="Q146" s="177">
        <v>55</v>
      </c>
      <c r="R146" s="40">
        <v>65</v>
      </c>
      <c r="S146" s="41">
        <v>95</v>
      </c>
      <c r="T146" s="42">
        <v>95</v>
      </c>
      <c r="U146" s="43">
        <v>45</v>
      </c>
      <c r="V146" s="44">
        <v>85</v>
      </c>
      <c r="W146" s="45">
        <f t="shared" si="39"/>
        <v>440</v>
      </c>
      <c r="X146" s="19">
        <f t="shared" si="40"/>
        <v>73.33</v>
      </c>
      <c r="Y146" s="3">
        <v>55</v>
      </c>
      <c r="Z146" s="4">
        <v>65</v>
      </c>
      <c r="AA146" s="5">
        <v>95</v>
      </c>
      <c r="AB146" s="6">
        <v>95</v>
      </c>
      <c r="AC146" s="7">
        <v>45</v>
      </c>
      <c r="AD146" s="8">
        <v>85</v>
      </c>
      <c r="AE146" s="1">
        <v>440</v>
      </c>
      <c r="AF146" s="19">
        <v>73.33</v>
      </c>
      <c r="AG146" s="139">
        <v>55</v>
      </c>
      <c r="AH146" s="140">
        <v>65</v>
      </c>
      <c r="AI146" s="141">
        <v>95</v>
      </c>
      <c r="AJ146" s="142">
        <v>95</v>
      </c>
      <c r="AK146" s="143">
        <v>45</v>
      </c>
      <c r="AL146" s="144">
        <v>85</v>
      </c>
      <c r="AM146" s="138">
        <v>440</v>
      </c>
      <c r="AN146" s="153">
        <v>73.33</v>
      </c>
      <c r="AO146" s="139">
        <v>55</v>
      </c>
      <c r="AP146" s="140">
        <v>65</v>
      </c>
      <c r="AQ146" s="141">
        <v>95</v>
      </c>
      <c r="AR146" s="162">
        <v>95</v>
      </c>
      <c r="AS146" s="162">
        <v>95</v>
      </c>
      <c r="AT146" s="144">
        <v>85</v>
      </c>
      <c r="AU146" s="138">
        <f t="shared" si="65"/>
        <v>490</v>
      </c>
      <c r="AV146" s="153">
        <f t="shared" si="66"/>
        <v>81.666666666666671</v>
      </c>
      <c r="AW146" s="45"/>
      <c r="AX146" s="174" t="b">
        <f>IF('Refined Compare'!$D$2="All",TRUE,IF(F146='Refined Compare'!$D$2,TRUE,IF(G146='Refined Compare'!$D$2,TRUE,FALSE)))</f>
        <v>0</v>
      </c>
      <c r="AY146" s="174" t="b">
        <f>IF('Refined Compare'!$D$3="All",TRUE,IF(F146='Refined Compare'!$D$3,TRUE,IF(G146='Refined Compare'!$D$3,TRUE,FALSE)))</f>
        <v>1</v>
      </c>
      <c r="AZ146" s="174" t="b">
        <f t="shared" si="63"/>
        <v>1</v>
      </c>
    </row>
    <row r="147" spans="1:52" x14ac:dyDescent="0.35">
      <c r="A147">
        <f t="shared" si="64"/>
        <v>146</v>
      </c>
      <c r="B147" s="18">
        <v>118</v>
      </c>
      <c r="C147" s="61">
        <v>1</v>
      </c>
      <c r="D147" s="61" t="b">
        <v>0</v>
      </c>
      <c r="E147" s="61"/>
      <c r="F147" s="66" t="s">
        <v>810</v>
      </c>
      <c r="G147" s="66" t="s">
        <v>827</v>
      </c>
      <c r="H147" s="2" t="s">
        <v>359</v>
      </c>
      <c r="I147" s="39">
        <f t="shared" si="41"/>
        <v>45</v>
      </c>
      <c r="J147" s="40">
        <f t="shared" si="42"/>
        <v>67</v>
      </c>
      <c r="K147" s="41">
        <f t="shared" si="43"/>
        <v>60</v>
      </c>
      <c r="L147" s="42">
        <f t="shared" si="44"/>
        <v>35</v>
      </c>
      <c r="M147" s="43">
        <f t="shared" si="45"/>
        <v>50</v>
      </c>
      <c r="N147" s="44">
        <f t="shared" si="46"/>
        <v>63</v>
      </c>
      <c r="O147" s="45">
        <f t="shared" si="47"/>
        <v>320</v>
      </c>
      <c r="P147" s="19">
        <f t="shared" si="48"/>
        <v>53.33</v>
      </c>
      <c r="Q147" s="177">
        <v>45</v>
      </c>
      <c r="R147" s="40">
        <v>67</v>
      </c>
      <c r="S147" s="41">
        <v>60</v>
      </c>
      <c r="T147" s="42">
        <v>35</v>
      </c>
      <c r="U147" s="43">
        <v>50</v>
      </c>
      <c r="V147" s="44">
        <v>63</v>
      </c>
      <c r="W147" s="45">
        <f t="shared" si="39"/>
        <v>320</v>
      </c>
      <c r="X147" s="19">
        <f t="shared" si="40"/>
        <v>53.33</v>
      </c>
      <c r="Y147" s="3">
        <v>45</v>
      </c>
      <c r="Z147" s="4">
        <v>67</v>
      </c>
      <c r="AA147" s="5">
        <v>60</v>
      </c>
      <c r="AB147" s="6">
        <v>35</v>
      </c>
      <c r="AC147" s="7">
        <v>50</v>
      </c>
      <c r="AD147" s="8">
        <v>63</v>
      </c>
      <c r="AE147" s="1">
        <v>320</v>
      </c>
      <c r="AF147" s="19">
        <v>53.33</v>
      </c>
      <c r="AG147" s="139">
        <v>45</v>
      </c>
      <c r="AH147" s="140">
        <v>67</v>
      </c>
      <c r="AI147" s="141">
        <v>60</v>
      </c>
      <c r="AJ147" s="142">
        <v>35</v>
      </c>
      <c r="AK147" s="143">
        <v>50</v>
      </c>
      <c r="AL147" s="144">
        <v>63</v>
      </c>
      <c r="AM147" s="138">
        <v>320</v>
      </c>
      <c r="AN147" s="153">
        <v>53.33</v>
      </c>
      <c r="AO147" s="139">
        <v>45</v>
      </c>
      <c r="AP147" s="140">
        <v>67</v>
      </c>
      <c r="AQ147" s="141">
        <v>60</v>
      </c>
      <c r="AR147" s="162">
        <v>50</v>
      </c>
      <c r="AS147" s="162">
        <v>50</v>
      </c>
      <c r="AT147" s="144">
        <v>63</v>
      </c>
      <c r="AU147" s="138">
        <f t="shared" si="65"/>
        <v>335</v>
      </c>
      <c r="AV147" s="153">
        <f t="shared" si="66"/>
        <v>55.833333333333336</v>
      </c>
      <c r="AW147" s="45"/>
      <c r="AX147" s="174" t="b">
        <f>IF('Refined Compare'!$D$2="All",TRUE,IF(F147='Refined Compare'!$D$2,TRUE,IF(G147='Refined Compare'!$D$2,TRUE,FALSE)))</f>
        <v>0</v>
      </c>
      <c r="AY147" s="174" t="b">
        <f>IF('Refined Compare'!$D$3="All",TRUE,IF(F147='Refined Compare'!$D$3,TRUE,IF(G147='Refined Compare'!$D$3,TRUE,FALSE)))</f>
        <v>1</v>
      </c>
      <c r="AZ147" s="174" t="b">
        <f t="shared" si="63"/>
        <v>1</v>
      </c>
    </row>
    <row r="148" spans="1:52" x14ac:dyDescent="0.35">
      <c r="A148">
        <f t="shared" si="64"/>
        <v>147</v>
      </c>
      <c r="B148" s="18">
        <v>119</v>
      </c>
      <c r="C148" s="61">
        <v>1</v>
      </c>
      <c r="D148" s="118" t="b">
        <v>1</v>
      </c>
      <c r="E148" s="61"/>
      <c r="F148" s="66" t="s">
        <v>810</v>
      </c>
      <c r="G148" s="66" t="s">
        <v>827</v>
      </c>
      <c r="H148" s="2" t="s">
        <v>410</v>
      </c>
      <c r="I148" s="39">
        <f t="shared" si="41"/>
        <v>80</v>
      </c>
      <c r="J148" s="40">
        <f t="shared" si="42"/>
        <v>92</v>
      </c>
      <c r="K148" s="41">
        <f t="shared" si="43"/>
        <v>65</v>
      </c>
      <c r="L148" s="42">
        <f t="shared" si="44"/>
        <v>65</v>
      </c>
      <c r="M148" s="43">
        <f t="shared" si="45"/>
        <v>80</v>
      </c>
      <c r="N148" s="44">
        <f t="shared" si="46"/>
        <v>68</v>
      </c>
      <c r="O148" s="45">
        <f t="shared" si="47"/>
        <v>450</v>
      </c>
      <c r="P148" s="19">
        <f t="shared" si="48"/>
        <v>75</v>
      </c>
      <c r="Q148" s="177">
        <v>80</v>
      </c>
      <c r="R148" s="40">
        <v>92</v>
      </c>
      <c r="S148" s="41">
        <v>65</v>
      </c>
      <c r="T148" s="42">
        <v>65</v>
      </c>
      <c r="U148" s="43">
        <v>80</v>
      </c>
      <c r="V148" s="44">
        <v>68</v>
      </c>
      <c r="W148" s="45">
        <f t="shared" si="39"/>
        <v>450</v>
      </c>
      <c r="X148" s="19">
        <f t="shared" si="40"/>
        <v>75</v>
      </c>
      <c r="Y148" s="3">
        <v>80</v>
      </c>
      <c r="Z148" s="4">
        <v>92</v>
      </c>
      <c r="AA148" s="5">
        <v>65</v>
      </c>
      <c r="AB148" s="6">
        <v>65</v>
      </c>
      <c r="AC148" s="7">
        <v>80</v>
      </c>
      <c r="AD148" s="8">
        <v>68</v>
      </c>
      <c r="AE148" s="1">
        <v>450</v>
      </c>
      <c r="AF148" s="19">
        <v>75</v>
      </c>
      <c r="AG148" s="139">
        <v>80</v>
      </c>
      <c r="AH148" s="140">
        <v>92</v>
      </c>
      <c r="AI148" s="141">
        <v>65</v>
      </c>
      <c r="AJ148" s="142">
        <v>65</v>
      </c>
      <c r="AK148" s="143">
        <v>80</v>
      </c>
      <c r="AL148" s="144">
        <v>68</v>
      </c>
      <c r="AM148" s="138">
        <v>450</v>
      </c>
      <c r="AN148" s="153">
        <v>75</v>
      </c>
      <c r="AO148" s="139">
        <v>80</v>
      </c>
      <c r="AP148" s="140">
        <v>92</v>
      </c>
      <c r="AQ148" s="141">
        <v>65</v>
      </c>
      <c r="AR148" s="162">
        <v>80</v>
      </c>
      <c r="AS148" s="162">
        <v>80</v>
      </c>
      <c r="AT148" s="144">
        <v>68</v>
      </c>
      <c r="AU148" s="138">
        <f t="shared" si="65"/>
        <v>465</v>
      </c>
      <c r="AV148" s="153">
        <f t="shared" si="66"/>
        <v>77.5</v>
      </c>
      <c r="AW148" s="45"/>
      <c r="AX148" s="174" t="b">
        <f>IF('Refined Compare'!$D$2="All",TRUE,IF(F148='Refined Compare'!$D$2,TRUE,IF(G148='Refined Compare'!$D$2,TRUE,FALSE)))</f>
        <v>0</v>
      </c>
      <c r="AY148" s="174" t="b">
        <f>IF('Refined Compare'!$D$3="All",TRUE,IF(F148='Refined Compare'!$D$3,TRUE,IF(G148='Refined Compare'!$D$3,TRUE,FALSE)))</f>
        <v>1</v>
      </c>
      <c r="AZ148" s="174" t="b">
        <f t="shared" si="63"/>
        <v>1</v>
      </c>
    </row>
    <row r="149" spans="1:52" x14ac:dyDescent="0.35">
      <c r="A149">
        <f t="shared" si="64"/>
        <v>148</v>
      </c>
      <c r="B149" s="18">
        <v>120</v>
      </c>
      <c r="C149" s="61">
        <v>1</v>
      </c>
      <c r="D149" s="61" t="b">
        <v>0</v>
      </c>
      <c r="E149" s="61"/>
      <c r="F149" s="66" t="s">
        <v>810</v>
      </c>
      <c r="G149" s="66" t="s">
        <v>827</v>
      </c>
      <c r="H149" s="2" t="s">
        <v>542</v>
      </c>
      <c r="I149" s="39">
        <f t="shared" si="41"/>
        <v>30</v>
      </c>
      <c r="J149" s="40">
        <f t="shared" si="42"/>
        <v>45</v>
      </c>
      <c r="K149" s="41">
        <f t="shared" si="43"/>
        <v>55</v>
      </c>
      <c r="L149" s="42">
        <f t="shared" si="44"/>
        <v>70</v>
      </c>
      <c r="M149" s="43">
        <f t="shared" si="45"/>
        <v>55</v>
      </c>
      <c r="N149" s="44">
        <f t="shared" si="46"/>
        <v>85</v>
      </c>
      <c r="O149" s="45">
        <f t="shared" si="47"/>
        <v>340</v>
      </c>
      <c r="P149" s="19">
        <f t="shared" si="48"/>
        <v>56.67</v>
      </c>
      <c r="Q149" s="177">
        <v>30</v>
      </c>
      <c r="R149" s="40">
        <v>45</v>
      </c>
      <c r="S149" s="41">
        <v>55</v>
      </c>
      <c r="T149" s="42">
        <v>70</v>
      </c>
      <c r="U149" s="43">
        <v>55</v>
      </c>
      <c r="V149" s="44">
        <v>85</v>
      </c>
      <c r="W149" s="45">
        <f t="shared" si="39"/>
        <v>340</v>
      </c>
      <c r="X149" s="19">
        <f t="shared" si="40"/>
        <v>56.67</v>
      </c>
      <c r="Y149" s="3">
        <v>30</v>
      </c>
      <c r="Z149" s="4">
        <v>45</v>
      </c>
      <c r="AA149" s="5">
        <v>55</v>
      </c>
      <c r="AB149" s="6">
        <v>70</v>
      </c>
      <c r="AC149" s="7">
        <v>55</v>
      </c>
      <c r="AD149" s="8">
        <v>85</v>
      </c>
      <c r="AE149" s="1">
        <v>340</v>
      </c>
      <c r="AF149" s="19">
        <v>56.67</v>
      </c>
      <c r="AG149" s="139">
        <v>30</v>
      </c>
      <c r="AH149" s="140">
        <v>45</v>
      </c>
      <c r="AI149" s="141">
        <v>55</v>
      </c>
      <c r="AJ149" s="142">
        <v>70</v>
      </c>
      <c r="AK149" s="143">
        <v>55</v>
      </c>
      <c r="AL149" s="144">
        <v>85</v>
      </c>
      <c r="AM149" s="138">
        <v>340</v>
      </c>
      <c r="AN149" s="153">
        <v>56.67</v>
      </c>
      <c r="AO149" s="139">
        <v>30</v>
      </c>
      <c r="AP149" s="140">
        <v>45</v>
      </c>
      <c r="AQ149" s="141">
        <v>55</v>
      </c>
      <c r="AR149" s="162">
        <v>70</v>
      </c>
      <c r="AS149" s="162">
        <v>70</v>
      </c>
      <c r="AT149" s="144">
        <v>85</v>
      </c>
      <c r="AU149" s="138">
        <f t="shared" si="65"/>
        <v>355</v>
      </c>
      <c r="AV149" s="153">
        <f t="shared" si="66"/>
        <v>59.166666666666664</v>
      </c>
      <c r="AW149" s="45"/>
      <c r="AX149" s="174" t="b">
        <f>IF('Refined Compare'!$D$2="All",TRUE,IF(F149='Refined Compare'!$D$2,TRUE,IF(G149='Refined Compare'!$D$2,TRUE,FALSE)))</f>
        <v>0</v>
      </c>
      <c r="AY149" s="174" t="b">
        <f>IF('Refined Compare'!$D$3="All",TRUE,IF(F149='Refined Compare'!$D$3,TRUE,IF(G149='Refined Compare'!$D$3,TRUE,FALSE)))</f>
        <v>1</v>
      </c>
      <c r="AZ149" s="174" t="b">
        <f t="shared" si="63"/>
        <v>1</v>
      </c>
    </row>
    <row r="150" spans="1:52" x14ac:dyDescent="0.35">
      <c r="A150">
        <f t="shared" si="64"/>
        <v>149</v>
      </c>
      <c r="B150" s="18">
        <v>121</v>
      </c>
      <c r="C150" s="61">
        <v>1</v>
      </c>
      <c r="D150" s="118" t="b">
        <v>1</v>
      </c>
      <c r="E150" s="61"/>
      <c r="F150" s="66" t="s">
        <v>810</v>
      </c>
      <c r="G150" s="66" t="s">
        <v>817</v>
      </c>
      <c r="H150" s="2" t="s">
        <v>736</v>
      </c>
      <c r="I150" s="39">
        <f t="shared" si="41"/>
        <v>60</v>
      </c>
      <c r="J150" s="40">
        <f t="shared" si="42"/>
        <v>75</v>
      </c>
      <c r="K150" s="41">
        <f t="shared" si="43"/>
        <v>85</v>
      </c>
      <c r="L150" s="42">
        <f t="shared" si="44"/>
        <v>100</v>
      </c>
      <c r="M150" s="43">
        <f t="shared" si="45"/>
        <v>85</v>
      </c>
      <c r="N150" s="44">
        <f t="shared" si="46"/>
        <v>115</v>
      </c>
      <c r="O150" s="45">
        <f t="shared" si="47"/>
        <v>520</v>
      </c>
      <c r="P150" s="19">
        <f t="shared" si="48"/>
        <v>86.67</v>
      </c>
      <c r="Q150" s="177">
        <v>60</v>
      </c>
      <c r="R150" s="40">
        <v>75</v>
      </c>
      <c r="S150" s="41">
        <v>85</v>
      </c>
      <c r="T150" s="42">
        <v>100</v>
      </c>
      <c r="U150" s="43">
        <v>85</v>
      </c>
      <c r="V150" s="44">
        <v>115</v>
      </c>
      <c r="W150" s="45">
        <f t="shared" si="39"/>
        <v>520</v>
      </c>
      <c r="X150" s="19">
        <f t="shared" si="40"/>
        <v>86.67</v>
      </c>
      <c r="Y150" s="3">
        <v>60</v>
      </c>
      <c r="Z150" s="4">
        <v>75</v>
      </c>
      <c r="AA150" s="5">
        <v>85</v>
      </c>
      <c r="AB150" s="6">
        <v>100</v>
      </c>
      <c r="AC150" s="7">
        <v>85</v>
      </c>
      <c r="AD150" s="8">
        <v>115</v>
      </c>
      <c r="AE150" s="1">
        <v>520</v>
      </c>
      <c r="AF150" s="19">
        <v>86.67</v>
      </c>
      <c r="AG150" s="166">
        <v>60</v>
      </c>
      <c r="AH150" s="167">
        <v>75</v>
      </c>
      <c r="AI150" s="168">
        <v>85</v>
      </c>
      <c r="AJ150" s="169">
        <v>100</v>
      </c>
      <c r="AK150" s="170">
        <v>85</v>
      </c>
      <c r="AL150" s="171">
        <v>115</v>
      </c>
      <c r="AM150" s="165">
        <v>520</v>
      </c>
      <c r="AN150" s="153">
        <v>86.67</v>
      </c>
      <c r="AO150" s="139">
        <v>60</v>
      </c>
      <c r="AP150" s="140">
        <v>75</v>
      </c>
      <c r="AQ150" s="141">
        <v>85</v>
      </c>
      <c r="AR150" s="162">
        <v>100</v>
      </c>
      <c r="AS150" s="162">
        <v>100</v>
      </c>
      <c r="AT150" s="144">
        <v>115</v>
      </c>
      <c r="AU150" s="138">
        <f t="shared" si="65"/>
        <v>535</v>
      </c>
      <c r="AV150" s="153">
        <f t="shared" si="66"/>
        <v>89.166666666666671</v>
      </c>
      <c r="AW150" s="45"/>
      <c r="AX150" s="174" t="b">
        <f>IF('Refined Compare'!$D$2="All",TRUE,IF(F150='Refined Compare'!$D$2,TRUE,IF(G150='Refined Compare'!$D$2,TRUE,FALSE)))</f>
        <v>0</v>
      </c>
      <c r="AY150" s="174" t="b">
        <f>IF('Refined Compare'!$D$3="All",TRUE,IF(F150='Refined Compare'!$D$3,TRUE,IF(G150='Refined Compare'!$D$3,TRUE,FALSE)))</f>
        <v>0</v>
      </c>
      <c r="AZ150" s="174" t="b">
        <f t="shared" si="63"/>
        <v>1</v>
      </c>
    </row>
    <row r="151" spans="1:52" x14ac:dyDescent="0.35">
      <c r="A151">
        <f t="shared" si="64"/>
        <v>150</v>
      </c>
      <c r="B151" s="18">
        <v>122</v>
      </c>
      <c r="C151" s="61">
        <v>1</v>
      </c>
      <c r="D151" s="118" t="b">
        <v>1</v>
      </c>
      <c r="E151" s="61"/>
      <c r="F151" s="66" t="s">
        <v>817</v>
      </c>
      <c r="G151" s="66" t="str">
        <f>IF($AW$2&lt;6,"Single type","Fairy")</f>
        <v>Single type</v>
      </c>
      <c r="H151" s="2" t="s">
        <v>583</v>
      </c>
      <c r="I151" s="39">
        <f t="shared" si="41"/>
        <v>40</v>
      </c>
      <c r="J151" s="40">
        <f t="shared" si="42"/>
        <v>45</v>
      </c>
      <c r="K151" s="41">
        <f t="shared" si="43"/>
        <v>65</v>
      </c>
      <c r="L151" s="42">
        <f t="shared" si="44"/>
        <v>100</v>
      </c>
      <c r="M151" s="43">
        <f t="shared" si="45"/>
        <v>120</v>
      </c>
      <c r="N151" s="44">
        <f t="shared" si="46"/>
        <v>90</v>
      </c>
      <c r="O151" s="45">
        <f t="shared" si="47"/>
        <v>460</v>
      </c>
      <c r="P151" s="19">
        <f t="shared" si="48"/>
        <v>76.67</v>
      </c>
      <c r="Q151" s="177">
        <v>40</v>
      </c>
      <c r="R151" s="40">
        <v>45</v>
      </c>
      <c r="S151" s="41">
        <v>65</v>
      </c>
      <c r="T151" s="42">
        <v>100</v>
      </c>
      <c r="U151" s="43">
        <v>120</v>
      </c>
      <c r="V151" s="44">
        <v>90</v>
      </c>
      <c r="W151" s="45">
        <f t="shared" si="39"/>
        <v>460</v>
      </c>
      <c r="X151" s="19">
        <f t="shared" si="40"/>
        <v>76.67</v>
      </c>
      <c r="Y151" s="3">
        <v>40</v>
      </c>
      <c r="Z151" s="4">
        <v>45</v>
      </c>
      <c r="AA151" s="5">
        <v>65</v>
      </c>
      <c r="AB151" s="6">
        <v>100</v>
      </c>
      <c r="AC151" s="7">
        <v>120</v>
      </c>
      <c r="AD151" s="8">
        <v>90</v>
      </c>
      <c r="AE151" s="1">
        <v>460</v>
      </c>
      <c r="AF151" s="19">
        <v>76.67</v>
      </c>
      <c r="AG151" s="139">
        <v>40</v>
      </c>
      <c r="AH151" s="140">
        <v>45</v>
      </c>
      <c r="AI151" s="141">
        <v>65</v>
      </c>
      <c r="AJ151" s="142">
        <v>100</v>
      </c>
      <c r="AK151" s="143">
        <v>120</v>
      </c>
      <c r="AL151" s="144">
        <v>90</v>
      </c>
      <c r="AM151" s="138">
        <v>460</v>
      </c>
      <c r="AN151" s="153">
        <v>76.67</v>
      </c>
      <c r="AO151" s="139">
        <v>40</v>
      </c>
      <c r="AP151" s="140">
        <v>45</v>
      </c>
      <c r="AQ151" s="141">
        <v>65</v>
      </c>
      <c r="AR151" s="162">
        <v>100</v>
      </c>
      <c r="AS151" s="162">
        <v>100</v>
      </c>
      <c r="AT151" s="144">
        <v>90</v>
      </c>
      <c r="AU151" s="138">
        <f t="shared" si="65"/>
        <v>440</v>
      </c>
      <c r="AV151" s="153">
        <f t="shared" si="66"/>
        <v>73.333333333333329</v>
      </c>
      <c r="AW151" s="45"/>
      <c r="AX151" s="174" t="b">
        <f>IF('Refined Compare'!$D$2="All",TRUE,IF(F151='Refined Compare'!$D$2,TRUE,IF(G151='Refined Compare'!$D$2,TRUE,FALSE)))</f>
        <v>0</v>
      </c>
      <c r="AY151" s="174" t="b">
        <f>IF('Refined Compare'!$D$3="All",TRUE,IF(F151='Refined Compare'!$D$3,TRUE,IF(G151='Refined Compare'!$D$3,TRUE,FALSE)))</f>
        <v>1</v>
      </c>
      <c r="AZ151" s="174" t="b">
        <f t="shared" si="63"/>
        <v>1</v>
      </c>
    </row>
    <row r="152" spans="1:52" x14ac:dyDescent="0.35">
      <c r="A152">
        <f t="shared" si="64"/>
        <v>151</v>
      </c>
      <c r="B152" s="18">
        <v>123</v>
      </c>
      <c r="C152" s="61">
        <v>1</v>
      </c>
      <c r="D152" s="118" t="b">
        <f>IF($AW$2&lt;2,TRUE,FALSE)</f>
        <v>0</v>
      </c>
      <c r="E152" s="61"/>
      <c r="F152" s="66" t="s">
        <v>811</v>
      </c>
      <c r="G152" s="66" t="s">
        <v>809</v>
      </c>
      <c r="H152" s="2" t="s">
        <v>695</v>
      </c>
      <c r="I152" s="39">
        <f t="shared" si="41"/>
        <v>70</v>
      </c>
      <c r="J152" s="40">
        <f t="shared" si="42"/>
        <v>110</v>
      </c>
      <c r="K152" s="41">
        <f t="shared" si="43"/>
        <v>80</v>
      </c>
      <c r="L152" s="42">
        <f t="shared" si="44"/>
        <v>55</v>
      </c>
      <c r="M152" s="43">
        <f t="shared" si="45"/>
        <v>80</v>
      </c>
      <c r="N152" s="44">
        <f t="shared" si="46"/>
        <v>105</v>
      </c>
      <c r="O152" s="45">
        <f t="shared" si="47"/>
        <v>500</v>
      </c>
      <c r="P152" s="19">
        <f t="shared" si="48"/>
        <v>83.33</v>
      </c>
      <c r="Q152" s="177">
        <v>70</v>
      </c>
      <c r="R152" s="40">
        <v>110</v>
      </c>
      <c r="S152" s="41">
        <v>80</v>
      </c>
      <c r="T152" s="42">
        <v>55</v>
      </c>
      <c r="U152" s="43">
        <v>80</v>
      </c>
      <c r="V152" s="44">
        <v>105</v>
      </c>
      <c r="W152" s="45">
        <f t="shared" si="39"/>
        <v>500</v>
      </c>
      <c r="X152" s="19">
        <f t="shared" si="40"/>
        <v>83.33</v>
      </c>
      <c r="Y152" s="3">
        <v>70</v>
      </c>
      <c r="Z152" s="4">
        <v>110</v>
      </c>
      <c r="AA152" s="5">
        <v>80</v>
      </c>
      <c r="AB152" s="6">
        <v>55</v>
      </c>
      <c r="AC152" s="7">
        <v>80</v>
      </c>
      <c r="AD152" s="8">
        <v>105</v>
      </c>
      <c r="AE152" s="1">
        <v>500</v>
      </c>
      <c r="AF152" s="19">
        <v>83.33</v>
      </c>
      <c r="AG152" s="139">
        <v>70</v>
      </c>
      <c r="AH152" s="140">
        <v>110</v>
      </c>
      <c r="AI152" s="141">
        <v>80</v>
      </c>
      <c r="AJ152" s="142">
        <v>55</v>
      </c>
      <c r="AK152" s="143">
        <v>80</v>
      </c>
      <c r="AL152" s="144">
        <v>105</v>
      </c>
      <c r="AM152" s="138">
        <v>500</v>
      </c>
      <c r="AN152" s="153">
        <v>83.33</v>
      </c>
      <c r="AO152" s="139">
        <v>70</v>
      </c>
      <c r="AP152" s="140">
        <v>110</v>
      </c>
      <c r="AQ152" s="141">
        <v>80</v>
      </c>
      <c r="AR152" s="162">
        <v>55</v>
      </c>
      <c r="AS152" s="162">
        <v>55</v>
      </c>
      <c r="AT152" s="144">
        <v>105</v>
      </c>
      <c r="AU152" s="138">
        <f t="shared" si="65"/>
        <v>475</v>
      </c>
      <c r="AV152" s="153">
        <f t="shared" si="66"/>
        <v>79.166666666666671</v>
      </c>
      <c r="AW152" s="45"/>
      <c r="AX152" s="174" t="b">
        <f>IF('Refined Compare'!$D$2="All",TRUE,IF(F152='Refined Compare'!$D$2,TRUE,IF(G152='Refined Compare'!$D$2,TRUE,FALSE)))</f>
        <v>0</v>
      </c>
      <c r="AY152" s="174" t="b">
        <f>IF('Refined Compare'!$D$3="All",TRUE,IF(F152='Refined Compare'!$D$3,TRUE,IF(G152='Refined Compare'!$D$3,TRUE,FALSE)))</f>
        <v>0</v>
      </c>
      <c r="AZ152" s="174" t="b">
        <f t="shared" si="63"/>
        <v>1</v>
      </c>
    </row>
    <row r="153" spans="1:52" x14ac:dyDescent="0.35">
      <c r="A153">
        <f t="shared" si="64"/>
        <v>152</v>
      </c>
      <c r="B153" s="18">
        <v>124</v>
      </c>
      <c r="C153" s="61">
        <v>1</v>
      </c>
      <c r="D153" s="118" t="b">
        <v>1</v>
      </c>
      <c r="E153" s="61"/>
      <c r="F153" s="66" t="s">
        <v>820</v>
      </c>
      <c r="G153" s="66" t="s">
        <v>817</v>
      </c>
      <c r="H153" s="2" t="s">
        <v>619</v>
      </c>
      <c r="I153" s="39">
        <f t="shared" si="41"/>
        <v>65</v>
      </c>
      <c r="J153" s="40">
        <f t="shared" si="42"/>
        <v>50</v>
      </c>
      <c r="K153" s="41">
        <f t="shared" si="43"/>
        <v>35</v>
      </c>
      <c r="L153" s="42">
        <f t="shared" si="44"/>
        <v>115</v>
      </c>
      <c r="M153" s="43">
        <f t="shared" si="45"/>
        <v>95</v>
      </c>
      <c r="N153" s="44">
        <f t="shared" si="46"/>
        <v>95</v>
      </c>
      <c r="O153" s="45">
        <f t="shared" si="47"/>
        <v>455</v>
      </c>
      <c r="P153" s="19">
        <f t="shared" si="48"/>
        <v>75.83</v>
      </c>
      <c r="Q153" s="177">
        <v>65</v>
      </c>
      <c r="R153" s="40">
        <v>50</v>
      </c>
      <c r="S153" s="41">
        <v>35</v>
      </c>
      <c r="T153" s="42">
        <v>115</v>
      </c>
      <c r="U153" s="43">
        <v>95</v>
      </c>
      <c r="V153" s="44">
        <v>95</v>
      </c>
      <c r="W153" s="45">
        <f t="shared" si="39"/>
        <v>455</v>
      </c>
      <c r="X153" s="19">
        <f t="shared" si="40"/>
        <v>75.83</v>
      </c>
      <c r="Y153" s="3">
        <v>65</v>
      </c>
      <c r="Z153" s="4">
        <v>50</v>
      </c>
      <c r="AA153" s="5">
        <v>35</v>
      </c>
      <c r="AB153" s="6">
        <v>115</v>
      </c>
      <c r="AC153" s="7">
        <v>95</v>
      </c>
      <c r="AD153" s="8">
        <v>95</v>
      </c>
      <c r="AE153" s="1">
        <v>455</v>
      </c>
      <c r="AF153" s="19">
        <v>75.83</v>
      </c>
      <c r="AG153" s="139">
        <v>65</v>
      </c>
      <c r="AH153" s="140">
        <v>50</v>
      </c>
      <c r="AI153" s="141">
        <v>35</v>
      </c>
      <c r="AJ153" s="142">
        <v>115</v>
      </c>
      <c r="AK153" s="143">
        <v>95</v>
      </c>
      <c r="AL153" s="144">
        <v>95</v>
      </c>
      <c r="AM153" s="138">
        <v>455</v>
      </c>
      <c r="AN153" s="153">
        <v>75.83</v>
      </c>
      <c r="AO153" s="139">
        <v>65</v>
      </c>
      <c r="AP153" s="140">
        <v>50</v>
      </c>
      <c r="AQ153" s="141">
        <v>35</v>
      </c>
      <c r="AR153" s="162">
        <v>95</v>
      </c>
      <c r="AS153" s="162">
        <v>95</v>
      </c>
      <c r="AT153" s="144">
        <v>95</v>
      </c>
      <c r="AU153" s="138">
        <f t="shared" si="65"/>
        <v>435</v>
      </c>
      <c r="AV153" s="153">
        <f t="shared" si="66"/>
        <v>72.5</v>
      </c>
      <c r="AW153" s="45"/>
      <c r="AX153" s="174" t="b">
        <f>IF('Refined Compare'!$D$2="All",TRUE,IF(F153='Refined Compare'!$D$2,TRUE,IF(G153='Refined Compare'!$D$2,TRUE,FALSE)))</f>
        <v>0</v>
      </c>
      <c r="AY153" s="174" t="b">
        <f>IF('Refined Compare'!$D$3="All",TRUE,IF(F153='Refined Compare'!$D$3,TRUE,IF(G153='Refined Compare'!$D$3,TRUE,FALSE)))</f>
        <v>0</v>
      </c>
      <c r="AZ153" s="174" t="b">
        <f t="shared" si="63"/>
        <v>1</v>
      </c>
    </row>
    <row r="154" spans="1:52" x14ac:dyDescent="0.35">
      <c r="A154">
        <f t="shared" si="64"/>
        <v>153</v>
      </c>
      <c r="B154" s="18">
        <v>125</v>
      </c>
      <c r="C154" s="61">
        <v>1</v>
      </c>
      <c r="D154" s="118" t="b">
        <f>IF($AW$2&lt;4,TRUE,FALSE)</f>
        <v>0</v>
      </c>
      <c r="E154" s="61"/>
      <c r="F154" s="66" t="s">
        <v>813</v>
      </c>
      <c r="G154" s="66" t="s">
        <v>827</v>
      </c>
      <c r="H154" s="2" t="s">
        <v>696</v>
      </c>
      <c r="I154" s="39">
        <f t="shared" si="41"/>
        <v>65</v>
      </c>
      <c r="J154" s="40">
        <f t="shared" si="42"/>
        <v>83</v>
      </c>
      <c r="K154" s="41">
        <f t="shared" si="43"/>
        <v>57</v>
      </c>
      <c r="L154" s="42">
        <f t="shared" si="44"/>
        <v>95</v>
      </c>
      <c r="M154" s="43">
        <f t="shared" si="45"/>
        <v>85</v>
      </c>
      <c r="N154" s="44">
        <f t="shared" si="46"/>
        <v>105</v>
      </c>
      <c r="O154" s="45">
        <f t="shared" si="47"/>
        <v>490</v>
      </c>
      <c r="P154" s="19">
        <f t="shared" si="48"/>
        <v>81.67</v>
      </c>
      <c r="Q154" s="177">
        <v>65</v>
      </c>
      <c r="R154" s="40">
        <v>83</v>
      </c>
      <c r="S154" s="41">
        <v>57</v>
      </c>
      <c r="T154" s="42">
        <v>95</v>
      </c>
      <c r="U154" s="43">
        <v>85</v>
      </c>
      <c r="V154" s="44">
        <v>105</v>
      </c>
      <c r="W154" s="45">
        <f t="shared" si="39"/>
        <v>490</v>
      </c>
      <c r="X154" s="19">
        <f t="shared" si="40"/>
        <v>81.67</v>
      </c>
      <c r="Y154" s="3">
        <v>65</v>
      </c>
      <c r="Z154" s="4">
        <v>83</v>
      </c>
      <c r="AA154" s="5">
        <v>57</v>
      </c>
      <c r="AB154" s="6">
        <v>95</v>
      </c>
      <c r="AC154" s="7">
        <v>85</v>
      </c>
      <c r="AD154" s="8">
        <v>105</v>
      </c>
      <c r="AE154" s="1">
        <v>490</v>
      </c>
      <c r="AF154" s="19">
        <v>81.67</v>
      </c>
      <c r="AG154" s="139">
        <v>65</v>
      </c>
      <c r="AH154" s="140">
        <v>83</v>
      </c>
      <c r="AI154" s="141">
        <v>57</v>
      </c>
      <c r="AJ154" s="142">
        <v>95</v>
      </c>
      <c r="AK154" s="143">
        <v>85</v>
      </c>
      <c r="AL154" s="144">
        <v>105</v>
      </c>
      <c r="AM154" s="138">
        <v>490</v>
      </c>
      <c r="AN154" s="153">
        <v>81.67</v>
      </c>
      <c r="AO154" s="139">
        <v>65</v>
      </c>
      <c r="AP154" s="140">
        <v>83</v>
      </c>
      <c r="AQ154" s="141">
        <v>57</v>
      </c>
      <c r="AR154" s="162">
        <v>85</v>
      </c>
      <c r="AS154" s="162">
        <v>85</v>
      </c>
      <c r="AT154" s="144">
        <v>105</v>
      </c>
      <c r="AU154" s="138">
        <f t="shared" si="65"/>
        <v>480</v>
      </c>
      <c r="AV154" s="153">
        <f t="shared" si="66"/>
        <v>80</v>
      </c>
      <c r="AW154" s="45"/>
      <c r="AX154" s="174" t="b">
        <f>IF('Refined Compare'!$D$2="All",TRUE,IF(F154='Refined Compare'!$D$2,TRUE,IF(G154='Refined Compare'!$D$2,TRUE,FALSE)))</f>
        <v>0</v>
      </c>
      <c r="AY154" s="174" t="b">
        <f>IF('Refined Compare'!$D$3="All",TRUE,IF(F154='Refined Compare'!$D$3,TRUE,IF(G154='Refined Compare'!$D$3,TRUE,FALSE)))</f>
        <v>1</v>
      </c>
      <c r="AZ154" s="174" t="b">
        <f t="shared" si="63"/>
        <v>1</v>
      </c>
    </row>
    <row r="155" spans="1:52" x14ac:dyDescent="0.35">
      <c r="A155">
        <f t="shared" si="64"/>
        <v>154</v>
      </c>
      <c r="B155" s="18">
        <v>126</v>
      </c>
      <c r="C155" s="61">
        <v>1</v>
      </c>
      <c r="D155" s="118" t="b">
        <f>IF($AW$2&lt;4,TRUE,FALSE)</f>
        <v>0</v>
      </c>
      <c r="E155" s="61"/>
      <c r="F155" s="66" t="s">
        <v>808</v>
      </c>
      <c r="G155" s="66" t="s">
        <v>827</v>
      </c>
      <c r="H155" s="2" t="s">
        <v>613</v>
      </c>
      <c r="I155" s="39">
        <f t="shared" si="41"/>
        <v>65</v>
      </c>
      <c r="J155" s="40">
        <f t="shared" si="42"/>
        <v>95</v>
      </c>
      <c r="K155" s="41">
        <f t="shared" si="43"/>
        <v>57</v>
      </c>
      <c r="L155" s="42">
        <f t="shared" si="44"/>
        <v>100</v>
      </c>
      <c r="M155" s="43">
        <f t="shared" si="45"/>
        <v>85</v>
      </c>
      <c r="N155" s="44">
        <f t="shared" si="46"/>
        <v>93</v>
      </c>
      <c r="O155" s="45">
        <f t="shared" si="47"/>
        <v>495</v>
      </c>
      <c r="P155" s="19">
        <f t="shared" si="48"/>
        <v>82.5</v>
      </c>
      <c r="Q155" s="177">
        <v>65</v>
      </c>
      <c r="R155" s="40">
        <v>95</v>
      </c>
      <c r="S155" s="41">
        <v>57</v>
      </c>
      <c r="T155" s="42">
        <v>100</v>
      </c>
      <c r="U155" s="43">
        <v>85</v>
      </c>
      <c r="V155" s="44">
        <v>93</v>
      </c>
      <c r="W155" s="45">
        <f t="shared" si="39"/>
        <v>495</v>
      </c>
      <c r="X155" s="19">
        <f t="shared" si="40"/>
        <v>82.5</v>
      </c>
      <c r="Y155" s="3">
        <v>65</v>
      </c>
      <c r="Z155" s="4">
        <v>95</v>
      </c>
      <c r="AA155" s="5">
        <v>57</v>
      </c>
      <c r="AB155" s="6">
        <v>100</v>
      </c>
      <c r="AC155" s="7">
        <v>85</v>
      </c>
      <c r="AD155" s="8">
        <v>93</v>
      </c>
      <c r="AE155" s="1">
        <v>495</v>
      </c>
      <c r="AF155" s="19">
        <v>82.5</v>
      </c>
      <c r="AG155" s="139">
        <v>65</v>
      </c>
      <c r="AH155" s="140">
        <v>95</v>
      </c>
      <c r="AI155" s="141">
        <v>57</v>
      </c>
      <c r="AJ155" s="142">
        <v>100</v>
      </c>
      <c r="AK155" s="143">
        <v>85</v>
      </c>
      <c r="AL155" s="144">
        <v>93</v>
      </c>
      <c r="AM155" s="138">
        <v>495</v>
      </c>
      <c r="AN155" s="153">
        <v>82.5</v>
      </c>
      <c r="AO155" s="139">
        <v>65</v>
      </c>
      <c r="AP155" s="140">
        <v>95</v>
      </c>
      <c r="AQ155" s="141">
        <v>57</v>
      </c>
      <c r="AR155" s="162">
        <v>85</v>
      </c>
      <c r="AS155" s="162">
        <v>85</v>
      </c>
      <c r="AT155" s="144">
        <v>93</v>
      </c>
      <c r="AU155" s="138">
        <f t="shared" si="65"/>
        <v>480</v>
      </c>
      <c r="AV155" s="153">
        <f t="shared" si="66"/>
        <v>80</v>
      </c>
      <c r="AW155" s="45"/>
      <c r="AX155" s="174" t="b">
        <f>IF('Refined Compare'!$D$2="All",TRUE,IF(F155='Refined Compare'!$D$2,TRUE,IF(G155='Refined Compare'!$D$2,TRUE,FALSE)))</f>
        <v>0</v>
      </c>
      <c r="AY155" s="174" t="b">
        <f>IF('Refined Compare'!$D$3="All",TRUE,IF(F155='Refined Compare'!$D$3,TRUE,IF(G155='Refined Compare'!$D$3,TRUE,FALSE)))</f>
        <v>1</v>
      </c>
      <c r="AZ155" s="174" t="b">
        <f t="shared" si="63"/>
        <v>1</v>
      </c>
    </row>
    <row r="156" spans="1:52" x14ac:dyDescent="0.35">
      <c r="A156">
        <f t="shared" si="64"/>
        <v>155</v>
      </c>
      <c r="B156" s="18">
        <v>127</v>
      </c>
      <c r="C156" s="61">
        <v>1</v>
      </c>
      <c r="D156" s="61" t="b">
        <f>IF($AW$2&lt;6,TRUE,FALSE)</f>
        <v>1</v>
      </c>
      <c r="E156" s="61"/>
      <c r="F156" s="66" t="s">
        <v>811</v>
      </c>
      <c r="G156" s="66" t="s">
        <v>827</v>
      </c>
      <c r="H156" s="2" t="s">
        <v>543</v>
      </c>
      <c r="I156" s="39">
        <f t="shared" si="41"/>
        <v>65</v>
      </c>
      <c r="J156" s="40">
        <f t="shared" si="42"/>
        <v>125</v>
      </c>
      <c r="K156" s="41">
        <f t="shared" si="43"/>
        <v>100</v>
      </c>
      <c r="L156" s="42">
        <f t="shared" si="44"/>
        <v>55</v>
      </c>
      <c r="M156" s="43">
        <f t="shared" si="45"/>
        <v>70</v>
      </c>
      <c r="N156" s="44">
        <f t="shared" si="46"/>
        <v>85</v>
      </c>
      <c r="O156" s="45">
        <f t="shared" si="47"/>
        <v>500</v>
      </c>
      <c r="P156" s="19">
        <f t="shared" si="48"/>
        <v>83.33</v>
      </c>
      <c r="Q156" s="177">
        <v>65</v>
      </c>
      <c r="R156" s="40">
        <v>125</v>
      </c>
      <c r="S156" s="41">
        <v>100</v>
      </c>
      <c r="T156" s="42">
        <v>55</v>
      </c>
      <c r="U156" s="43">
        <v>70</v>
      </c>
      <c r="V156" s="44">
        <v>85</v>
      </c>
      <c r="W156" s="45">
        <f t="shared" ref="W156:W219" si="67">SUM(Q156:V156)</f>
        <v>500</v>
      </c>
      <c r="X156" s="19">
        <f t="shared" ref="X156:X219" si="68">ROUND(AVERAGE(Q156:V156),2)</f>
        <v>83.33</v>
      </c>
      <c r="Y156" s="3">
        <v>65</v>
      </c>
      <c r="Z156" s="4">
        <v>125</v>
      </c>
      <c r="AA156" s="5">
        <v>100</v>
      </c>
      <c r="AB156" s="6">
        <v>55</v>
      </c>
      <c r="AC156" s="7">
        <v>70</v>
      </c>
      <c r="AD156" s="8">
        <v>85</v>
      </c>
      <c r="AE156" s="1">
        <v>500</v>
      </c>
      <c r="AF156" s="19">
        <v>83.33</v>
      </c>
      <c r="AG156" s="139">
        <v>65</v>
      </c>
      <c r="AH156" s="140">
        <v>125</v>
      </c>
      <c r="AI156" s="141">
        <v>100</v>
      </c>
      <c r="AJ156" s="142">
        <v>55</v>
      </c>
      <c r="AK156" s="143">
        <v>70</v>
      </c>
      <c r="AL156" s="144">
        <v>85</v>
      </c>
      <c r="AM156" s="138">
        <v>500</v>
      </c>
      <c r="AN156" s="153">
        <v>83.33</v>
      </c>
      <c r="AO156" s="139">
        <v>65</v>
      </c>
      <c r="AP156" s="140">
        <v>125</v>
      </c>
      <c r="AQ156" s="141">
        <v>100</v>
      </c>
      <c r="AR156" s="162">
        <v>55</v>
      </c>
      <c r="AS156" s="162">
        <v>55</v>
      </c>
      <c r="AT156" s="144">
        <v>85</v>
      </c>
      <c r="AU156" s="138">
        <f t="shared" si="65"/>
        <v>485</v>
      </c>
      <c r="AV156" s="153">
        <f t="shared" si="66"/>
        <v>80.833333333333329</v>
      </c>
      <c r="AW156" s="45"/>
      <c r="AX156" s="174" t="b">
        <f>IF('Refined Compare'!$D$2="All",TRUE,IF(F156='Refined Compare'!$D$2,TRUE,IF(G156='Refined Compare'!$D$2,TRUE,FALSE)))</f>
        <v>0</v>
      </c>
      <c r="AY156" s="174" t="b">
        <f>IF('Refined Compare'!$D$3="All",TRUE,IF(F156='Refined Compare'!$D$3,TRUE,IF(G156='Refined Compare'!$D$3,TRUE,FALSE)))</f>
        <v>1</v>
      </c>
      <c r="AZ156" s="174" t="b">
        <f t="shared" si="63"/>
        <v>1</v>
      </c>
    </row>
    <row r="157" spans="1:52" x14ac:dyDescent="0.35">
      <c r="A157">
        <f t="shared" si="64"/>
        <v>156</v>
      </c>
      <c r="B157" s="62">
        <v>127</v>
      </c>
      <c r="C157" s="61">
        <v>6</v>
      </c>
      <c r="D157" s="118" t="b">
        <f>IF(AZ157,TRUE,FALSE)</f>
        <v>0</v>
      </c>
      <c r="E157" s="61" t="s">
        <v>801</v>
      </c>
      <c r="F157" s="66" t="s">
        <v>811</v>
      </c>
      <c r="G157" s="66" t="s">
        <v>809</v>
      </c>
      <c r="H157" s="2" t="s">
        <v>697</v>
      </c>
      <c r="I157" s="39">
        <f t="shared" si="41"/>
        <v>0</v>
      </c>
      <c r="J157" s="40">
        <f t="shared" si="42"/>
        <v>0</v>
      </c>
      <c r="K157" s="41">
        <f t="shared" si="43"/>
        <v>0</v>
      </c>
      <c r="L157" s="42">
        <f t="shared" si="44"/>
        <v>0</v>
      </c>
      <c r="M157" s="43">
        <f t="shared" si="45"/>
        <v>0</v>
      </c>
      <c r="N157" s="44">
        <f t="shared" si="46"/>
        <v>0</v>
      </c>
      <c r="O157" s="45">
        <f t="shared" si="47"/>
        <v>0</v>
      </c>
      <c r="P157" s="19">
        <f t="shared" si="48"/>
        <v>0</v>
      </c>
      <c r="Q157" s="177">
        <v>65</v>
      </c>
      <c r="R157" s="40">
        <v>155</v>
      </c>
      <c r="S157" s="41">
        <v>120</v>
      </c>
      <c r="T157" s="42">
        <v>65</v>
      </c>
      <c r="U157" s="43">
        <v>90</v>
      </c>
      <c r="V157" s="44">
        <v>105</v>
      </c>
      <c r="W157" s="45">
        <f t="shared" si="67"/>
        <v>600</v>
      </c>
      <c r="X157" s="19">
        <f t="shared" si="68"/>
        <v>100</v>
      </c>
      <c r="Y157" s="3">
        <v>65</v>
      </c>
      <c r="Z157" s="4">
        <v>155</v>
      </c>
      <c r="AA157" s="5">
        <v>120</v>
      </c>
      <c r="AB157" s="6">
        <v>65</v>
      </c>
      <c r="AC157" s="7">
        <v>90</v>
      </c>
      <c r="AD157" s="8">
        <v>105</v>
      </c>
      <c r="AE157" s="1">
        <v>600</v>
      </c>
      <c r="AF157" s="19">
        <v>100</v>
      </c>
      <c r="AN157" s="172"/>
      <c r="AV157" s="172"/>
      <c r="AW157" s="45"/>
      <c r="AX157" s="174" t="b">
        <f>IF('Refined Compare'!$D$2="All",TRUE,IF(F157='Refined Compare'!$D$2,TRUE,IF(G157='Refined Compare'!$D$2,TRUE,FALSE)))</f>
        <v>0</v>
      </c>
      <c r="AY157" s="174" t="b">
        <f>IF('Refined Compare'!$D$3="All",TRUE,IF(F157='Refined Compare'!$D$3,TRUE,IF(G157='Refined Compare'!$D$3,TRUE,FALSE)))</f>
        <v>0</v>
      </c>
      <c r="AZ157" s="174" t="b">
        <f t="shared" si="63"/>
        <v>0</v>
      </c>
    </row>
    <row r="158" spans="1:52" x14ac:dyDescent="0.35">
      <c r="A158">
        <f t="shared" si="64"/>
        <v>157</v>
      </c>
      <c r="B158" s="18">
        <v>128</v>
      </c>
      <c r="C158" s="61">
        <v>1</v>
      </c>
      <c r="D158" s="118" t="b">
        <v>1</v>
      </c>
      <c r="E158" s="61"/>
      <c r="F158" s="66" t="s">
        <v>812</v>
      </c>
      <c r="G158" s="66" t="s">
        <v>827</v>
      </c>
      <c r="H158" s="2" t="s">
        <v>717</v>
      </c>
      <c r="I158" s="39">
        <f t="shared" ref="I158:I221" si="69">IF($AW$2=7,Q158,IF($AW$2=6,Y158,IF($AW$2=1,AO158,AG158)))</f>
        <v>75</v>
      </c>
      <c r="J158" s="40">
        <f t="shared" ref="J158:J221" si="70">IF($AW$2=7,R158,IF($AW$2=6,Z158,IF($AW$2=1,AP158,AH158)))</f>
        <v>100</v>
      </c>
      <c r="K158" s="41">
        <f t="shared" ref="K158:K221" si="71">IF($AW$2=7,S158,IF($AW$2=6,AA158,IF($AW$2=1,AQ158,AI158)))</f>
        <v>95</v>
      </c>
      <c r="L158" s="42">
        <f t="shared" ref="L158:L221" si="72">IF($AW$2=7,T158,IF($AW$2=6,AB158,IF($AW$2=1,AR158,AJ158)))</f>
        <v>40</v>
      </c>
      <c r="M158" s="43">
        <f t="shared" ref="M158:M221" si="73">IF($AW$2=7,U158,IF($AW$2=6,AC158,IF($AW$2=1,AS158,AK158)))</f>
        <v>70</v>
      </c>
      <c r="N158" s="44">
        <f t="shared" ref="N158:N221" si="74">IF($AW$2=7,V158,IF($AW$2=6,AD158,IF($AW$2=1,AT158,AL158)))</f>
        <v>110</v>
      </c>
      <c r="O158" s="45">
        <f t="shared" ref="O158:O221" si="75">IF($AW$2=7,W158,IF($AW$2=6,AE158,IF($AW$2=1,AU158,AM158)))</f>
        <v>490</v>
      </c>
      <c r="P158" s="19">
        <f t="shared" ref="P158:P221" si="76">IF($AW$2=7,X158,IF($AW$2=6,AF158,IF($AW$2=1,AV158,AN158)))</f>
        <v>81.67</v>
      </c>
      <c r="Q158" s="177">
        <v>75</v>
      </c>
      <c r="R158" s="40">
        <v>100</v>
      </c>
      <c r="S158" s="41">
        <v>95</v>
      </c>
      <c r="T158" s="42">
        <v>40</v>
      </c>
      <c r="U158" s="43">
        <v>70</v>
      </c>
      <c r="V158" s="44">
        <v>110</v>
      </c>
      <c r="W158" s="45">
        <f t="shared" si="67"/>
        <v>490</v>
      </c>
      <c r="X158" s="19">
        <f t="shared" si="68"/>
        <v>81.67</v>
      </c>
      <c r="Y158" s="3">
        <v>75</v>
      </c>
      <c r="Z158" s="4">
        <v>100</v>
      </c>
      <c r="AA158" s="5">
        <v>95</v>
      </c>
      <c r="AB158" s="6">
        <v>40</v>
      </c>
      <c r="AC158" s="7">
        <v>70</v>
      </c>
      <c r="AD158" s="8">
        <v>110</v>
      </c>
      <c r="AE158" s="1">
        <v>490</v>
      </c>
      <c r="AF158" s="19">
        <v>81.67</v>
      </c>
      <c r="AG158" s="139">
        <v>75</v>
      </c>
      <c r="AH158" s="140">
        <v>100</v>
      </c>
      <c r="AI158" s="141">
        <v>95</v>
      </c>
      <c r="AJ158" s="142">
        <v>40</v>
      </c>
      <c r="AK158" s="143">
        <v>70</v>
      </c>
      <c r="AL158" s="144">
        <v>110</v>
      </c>
      <c r="AM158" s="138">
        <v>490</v>
      </c>
      <c r="AN158" s="153">
        <v>81.67</v>
      </c>
      <c r="AO158" s="139">
        <v>75</v>
      </c>
      <c r="AP158" s="140">
        <v>100</v>
      </c>
      <c r="AQ158" s="141">
        <v>95</v>
      </c>
      <c r="AR158" s="162">
        <v>70</v>
      </c>
      <c r="AS158" s="162">
        <v>70</v>
      </c>
      <c r="AT158" s="144">
        <v>110</v>
      </c>
      <c r="AU158" s="138">
        <f>SUM(AO158:AT158)</f>
        <v>520</v>
      </c>
      <c r="AV158" s="153">
        <f>AU158/6</f>
        <v>86.666666666666671</v>
      </c>
      <c r="AW158" s="45"/>
      <c r="AX158" s="174" t="b">
        <f>IF('Refined Compare'!$D$2="All",TRUE,IF(F158='Refined Compare'!$D$2,TRUE,IF(G158='Refined Compare'!$D$2,TRUE,FALSE)))</f>
        <v>0</v>
      </c>
      <c r="AY158" s="174" t="b">
        <f>IF('Refined Compare'!$D$3="All",TRUE,IF(F158='Refined Compare'!$D$3,TRUE,IF(G158='Refined Compare'!$D$3,TRUE,FALSE)))</f>
        <v>1</v>
      </c>
      <c r="AZ158" s="174" t="b">
        <f t="shared" si="63"/>
        <v>1</v>
      </c>
    </row>
    <row r="159" spans="1:52" x14ac:dyDescent="0.35">
      <c r="A159">
        <f t="shared" si="64"/>
        <v>158</v>
      </c>
      <c r="B159" s="18">
        <v>129</v>
      </c>
      <c r="C159" s="61">
        <v>1</v>
      </c>
      <c r="D159" s="61" t="b">
        <v>0</v>
      </c>
      <c r="E159" s="61"/>
      <c r="F159" s="66" t="s">
        <v>810</v>
      </c>
      <c r="G159" s="66" t="s">
        <v>827</v>
      </c>
      <c r="H159" s="2" t="s">
        <v>501</v>
      </c>
      <c r="I159" s="39">
        <f t="shared" si="69"/>
        <v>20</v>
      </c>
      <c r="J159" s="40">
        <f t="shared" si="70"/>
        <v>10</v>
      </c>
      <c r="K159" s="41">
        <f t="shared" si="71"/>
        <v>55</v>
      </c>
      <c r="L159" s="42">
        <f t="shared" si="72"/>
        <v>15</v>
      </c>
      <c r="M159" s="43">
        <f t="shared" si="73"/>
        <v>20</v>
      </c>
      <c r="N159" s="44">
        <f t="shared" si="74"/>
        <v>80</v>
      </c>
      <c r="O159" s="45">
        <f t="shared" si="75"/>
        <v>200</v>
      </c>
      <c r="P159" s="19">
        <f t="shared" si="76"/>
        <v>33.33</v>
      </c>
      <c r="Q159" s="177">
        <v>20</v>
      </c>
      <c r="R159" s="40">
        <v>10</v>
      </c>
      <c r="S159" s="41">
        <v>55</v>
      </c>
      <c r="T159" s="42">
        <v>15</v>
      </c>
      <c r="U159" s="43">
        <v>20</v>
      </c>
      <c r="V159" s="44">
        <v>80</v>
      </c>
      <c r="W159" s="45">
        <f t="shared" si="67"/>
        <v>200</v>
      </c>
      <c r="X159" s="19">
        <f t="shared" si="68"/>
        <v>33.33</v>
      </c>
      <c r="Y159" s="3">
        <v>20</v>
      </c>
      <c r="Z159" s="4">
        <v>10</v>
      </c>
      <c r="AA159" s="5">
        <v>55</v>
      </c>
      <c r="AB159" s="6">
        <v>15</v>
      </c>
      <c r="AC159" s="7">
        <v>20</v>
      </c>
      <c r="AD159" s="8">
        <v>80</v>
      </c>
      <c r="AE159" s="1">
        <v>200</v>
      </c>
      <c r="AF159" s="19">
        <v>33.33</v>
      </c>
      <c r="AG159" s="139">
        <v>20</v>
      </c>
      <c r="AH159" s="140">
        <v>10</v>
      </c>
      <c r="AI159" s="141">
        <v>55</v>
      </c>
      <c r="AJ159" s="142">
        <v>15</v>
      </c>
      <c r="AK159" s="143">
        <v>20</v>
      </c>
      <c r="AL159" s="144">
        <v>80</v>
      </c>
      <c r="AM159" s="138">
        <v>200</v>
      </c>
      <c r="AN159" s="153">
        <v>33.33</v>
      </c>
      <c r="AO159" s="139">
        <v>20</v>
      </c>
      <c r="AP159" s="140">
        <v>10</v>
      </c>
      <c r="AQ159" s="141">
        <v>55</v>
      </c>
      <c r="AR159" s="162">
        <v>20</v>
      </c>
      <c r="AS159" s="162">
        <v>20</v>
      </c>
      <c r="AT159" s="144">
        <v>80</v>
      </c>
      <c r="AU159" s="138">
        <f>SUM(AO159:AT159)</f>
        <v>205</v>
      </c>
      <c r="AV159" s="153">
        <f>AU159/6</f>
        <v>34.166666666666664</v>
      </c>
      <c r="AW159" s="45"/>
      <c r="AX159" s="174" t="b">
        <f>IF('Refined Compare'!$D$2="All",TRUE,IF(F159='Refined Compare'!$D$2,TRUE,IF(G159='Refined Compare'!$D$2,TRUE,FALSE)))</f>
        <v>0</v>
      </c>
      <c r="AY159" s="174" t="b">
        <f>IF('Refined Compare'!$D$3="All",TRUE,IF(F159='Refined Compare'!$D$3,TRUE,IF(G159='Refined Compare'!$D$3,TRUE,FALSE)))</f>
        <v>1</v>
      </c>
      <c r="AZ159" s="174" t="b">
        <f t="shared" si="63"/>
        <v>1</v>
      </c>
    </row>
    <row r="160" spans="1:52" x14ac:dyDescent="0.35">
      <c r="A160">
        <f t="shared" si="64"/>
        <v>159</v>
      </c>
      <c r="B160" s="18">
        <v>130</v>
      </c>
      <c r="C160" s="61">
        <v>1</v>
      </c>
      <c r="D160" s="61" t="b">
        <f>IF($AW$2&lt;6,TRUE,FALSE)</f>
        <v>1</v>
      </c>
      <c r="E160" s="61"/>
      <c r="F160" s="66" t="s">
        <v>810</v>
      </c>
      <c r="G160" s="66" t="s">
        <v>809</v>
      </c>
      <c r="H160" s="2" t="s">
        <v>529</v>
      </c>
      <c r="I160" s="39">
        <f t="shared" si="69"/>
        <v>95</v>
      </c>
      <c r="J160" s="40">
        <f t="shared" si="70"/>
        <v>125</v>
      </c>
      <c r="K160" s="41">
        <f t="shared" si="71"/>
        <v>79</v>
      </c>
      <c r="L160" s="42">
        <f t="shared" si="72"/>
        <v>60</v>
      </c>
      <c r="M160" s="43">
        <f t="shared" si="73"/>
        <v>100</v>
      </c>
      <c r="N160" s="44">
        <f t="shared" si="74"/>
        <v>81</v>
      </c>
      <c r="O160" s="45">
        <f t="shared" si="75"/>
        <v>540</v>
      </c>
      <c r="P160" s="19">
        <f t="shared" si="76"/>
        <v>90</v>
      </c>
      <c r="Q160" s="177">
        <v>95</v>
      </c>
      <c r="R160" s="40">
        <v>125</v>
      </c>
      <c r="S160" s="41">
        <v>79</v>
      </c>
      <c r="T160" s="42">
        <v>60</v>
      </c>
      <c r="U160" s="43">
        <v>100</v>
      </c>
      <c r="V160" s="44">
        <v>81</v>
      </c>
      <c r="W160" s="45">
        <f t="shared" si="67"/>
        <v>540</v>
      </c>
      <c r="X160" s="19">
        <f t="shared" si="68"/>
        <v>90</v>
      </c>
      <c r="Y160" s="3">
        <v>95</v>
      </c>
      <c r="Z160" s="4">
        <v>125</v>
      </c>
      <c r="AA160" s="5">
        <v>79</v>
      </c>
      <c r="AB160" s="6">
        <v>60</v>
      </c>
      <c r="AC160" s="7">
        <v>100</v>
      </c>
      <c r="AD160" s="8">
        <v>81</v>
      </c>
      <c r="AE160" s="1">
        <v>540</v>
      </c>
      <c r="AF160" s="19">
        <v>90</v>
      </c>
      <c r="AG160" s="139">
        <v>95</v>
      </c>
      <c r="AH160" s="140">
        <v>125</v>
      </c>
      <c r="AI160" s="141">
        <v>79</v>
      </c>
      <c r="AJ160" s="142">
        <v>60</v>
      </c>
      <c r="AK160" s="143">
        <v>100</v>
      </c>
      <c r="AL160" s="144">
        <v>81</v>
      </c>
      <c r="AM160" s="138">
        <v>540</v>
      </c>
      <c r="AN160" s="153">
        <v>90</v>
      </c>
      <c r="AO160" s="139">
        <v>95</v>
      </c>
      <c r="AP160" s="140">
        <v>125</v>
      </c>
      <c r="AQ160" s="141">
        <v>79</v>
      </c>
      <c r="AR160" s="162">
        <v>100</v>
      </c>
      <c r="AS160" s="162">
        <v>100</v>
      </c>
      <c r="AT160" s="144">
        <v>81</v>
      </c>
      <c r="AU160" s="138">
        <f>SUM(AO160:AT160)</f>
        <v>580</v>
      </c>
      <c r="AV160" s="153">
        <f>AU160/6</f>
        <v>96.666666666666671</v>
      </c>
      <c r="AW160" s="45"/>
      <c r="AX160" s="174" t="b">
        <f>IF('Refined Compare'!$D$2="All",TRUE,IF(F160='Refined Compare'!$D$2,TRUE,IF(G160='Refined Compare'!$D$2,TRUE,FALSE)))</f>
        <v>0</v>
      </c>
      <c r="AY160" s="174" t="b">
        <f>IF('Refined Compare'!$D$3="All",TRUE,IF(F160='Refined Compare'!$D$3,TRUE,IF(G160='Refined Compare'!$D$3,TRUE,FALSE)))</f>
        <v>0</v>
      </c>
      <c r="AZ160" s="174" t="b">
        <f t="shared" si="63"/>
        <v>1</v>
      </c>
    </row>
    <row r="161" spans="1:52" x14ac:dyDescent="0.35">
      <c r="A161">
        <f t="shared" si="64"/>
        <v>160</v>
      </c>
      <c r="B161" s="62">
        <v>130</v>
      </c>
      <c r="C161" s="61">
        <v>6</v>
      </c>
      <c r="D161" s="118" t="b">
        <f>IF(AZ161,TRUE,FALSE)</f>
        <v>0</v>
      </c>
      <c r="E161" s="61" t="s">
        <v>801</v>
      </c>
      <c r="F161" s="66" t="s">
        <v>810</v>
      </c>
      <c r="G161" s="66" t="s">
        <v>823</v>
      </c>
      <c r="H161" s="2" t="s">
        <v>530</v>
      </c>
      <c r="I161" s="39">
        <f t="shared" si="69"/>
        <v>0</v>
      </c>
      <c r="J161" s="40">
        <f t="shared" si="70"/>
        <v>0</v>
      </c>
      <c r="K161" s="41">
        <f t="shared" si="71"/>
        <v>0</v>
      </c>
      <c r="L161" s="42">
        <f t="shared" si="72"/>
        <v>0</v>
      </c>
      <c r="M161" s="43">
        <f t="shared" si="73"/>
        <v>0</v>
      </c>
      <c r="N161" s="44">
        <f t="shared" si="74"/>
        <v>0</v>
      </c>
      <c r="O161" s="45">
        <f t="shared" si="75"/>
        <v>0</v>
      </c>
      <c r="P161" s="19">
        <f t="shared" si="76"/>
        <v>0</v>
      </c>
      <c r="Q161" s="177">
        <v>95</v>
      </c>
      <c r="R161" s="40">
        <v>155</v>
      </c>
      <c r="S161" s="41">
        <v>109</v>
      </c>
      <c r="T161" s="42">
        <v>70</v>
      </c>
      <c r="U161" s="43">
        <v>130</v>
      </c>
      <c r="V161" s="44">
        <v>81</v>
      </c>
      <c r="W161" s="45">
        <f t="shared" si="67"/>
        <v>640</v>
      </c>
      <c r="X161" s="19">
        <f t="shared" si="68"/>
        <v>106.67</v>
      </c>
      <c r="Y161" s="3">
        <v>95</v>
      </c>
      <c r="Z161" s="4">
        <v>155</v>
      </c>
      <c r="AA161" s="5">
        <v>109</v>
      </c>
      <c r="AB161" s="6">
        <v>70</v>
      </c>
      <c r="AC161" s="7">
        <v>130</v>
      </c>
      <c r="AD161" s="8">
        <v>81</v>
      </c>
      <c r="AE161" s="1">
        <v>640</v>
      </c>
      <c r="AF161" s="19">
        <v>106.67</v>
      </c>
      <c r="AN161" s="172"/>
      <c r="AV161" s="172"/>
      <c r="AW161" s="45"/>
      <c r="AX161" s="174" t="b">
        <f>IF('Refined Compare'!$D$2="All",TRUE,IF(F161='Refined Compare'!$D$2,TRUE,IF(G161='Refined Compare'!$D$2,TRUE,FALSE)))</f>
        <v>1</v>
      </c>
      <c r="AY161" s="174" t="b">
        <f>IF('Refined Compare'!$D$3="All",TRUE,IF(F161='Refined Compare'!$D$3,TRUE,IF(G161='Refined Compare'!$D$3,TRUE,FALSE)))</f>
        <v>0</v>
      </c>
      <c r="AZ161" s="174" t="b">
        <f t="shared" si="63"/>
        <v>0</v>
      </c>
    </row>
    <row r="162" spans="1:52" x14ac:dyDescent="0.35">
      <c r="A162">
        <f t="shared" si="64"/>
        <v>161</v>
      </c>
      <c r="B162" s="18">
        <v>131</v>
      </c>
      <c r="C162" s="61">
        <v>1</v>
      </c>
      <c r="D162" s="118" t="b">
        <v>1</v>
      </c>
      <c r="E162" s="61"/>
      <c r="F162" s="66" t="s">
        <v>810</v>
      </c>
      <c r="G162" s="66" t="s">
        <v>820</v>
      </c>
      <c r="H162" s="2" t="s">
        <v>319</v>
      </c>
      <c r="I162" s="39">
        <f t="shared" si="69"/>
        <v>130</v>
      </c>
      <c r="J162" s="40">
        <f t="shared" si="70"/>
        <v>85</v>
      </c>
      <c r="K162" s="41">
        <f t="shared" si="71"/>
        <v>80</v>
      </c>
      <c r="L162" s="42">
        <f t="shared" si="72"/>
        <v>85</v>
      </c>
      <c r="M162" s="43">
        <f t="shared" si="73"/>
        <v>95</v>
      </c>
      <c r="N162" s="44">
        <f t="shared" si="74"/>
        <v>60</v>
      </c>
      <c r="O162" s="45">
        <f t="shared" si="75"/>
        <v>535</v>
      </c>
      <c r="P162" s="19">
        <f t="shared" si="76"/>
        <v>89.17</v>
      </c>
      <c r="Q162" s="177">
        <v>130</v>
      </c>
      <c r="R162" s="40">
        <v>85</v>
      </c>
      <c r="S162" s="41">
        <v>80</v>
      </c>
      <c r="T162" s="42">
        <v>85</v>
      </c>
      <c r="U162" s="43">
        <v>95</v>
      </c>
      <c r="V162" s="44">
        <v>60</v>
      </c>
      <c r="W162" s="45">
        <f t="shared" si="67"/>
        <v>535</v>
      </c>
      <c r="X162" s="19">
        <f t="shared" si="68"/>
        <v>89.17</v>
      </c>
      <c r="Y162" s="3">
        <v>130</v>
      </c>
      <c r="Z162" s="4">
        <v>85</v>
      </c>
      <c r="AA162" s="5">
        <v>80</v>
      </c>
      <c r="AB162" s="6">
        <v>85</v>
      </c>
      <c r="AC162" s="7">
        <v>95</v>
      </c>
      <c r="AD162" s="8">
        <v>60</v>
      </c>
      <c r="AE162" s="1">
        <v>535</v>
      </c>
      <c r="AF162" s="19">
        <v>89.17</v>
      </c>
      <c r="AG162" s="139">
        <v>130</v>
      </c>
      <c r="AH162" s="140">
        <v>85</v>
      </c>
      <c r="AI162" s="141">
        <v>80</v>
      </c>
      <c r="AJ162" s="142">
        <v>85</v>
      </c>
      <c r="AK162" s="143">
        <v>95</v>
      </c>
      <c r="AL162" s="144">
        <v>60</v>
      </c>
      <c r="AM162" s="138">
        <v>535</v>
      </c>
      <c r="AN162" s="153">
        <v>89.17</v>
      </c>
      <c r="AO162" s="139">
        <v>130</v>
      </c>
      <c r="AP162" s="140">
        <v>85</v>
      </c>
      <c r="AQ162" s="141">
        <v>80</v>
      </c>
      <c r="AR162" s="162">
        <v>95</v>
      </c>
      <c r="AS162" s="162">
        <v>95</v>
      </c>
      <c r="AT162" s="144">
        <v>60</v>
      </c>
      <c r="AU162" s="138">
        <f t="shared" ref="AU162:AU173" si="77">SUM(AO162:AT162)</f>
        <v>545</v>
      </c>
      <c r="AV162" s="153">
        <f t="shared" ref="AV162:AV173" si="78">AU162/6</f>
        <v>90.833333333333329</v>
      </c>
      <c r="AW162" s="45"/>
      <c r="AX162" s="174" t="b">
        <f>IF('Refined Compare'!$D$2="All",TRUE,IF(F162='Refined Compare'!$D$2,TRUE,IF(G162='Refined Compare'!$D$2,TRUE,FALSE)))</f>
        <v>0</v>
      </c>
      <c r="AY162" s="174" t="b">
        <f>IF('Refined Compare'!$D$3="All",TRUE,IF(F162='Refined Compare'!$D$3,TRUE,IF(G162='Refined Compare'!$D$3,TRUE,FALSE)))</f>
        <v>0</v>
      </c>
      <c r="AZ162" s="174" t="b">
        <f t="shared" si="63"/>
        <v>1</v>
      </c>
    </row>
    <row r="163" spans="1:52" x14ac:dyDescent="0.35">
      <c r="A163">
        <f t="shared" si="64"/>
        <v>162</v>
      </c>
      <c r="B163" s="18">
        <v>132</v>
      </c>
      <c r="C163" s="61">
        <v>1</v>
      </c>
      <c r="D163" s="118" t="b">
        <v>1</v>
      </c>
      <c r="E163" s="61"/>
      <c r="F163" s="66" t="s">
        <v>812</v>
      </c>
      <c r="G163" s="66" t="s">
        <v>827</v>
      </c>
      <c r="H163" s="2" t="s">
        <v>204</v>
      </c>
      <c r="I163" s="39">
        <f t="shared" si="69"/>
        <v>48</v>
      </c>
      <c r="J163" s="40">
        <f t="shared" si="70"/>
        <v>48</v>
      </c>
      <c r="K163" s="41">
        <f t="shared" si="71"/>
        <v>48</v>
      </c>
      <c r="L163" s="42">
        <f t="shared" si="72"/>
        <v>48</v>
      </c>
      <c r="M163" s="43">
        <f t="shared" si="73"/>
        <v>48</v>
      </c>
      <c r="N163" s="44">
        <f t="shared" si="74"/>
        <v>48</v>
      </c>
      <c r="O163" s="45">
        <f t="shared" si="75"/>
        <v>288</v>
      </c>
      <c r="P163" s="19">
        <f t="shared" si="76"/>
        <v>48</v>
      </c>
      <c r="Q163" s="177">
        <v>48</v>
      </c>
      <c r="R163" s="40">
        <v>48</v>
      </c>
      <c r="S163" s="41">
        <v>48</v>
      </c>
      <c r="T163" s="42">
        <v>48</v>
      </c>
      <c r="U163" s="43">
        <v>48</v>
      </c>
      <c r="V163" s="44">
        <v>48</v>
      </c>
      <c r="W163" s="45">
        <f t="shared" si="67"/>
        <v>288</v>
      </c>
      <c r="X163" s="19">
        <f t="shared" si="68"/>
        <v>48</v>
      </c>
      <c r="Y163" s="3">
        <v>48</v>
      </c>
      <c r="Z163" s="4">
        <v>48</v>
      </c>
      <c r="AA163" s="5">
        <v>48</v>
      </c>
      <c r="AB163" s="6">
        <v>48</v>
      </c>
      <c r="AC163" s="7">
        <v>48</v>
      </c>
      <c r="AD163" s="8">
        <v>48</v>
      </c>
      <c r="AE163" s="1">
        <v>288</v>
      </c>
      <c r="AF163" s="19">
        <v>48</v>
      </c>
      <c r="AG163" s="139">
        <v>48</v>
      </c>
      <c r="AH163" s="140">
        <v>48</v>
      </c>
      <c r="AI163" s="141">
        <v>48</v>
      </c>
      <c r="AJ163" s="142">
        <v>48</v>
      </c>
      <c r="AK163" s="143">
        <v>48</v>
      </c>
      <c r="AL163" s="144">
        <v>48</v>
      </c>
      <c r="AM163" s="138">
        <v>288</v>
      </c>
      <c r="AN163" s="153">
        <v>48</v>
      </c>
      <c r="AO163" s="139">
        <v>48</v>
      </c>
      <c r="AP163" s="140">
        <v>48</v>
      </c>
      <c r="AQ163" s="141">
        <v>48</v>
      </c>
      <c r="AR163" s="162">
        <v>48</v>
      </c>
      <c r="AS163" s="162">
        <v>48</v>
      </c>
      <c r="AT163" s="144">
        <v>48</v>
      </c>
      <c r="AU163" s="138">
        <f t="shared" si="77"/>
        <v>288</v>
      </c>
      <c r="AV163" s="153">
        <f t="shared" si="78"/>
        <v>48</v>
      </c>
      <c r="AW163" s="45"/>
      <c r="AX163" s="174" t="b">
        <f>IF('Refined Compare'!$D$2="All",TRUE,IF(F163='Refined Compare'!$D$2,TRUE,IF(G163='Refined Compare'!$D$2,TRUE,FALSE)))</f>
        <v>0</v>
      </c>
      <c r="AY163" s="174" t="b">
        <f>IF('Refined Compare'!$D$3="All",TRUE,IF(F163='Refined Compare'!$D$3,TRUE,IF(G163='Refined Compare'!$D$3,TRUE,FALSE)))</f>
        <v>1</v>
      </c>
      <c r="AZ163" s="174" t="b">
        <f t="shared" si="63"/>
        <v>1</v>
      </c>
    </row>
    <row r="164" spans="1:52" x14ac:dyDescent="0.35">
      <c r="A164">
        <f t="shared" si="64"/>
        <v>163</v>
      </c>
      <c r="B164" s="18">
        <v>133</v>
      </c>
      <c r="C164" s="61">
        <v>1</v>
      </c>
      <c r="D164" s="61" t="b">
        <v>0</v>
      </c>
      <c r="E164" s="61"/>
      <c r="F164" s="66" t="s">
        <v>812</v>
      </c>
      <c r="G164" s="66" t="s">
        <v>827</v>
      </c>
      <c r="H164" s="2" t="s">
        <v>270</v>
      </c>
      <c r="I164" s="39">
        <f t="shared" si="69"/>
        <v>55</v>
      </c>
      <c r="J164" s="40">
        <f t="shared" si="70"/>
        <v>55</v>
      </c>
      <c r="K164" s="41">
        <f t="shared" si="71"/>
        <v>50</v>
      </c>
      <c r="L164" s="42">
        <f t="shared" si="72"/>
        <v>45</v>
      </c>
      <c r="M164" s="43">
        <f t="shared" si="73"/>
        <v>65</v>
      </c>
      <c r="N164" s="44">
        <f t="shared" si="74"/>
        <v>55</v>
      </c>
      <c r="O164" s="45">
        <f t="shared" si="75"/>
        <v>325</v>
      </c>
      <c r="P164" s="19">
        <f t="shared" si="76"/>
        <v>54.17</v>
      </c>
      <c r="Q164" s="177">
        <v>55</v>
      </c>
      <c r="R164" s="40">
        <v>55</v>
      </c>
      <c r="S164" s="41">
        <v>50</v>
      </c>
      <c r="T164" s="42">
        <v>45</v>
      </c>
      <c r="U164" s="43">
        <v>65</v>
      </c>
      <c r="V164" s="44">
        <v>55</v>
      </c>
      <c r="W164" s="45">
        <f t="shared" si="67"/>
        <v>325</v>
      </c>
      <c r="X164" s="19">
        <f t="shared" si="68"/>
        <v>54.17</v>
      </c>
      <c r="Y164" s="3">
        <v>55</v>
      </c>
      <c r="Z164" s="4">
        <v>55</v>
      </c>
      <c r="AA164" s="5">
        <v>50</v>
      </c>
      <c r="AB164" s="6">
        <v>45</v>
      </c>
      <c r="AC164" s="7">
        <v>65</v>
      </c>
      <c r="AD164" s="8">
        <v>55</v>
      </c>
      <c r="AE164" s="1">
        <v>325</v>
      </c>
      <c r="AF164" s="19">
        <v>54.17</v>
      </c>
      <c r="AG164" s="139">
        <v>55</v>
      </c>
      <c r="AH164" s="140">
        <v>55</v>
      </c>
      <c r="AI164" s="141">
        <v>50</v>
      </c>
      <c r="AJ164" s="142">
        <v>45</v>
      </c>
      <c r="AK164" s="143">
        <v>65</v>
      </c>
      <c r="AL164" s="144">
        <v>55</v>
      </c>
      <c r="AM164" s="138">
        <v>325</v>
      </c>
      <c r="AN164" s="153">
        <v>54.17</v>
      </c>
      <c r="AO164" s="139">
        <v>55</v>
      </c>
      <c r="AP164" s="140">
        <v>55</v>
      </c>
      <c r="AQ164" s="141">
        <v>50</v>
      </c>
      <c r="AR164" s="162">
        <v>65</v>
      </c>
      <c r="AS164" s="162">
        <v>65</v>
      </c>
      <c r="AT164" s="144">
        <v>55</v>
      </c>
      <c r="AU164" s="138">
        <f t="shared" si="77"/>
        <v>345</v>
      </c>
      <c r="AV164" s="153">
        <f t="shared" si="78"/>
        <v>57.5</v>
      </c>
      <c r="AW164" s="45"/>
      <c r="AX164" s="174" t="b">
        <f>IF('Refined Compare'!$D$2="All",TRUE,IF(F164='Refined Compare'!$D$2,TRUE,IF(G164='Refined Compare'!$D$2,TRUE,FALSE)))</f>
        <v>0</v>
      </c>
      <c r="AY164" s="174" t="b">
        <f>IF('Refined Compare'!$D$3="All",TRUE,IF(F164='Refined Compare'!$D$3,TRUE,IF(G164='Refined Compare'!$D$3,TRUE,FALSE)))</f>
        <v>1</v>
      </c>
      <c r="AZ164" s="174" t="b">
        <f t="shared" si="63"/>
        <v>1</v>
      </c>
    </row>
    <row r="165" spans="1:52" x14ac:dyDescent="0.35">
      <c r="A165">
        <f t="shared" si="64"/>
        <v>164</v>
      </c>
      <c r="B165" s="18">
        <v>134</v>
      </c>
      <c r="C165" s="61">
        <v>1</v>
      </c>
      <c r="D165" s="118" t="b">
        <v>1</v>
      </c>
      <c r="E165" s="61"/>
      <c r="F165" s="66" t="s">
        <v>810</v>
      </c>
      <c r="G165" s="66" t="s">
        <v>827</v>
      </c>
      <c r="H165" s="2" t="s">
        <v>370</v>
      </c>
      <c r="I165" s="39">
        <f t="shared" si="69"/>
        <v>130</v>
      </c>
      <c r="J165" s="40">
        <f t="shared" si="70"/>
        <v>65</v>
      </c>
      <c r="K165" s="41">
        <f t="shared" si="71"/>
        <v>60</v>
      </c>
      <c r="L165" s="42">
        <f t="shared" si="72"/>
        <v>110</v>
      </c>
      <c r="M165" s="43">
        <f t="shared" si="73"/>
        <v>95</v>
      </c>
      <c r="N165" s="44">
        <f t="shared" si="74"/>
        <v>65</v>
      </c>
      <c r="O165" s="45">
        <f t="shared" si="75"/>
        <v>525</v>
      </c>
      <c r="P165" s="19">
        <f t="shared" si="76"/>
        <v>87.5</v>
      </c>
      <c r="Q165" s="177">
        <v>130</v>
      </c>
      <c r="R165" s="40">
        <v>65</v>
      </c>
      <c r="S165" s="41">
        <v>60</v>
      </c>
      <c r="T165" s="42">
        <v>110</v>
      </c>
      <c r="U165" s="43">
        <v>95</v>
      </c>
      <c r="V165" s="44">
        <v>65</v>
      </c>
      <c r="W165" s="45">
        <f t="shared" si="67"/>
        <v>525</v>
      </c>
      <c r="X165" s="19">
        <f t="shared" si="68"/>
        <v>87.5</v>
      </c>
      <c r="Y165" s="3">
        <v>130</v>
      </c>
      <c r="Z165" s="4">
        <v>65</v>
      </c>
      <c r="AA165" s="5">
        <v>60</v>
      </c>
      <c r="AB165" s="6">
        <v>110</v>
      </c>
      <c r="AC165" s="7">
        <v>95</v>
      </c>
      <c r="AD165" s="8">
        <v>65</v>
      </c>
      <c r="AE165" s="1">
        <v>525</v>
      </c>
      <c r="AF165" s="19">
        <v>87.5</v>
      </c>
      <c r="AG165" s="139">
        <v>130</v>
      </c>
      <c r="AH165" s="140">
        <v>65</v>
      </c>
      <c r="AI165" s="141">
        <v>60</v>
      </c>
      <c r="AJ165" s="142">
        <v>110</v>
      </c>
      <c r="AK165" s="143">
        <v>95</v>
      </c>
      <c r="AL165" s="144">
        <v>65</v>
      </c>
      <c r="AM165" s="138">
        <v>525</v>
      </c>
      <c r="AN165" s="153">
        <v>87.5</v>
      </c>
      <c r="AO165" s="139">
        <v>130</v>
      </c>
      <c r="AP165" s="140">
        <v>65</v>
      </c>
      <c r="AQ165" s="141">
        <v>60</v>
      </c>
      <c r="AR165" s="162">
        <v>110</v>
      </c>
      <c r="AS165" s="162">
        <v>110</v>
      </c>
      <c r="AT165" s="144">
        <v>65</v>
      </c>
      <c r="AU165" s="138">
        <f t="shared" si="77"/>
        <v>540</v>
      </c>
      <c r="AV165" s="153">
        <f t="shared" si="78"/>
        <v>90</v>
      </c>
      <c r="AW165" s="45"/>
      <c r="AX165" s="174" t="b">
        <f>IF('Refined Compare'!$D$2="All",TRUE,IF(F165='Refined Compare'!$D$2,TRUE,IF(G165='Refined Compare'!$D$2,TRUE,FALSE)))</f>
        <v>0</v>
      </c>
      <c r="AY165" s="174" t="b">
        <f>IF('Refined Compare'!$D$3="All",TRUE,IF(F165='Refined Compare'!$D$3,TRUE,IF(G165='Refined Compare'!$D$3,TRUE,FALSE)))</f>
        <v>1</v>
      </c>
      <c r="AZ165" s="174" t="b">
        <f t="shared" si="63"/>
        <v>1</v>
      </c>
    </row>
    <row r="166" spans="1:52" x14ac:dyDescent="0.35">
      <c r="A166">
        <f t="shared" si="64"/>
        <v>165</v>
      </c>
      <c r="B166" s="18">
        <v>135</v>
      </c>
      <c r="C166" s="61">
        <v>1</v>
      </c>
      <c r="D166" s="118" t="b">
        <v>1</v>
      </c>
      <c r="E166" s="61"/>
      <c r="F166" s="66" t="s">
        <v>813</v>
      </c>
      <c r="G166" s="66" t="s">
        <v>827</v>
      </c>
      <c r="H166" s="2" t="s">
        <v>763</v>
      </c>
      <c r="I166" s="39">
        <f t="shared" si="69"/>
        <v>65</v>
      </c>
      <c r="J166" s="40">
        <f t="shared" si="70"/>
        <v>65</v>
      </c>
      <c r="K166" s="41">
        <f t="shared" si="71"/>
        <v>60</v>
      </c>
      <c r="L166" s="42">
        <f t="shared" si="72"/>
        <v>110</v>
      </c>
      <c r="M166" s="43">
        <f t="shared" si="73"/>
        <v>95</v>
      </c>
      <c r="N166" s="44">
        <f t="shared" si="74"/>
        <v>130</v>
      </c>
      <c r="O166" s="45">
        <f t="shared" si="75"/>
        <v>525</v>
      </c>
      <c r="P166" s="19">
        <f t="shared" si="76"/>
        <v>87.5</v>
      </c>
      <c r="Q166" s="177">
        <v>65</v>
      </c>
      <c r="R166" s="40">
        <v>65</v>
      </c>
      <c r="S166" s="41">
        <v>60</v>
      </c>
      <c r="T166" s="42">
        <v>110</v>
      </c>
      <c r="U166" s="43">
        <v>95</v>
      </c>
      <c r="V166" s="44">
        <v>130</v>
      </c>
      <c r="W166" s="45">
        <f t="shared" si="67"/>
        <v>525</v>
      </c>
      <c r="X166" s="19">
        <f t="shared" si="68"/>
        <v>87.5</v>
      </c>
      <c r="Y166" s="3">
        <v>65</v>
      </c>
      <c r="Z166" s="4">
        <v>65</v>
      </c>
      <c r="AA166" s="5">
        <v>60</v>
      </c>
      <c r="AB166" s="6">
        <v>110</v>
      </c>
      <c r="AC166" s="7">
        <v>95</v>
      </c>
      <c r="AD166" s="8">
        <v>130</v>
      </c>
      <c r="AE166" s="1">
        <v>525</v>
      </c>
      <c r="AF166" s="19">
        <v>87.5</v>
      </c>
      <c r="AG166" s="139">
        <v>65</v>
      </c>
      <c r="AH166" s="140">
        <v>65</v>
      </c>
      <c r="AI166" s="141">
        <v>60</v>
      </c>
      <c r="AJ166" s="142">
        <v>110</v>
      </c>
      <c r="AK166" s="143">
        <v>95</v>
      </c>
      <c r="AL166" s="144">
        <v>130</v>
      </c>
      <c r="AM166" s="138">
        <v>525</v>
      </c>
      <c r="AN166" s="153">
        <v>87.5</v>
      </c>
      <c r="AO166" s="139">
        <v>65</v>
      </c>
      <c r="AP166" s="140">
        <v>65</v>
      </c>
      <c r="AQ166" s="141">
        <v>60</v>
      </c>
      <c r="AR166" s="162">
        <v>110</v>
      </c>
      <c r="AS166" s="162">
        <v>110</v>
      </c>
      <c r="AT166" s="144">
        <v>130</v>
      </c>
      <c r="AU166" s="138">
        <f t="shared" si="77"/>
        <v>540</v>
      </c>
      <c r="AV166" s="153">
        <f t="shared" si="78"/>
        <v>90</v>
      </c>
      <c r="AW166" s="45"/>
      <c r="AX166" s="174" t="b">
        <f>IF('Refined Compare'!$D$2="All",TRUE,IF(F166='Refined Compare'!$D$2,TRUE,IF(G166='Refined Compare'!$D$2,TRUE,FALSE)))</f>
        <v>0</v>
      </c>
      <c r="AY166" s="174" t="b">
        <f>IF('Refined Compare'!$D$3="All",TRUE,IF(F166='Refined Compare'!$D$3,TRUE,IF(G166='Refined Compare'!$D$3,TRUE,FALSE)))</f>
        <v>1</v>
      </c>
      <c r="AZ166" s="174" t="b">
        <f t="shared" si="63"/>
        <v>1</v>
      </c>
    </row>
    <row r="167" spans="1:52" x14ac:dyDescent="0.35">
      <c r="A167">
        <f t="shared" si="64"/>
        <v>166</v>
      </c>
      <c r="B167" s="18">
        <v>136</v>
      </c>
      <c r="C167" s="61">
        <v>1</v>
      </c>
      <c r="D167" s="118" t="b">
        <v>1</v>
      </c>
      <c r="E167" s="61"/>
      <c r="F167" s="66" t="s">
        <v>808</v>
      </c>
      <c r="G167" s="66" t="s">
        <v>827</v>
      </c>
      <c r="H167" s="2" t="s">
        <v>371</v>
      </c>
      <c r="I167" s="39">
        <f t="shared" si="69"/>
        <v>65</v>
      </c>
      <c r="J167" s="40">
        <f t="shared" si="70"/>
        <v>130</v>
      </c>
      <c r="K167" s="41">
        <f t="shared" si="71"/>
        <v>60</v>
      </c>
      <c r="L167" s="42">
        <f t="shared" si="72"/>
        <v>95</v>
      </c>
      <c r="M167" s="43">
        <f t="shared" si="73"/>
        <v>110</v>
      </c>
      <c r="N167" s="44">
        <f t="shared" si="74"/>
        <v>65</v>
      </c>
      <c r="O167" s="45">
        <f t="shared" si="75"/>
        <v>525</v>
      </c>
      <c r="P167" s="19">
        <f t="shared" si="76"/>
        <v>87.5</v>
      </c>
      <c r="Q167" s="177">
        <v>65</v>
      </c>
      <c r="R167" s="40">
        <v>130</v>
      </c>
      <c r="S167" s="41">
        <v>60</v>
      </c>
      <c r="T167" s="42">
        <v>95</v>
      </c>
      <c r="U167" s="43">
        <v>110</v>
      </c>
      <c r="V167" s="44">
        <v>65</v>
      </c>
      <c r="W167" s="45">
        <f t="shared" si="67"/>
        <v>525</v>
      </c>
      <c r="X167" s="19">
        <f t="shared" si="68"/>
        <v>87.5</v>
      </c>
      <c r="Y167" s="3">
        <v>65</v>
      </c>
      <c r="Z167" s="4">
        <v>130</v>
      </c>
      <c r="AA167" s="5">
        <v>60</v>
      </c>
      <c r="AB167" s="6">
        <v>95</v>
      </c>
      <c r="AC167" s="7">
        <v>110</v>
      </c>
      <c r="AD167" s="8">
        <v>65</v>
      </c>
      <c r="AE167" s="1">
        <v>525</v>
      </c>
      <c r="AF167" s="19">
        <v>87.5</v>
      </c>
      <c r="AG167" s="139">
        <v>65</v>
      </c>
      <c r="AH167" s="140">
        <v>130</v>
      </c>
      <c r="AI167" s="141">
        <v>60</v>
      </c>
      <c r="AJ167" s="142">
        <v>95</v>
      </c>
      <c r="AK167" s="143">
        <v>110</v>
      </c>
      <c r="AL167" s="144">
        <v>65</v>
      </c>
      <c r="AM167" s="138">
        <v>525</v>
      </c>
      <c r="AN167" s="153">
        <v>87.5</v>
      </c>
      <c r="AO167" s="139">
        <v>65</v>
      </c>
      <c r="AP167" s="140">
        <v>130</v>
      </c>
      <c r="AQ167" s="141">
        <v>60</v>
      </c>
      <c r="AR167" s="162">
        <v>110</v>
      </c>
      <c r="AS167" s="162">
        <v>110</v>
      </c>
      <c r="AT167" s="144">
        <v>65</v>
      </c>
      <c r="AU167" s="138">
        <f t="shared" si="77"/>
        <v>540</v>
      </c>
      <c r="AV167" s="153">
        <f t="shared" si="78"/>
        <v>90</v>
      </c>
      <c r="AW167" s="45"/>
      <c r="AX167" s="174" t="b">
        <f>IF('Refined Compare'!$D$2="All",TRUE,IF(F167='Refined Compare'!$D$2,TRUE,IF(G167='Refined Compare'!$D$2,TRUE,FALSE)))</f>
        <v>0</v>
      </c>
      <c r="AY167" s="174" t="b">
        <f>IF('Refined Compare'!$D$3="All",TRUE,IF(F167='Refined Compare'!$D$3,TRUE,IF(G167='Refined Compare'!$D$3,TRUE,FALSE)))</f>
        <v>1</v>
      </c>
      <c r="AZ167" s="174" t="b">
        <f t="shared" si="63"/>
        <v>1</v>
      </c>
    </row>
    <row r="168" spans="1:52" x14ac:dyDescent="0.35">
      <c r="A168">
        <f t="shared" si="64"/>
        <v>167</v>
      </c>
      <c r="B168" s="18">
        <v>137</v>
      </c>
      <c r="C168" s="61">
        <v>1</v>
      </c>
      <c r="D168" s="118" t="b">
        <f>IF($AW$2&lt;2,TRUE,FALSE)</f>
        <v>0</v>
      </c>
      <c r="E168" s="61"/>
      <c r="F168" s="66" t="s">
        <v>812</v>
      </c>
      <c r="G168" s="66" t="s">
        <v>827</v>
      </c>
      <c r="H168" s="2" t="s">
        <v>129</v>
      </c>
      <c r="I168" s="39">
        <f t="shared" si="69"/>
        <v>65</v>
      </c>
      <c r="J168" s="40">
        <f t="shared" si="70"/>
        <v>60</v>
      </c>
      <c r="K168" s="41">
        <f t="shared" si="71"/>
        <v>70</v>
      </c>
      <c r="L168" s="42">
        <f t="shared" si="72"/>
        <v>85</v>
      </c>
      <c r="M168" s="43">
        <f t="shared" si="73"/>
        <v>75</v>
      </c>
      <c r="N168" s="44">
        <f t="shared" si="74"/>
        <v>40</v>
      </c>
      <c r="O168" s="45">
        <f t="shared" si="75"/>
        <v>395</v>
      </c>
      <c r="P168" s="19">
        <f t="shared" si="76"/>
        <v>65.83</v>
      </c>
      <c r="Q168" s="177">
        <v>65</v>
      </c>
      <c r="R168" s="40">
        <v>60</v>
      </c>
      <c r="S168" s="41">
        <v>70</v>
      </c>
      <c r="T168" s="42">
        <v>85</v>
      </c>
      <c r="U168" s="43">
        <v>75</v>
      </c>
      <c r="V168" s="44">
        <v>40</v>
      </c>
      <c r="W168" s="45">
        <f t="shared" si="67"/>
        <v>395</v>
      </c>
      <c r="X168" s="19">
        <f t="shared" si="68"/>
        <v>65.83</v>
      </c>
      <c r="Y168" s="3">
        <v>65</v>
      </c>
      <c r="Z168" s="4">
        <v>60</v>
      </c>
      <c r="AA168" s="5">
        <v>70</v>
      </c>
      <c r="AB168" s="6">
        <v>85</v>
      </c>
      <c r="AC168" s="7">
        <v>75</v>
      </c>
      <c r="AD168" s="8">
        <v>40</v>
      </c>
      <c r="AE168" s="1">
        <v>395</v>
      </c>
      <c r="AF168" s="19">
        <v>65.83</v>
      </c>
      <c r="AG168" s="139">
        <v>65</v>
      </c>
      <c r="AH168" s="140">
        <v>60</v>
      </c>
      <c r="AI168" s="141">
        <v>70</v>
      </c>
      <c r="AJ168" s="142">
        <v>85</v>
      </c>
      <c r="AK168" s="143">
        <v>75</v>
      </c>
      <c r="AL168" s="144">
        <v>40</v>
      </c>
      <c r="AM168" s="138">
        <v>395</v>
      </c>
      <c r="AN168" s="153">
        <v>65.83</v>
      </c>
      <c r="AO168" s="139">
        <v>65</v>
      </c>
      <c r="AP168" s="140">
        <v>60</v>
      </c>
      <c r="AQ168" s="141">
        <v>70</v>
      </c>
      <c r="AR168" s="162">
        <v>75</v>
      </c>
      <c r="AS168" s="162">
        <v>75</v>
      </c>
      <c r="AT168" s="144">
        <v>40</v>
      </c>
      <c r="AU168" s="138">
        <f t="shared" si="77"/>
        <v>385</v>
      </c>
      <c r="AV168" s="153">
        <f t="shared" si="78"/>
        <v>64.166666666666671</v>
      </c>
      <c r="AW168" s="45"/>
      <c r="AX168" s="174" t="b">
        <f>IF('Refined Compare'!$D$2="All",TRUE,IF(F168='Refined Compare'!$D$2,TRUE,IF(G168='Refined Compare'!$D$2,TRUE,FALSE)))</f>
        <v>0</v>
      </c>
      <c r="AY168" s="174" t="b">
        <f>IF('Refined Compare'!$D$3="All",TRUE,IF(F168='Refined Compare'!$D$3,TRUE,IF(G168='Refined Compare'!$D$3,TRUE,FALSE)))</f>
        <v>1</v>
      </c>
      <c r="AZ168" s="174" t="b">
        <f t="shared" si="63"/>
        <v>1</v>
      </c>
    </row>
    <row r="169" spans="1:52" x14ac:dyDescent="0.35">
      <c r="A169">
        <f t="shared" si="64"/>
        <v>168</v>
      </c>
      <c r="B169" s="18">
        <v>138</v>
      </c>
      <c r="C169" s="61">
        <v>1</v>
      </c>
      <c r="D169" s="61" t="b">
        <v>0</v>
      </c>
      <c r="E169" s="61"/>
      <c r="F169" s="66" t="s">
        <v>818</v>
      </c>
      <c r="G169" s="66" t="s">
        <v>810</v>
      </c>
      <c r="H169" s="2" t="s">
        <v>101</v>
      </c>
      <c r="I169" s="39">
        <f t="shared" si="69"/>
        <v>35</v>
      </c>
      <c r="J169" s="40">
        <f t="shared" si="70"/>
        <v>40</v>
      </c>
      <c r="K169" s="41">
        <f t="shared" si="71"/>
        <v>100</v>
      </c>
      <c r="L169" s="42">
        <f t="shared" si="72"/>
        <v>90</v>
      </c>
      <c r="M169" s="43">
        <f t="shared" si="73"/>
        <v>55</v>
      </c>
      <c r="N169" s="44">
        <f t="shared" si="74"/>
        <v>35</v>
      </c>
      <c r="O169" s="45">
        <f t="shared" si="75"/>
        <v>355</v>
      </c>
      <c r="P169" s="19">
        <f t="shared" si="76"/>
        <v>59.17</v>
      </c>
      <c r="Q169" s="177">
        <v>35</v>
      </c>
      <c r="R169" s="40">
        <v>40</v>
      </c>
      <c r="S169" s="41">
        <v>100</v>
      </c>
      <c r="T169" s="42">
        <v>90</v>
      </c>
      <c r="U169" s="43">
        <v>55</v>
      </c>
      <c r="V169" s="44">
        <v>35</v>
      </c>
      <c r="W169" s="45">
        <f t="shared" si="67"/>
        <v>355</v>
      </c>
      <c r="X169" s="19">
        <f t="shared" si="68"/>
        <v>59.17</v>
      </c>
      <c r="Y169" s="3">
        <v>35</v>
      </c>
      <c r="Z169" s="4">
        <v>40</v>
      </c>
      <c r="AA169" s="5">
        <v>100</v>
      </c>
      <c r="AB169" s="6">
        <v>90</v>
      </c>
      <c r="AC169" s="7">
        <v>55</v>
      </c>
      <c r="AD169" s="8">
        <v>35</v>
      </c>
      <c r="AE169" s="1">
        <v>355</v>
      </c>
      <c r="AF169" s="19">
        <v>59.17</v>
      </c>
      <c r="AG169" s="139">
        <v>35</v>
      </c>
      <c r="AH169" s="140">
        <v>40</v>
      </c>
      <c r="AI169" s="141">
        <v>100</v>
      </c>
      <c r="AJ169" s="142">
        <v>90</v>
      </c>
      <c r="AK169" s="143">
        <v>55</v>
      </c>
      <c r="AL169" s="144">
        <v>35</v>
      </c>
      <c r="AM169" s="138">
        <v>355</v>
      </c>
      <c r="AN169" s="153">
        <v>59.17</v>
      </c>
      <c r="AO169" s="139">
        <v>35</v>
      </c>
      <c r="AP169" s="140">
        <v>40</v>
      </c>
      <c r="AQ169" s="141">
        <v>100</v>
      </c>
      <c r="AR169" s="162">
        <v>90</v>
      </c>
      <c r="AS169" s="162">
        <v>90</v>
      </c>
      <c r="AT169" s="144">
        <v>35</v>
      </c>
      <c r="AU169" s="138">
        <f t="shared" si="77"/>
        <v>390</v>
      </c>
      <c r="AV169" s="153">
        <f t="shared" si="78"/>
        <v>65</v>
      </c>
      <c r="AW169" s="45"/>
      <c r="AX169" s="174" t="b">
        <f>IF('Refined Compare'!$D$2="All",TRUE,IF(F169='Refined Compare'!$D$2,TRUE,IF(G169='Refined Compare'!$D$2,TRUE,FALSE)))</f>
        <v>0</v>
      </c>
      <c r="AY169" s="174" t="b">
        <f>IF('Refined Compare'!$D$3="All",TRUE,IF(F169='Refined Compare'!$D$3,TRUE,IF(G169='Refined Compare'!$D$3,TRUE,FALSE)))</f>
        <v>0</v>
      </c>
      <c r="AZ169" s="174" t="b">
        <f t="shared" si="63"/>
        <v>1</v>
      </c>
    </row>
    <row r="170" spans="1:52" ht="15" thickBot="1" x14ac:dyDescent="0.4">
      <c r="A170">
        <f t="shared" si="64"/>
        <v>169</v>
      </c>
      <c r="B170" s="18">
        <v>139</v>
      </c>
      <c r="C170" s="61">
        <v>1</v>
      </c>
      <c r="D170" s="118" t="b">
        <v>1</v>
      </c>
      <c r="E170" s="61"/>
      <c r="F170" s="66" t="s">
        <v>818</v>
      </c>
      <c r="G170" s="66" t="s">
        <v>810</v>
      </c>
      <c r="H170" s="2" t="s">
        <v>271</v>
      </c>
      <c r="I170" s="39">
        <f t="shared" si="69"/>
        <v>70</v>
      </c>
      <c r="J170" s="40">
        <f t="shared" si="70"/>
        <v>60</v>
      </c>
      <c r="K170" s="41">
        <f t="shared" si="71"/>
        <v>125</v>
      </c>
      <c r="L170" s="42">
        <f t="shared" si="72"/>
        <v>115</v>
      </c>
      <c r="M170" s="43">
        <f t="shared" si="73"/>
        <v>70</v>
      </c>
      <c r="N170" s="44">
        <f t="shared" si="74"/>
        <v>55</v>
      </c>
      <c r="O170" s="45">
        <f t="shared" si="75"/>
        <v>495</v>
      </c>
      <c r="P170" s="19">
        <f t="shared" si="76"/>
        <v>82.5</v>
      </c>
      <c r="Q170" s="177">
        <v>70</v>
      </c>
      <c r="R170" s="40">
        <v>60</v>
      </c>
      <c r="S170" s="41">
        <v>125</v>
      </c>
      <c r="T170" s="42">
        <v>115</v>
      </c>
      <c r="U170" s="43">
        <v>70</v>
      </c>
      <c r="V170" s="44">
        <v>55</v>
      </c>
      <c r="W170" s="45">
        <f t="shared" si="67"/>
        <v>495</v>
      </c>
      <c r="X170" s="19">
        <f t="shared" si="68"/>
        <v>82.5</v>
      </c>
      <c r="Y170" s="3">
        <v>70</v>
      </c>
      <c r="Z170" s="4">
        <v>60</v>
      </c>
      <c r="AA170" s="5">
        <v>125</v>
      </c>
      <c r="AB170" s="6">
        <v>115</v>
      </c>
      <c r="AC170" s="7">
        <v>70</v>
      </c>
      <c r="AD170" s="8">
        <v>55</v>
      </c>
      <c r="AE170" s="1">
        <v>495</v>
      </c>
      <c r="AF170" s="19">
        <v>82.5</v>
      </c>
      <c r="AG170" s="139">
        <v>70</v>
      </c>
      <c r="AH170" s="140">
        <v>60</v>
      </c>
      <c r="AI170" s="141">
        <v>125</v>
      </c>
      <c r="AJ170" s="142">
        <v>115</v>
      </c>
      <c r="AK170" s="143">
        <v>70</v>
      </c>
      <c r="AL170" s="144">
        <v>55</v>
      </c>
      <c r="AM170" s="138">
        <v>495</v>
      </c>
      <c r="AN170" s="153">
        <v>82.5</v>
      </c>
      <c r="AO170" s="154">
        <v>70</v>
      </c>
      <c r="AP170" s="155">
        <v>60</v>
      </c>
      <c r="AQ170" s="156">
        <v>125</v>
      </c>
      <c r="AR170" s="164">
        <v>115</v>
      </c>
      <c r="AS170" s="164">
        <v>115</v>
      </c>
      <c r="AT170" s="159">
        <v>55</v>
      </c>
      <c r="AU170" s="138">
        <f t="shared" si="77"/>
        <v>540</v>
      </c>
      <c r="AV170" s="153">
        <f t="shared" si="78"/>
        <v>90</v>
      </c>
      <c r="AW170" s="45"/>
      <c r="AX170" s="174" t="b">
        <f>IF('Refined Compare'!$D$2="All",TRUE,IF(F170='Refined Compare'!$D$2,TRUE,IF(G170='Refined Compare'!$D$2,TRUE,FALSE)))</f>
        <v>0</v>
      </c>
      <c r="AY170" s="174" t="b">
        <f>IF('Refined Compare'!$D$3="All",TRUE,IF(F170='Refined Compare'!$D$3,TRUE,IF(G170='Refined Compare'!$D$3,TRUE,FALSE)))</f>
        <v>0</v>
      </c>
      <c r="AZ170" s="174" t="b">
        <f t="shared" si="63"/>
        <v>1</v>
      </c>
    </row>
    <row r="171" spans="1:52" ht="15" thickTop="1" x14ac:dyDescent="0.35">
      <c r="A171">
        <f t="shared" si="64"/>
        <v>170</v>
      </c>
      <c r="B171" s="18">
        <v>140</v>
      </c>
      <c r="C171" s="61">
        <v>1</v>
      </c>
      <c r="D171" s="61" t="b">
        <v>0</v>
      </c>
      <c r="E171" s="61"/>
      <c r="F171" s="66" t="s">
        <v>818</v>
      </c>
      <c r="G171" s="66" t="s">
        <v>810</v>
      </c>
      <c r="H171" s="2" t="s">
        <v>272</v>
      </c>
      <c r="I171" s="39">
        <f t="shared" si="69"/>
        <v>30</v>
      </c>
      <c r="J171" s="40">
        <f t="shared" si="70"/>
        <v>80</v>
      </c>
      <c r="K171" s="41">
        <f t="shared" si="71"/>
        <v>90</v>
      </c>
      <c r="L171" s="42">
        <f t="shared" si="72"/>
        <v>55</v>
      </c>
      <c r="M171" s="43">
        <f t="shared" si="73"/>
        <v>45</v>
      </c>
      <c r="N171" s="44">
        <f t="shared" si="74"/>
        <v>55</v>
      </c>
      <c r="O171" s="45">
        <f t="shared" si="75"/>
        <v>355</v>
      </c>
      <c r="P171" s="19">
        <f t="shared" si="76"/>
        <v>59.17</v>
      </c>
      <c r="Q171" s="177">
        <v>30</v>
      </c>
      <c r="R171" s="40">
        <v>80</v>
      </c>
      <c r="S171" s="41">
        <v>90</v>
      </c>
      <c r="T171" s="42">
        <v>55</v>
      </c>
      <c r="U171" s="43">
        <v>45</v>
      </c>
      <c r="V171" s="44">
        <v>55</v>
      </c>
      <c r="W171" s="45">
        <f t="shared" si="67"/>
        <v>355</v>
      </c>
      <c r="X171" s="19">
        <f t="shared" si="68"/>
        <v>59.17</v>
      </c>
      <c r="Y171" s="3">
        <v>30</v>
      </c>
      <c r="Z171" s="4">
        <v>80</v>
      </c>
      <c r="AA171" s="5">
        <v>90</v>
      </c>
      <c r="AB171" s="6">
        <v>55</v>
      </c>
      <c r="AC171" s="7">
        <v>45</v>
      </c>
      <c r="AD171" s="8">
        <v>55</v>
      </c>
      <c r="AE171" s="1">
        <v>355</v>
      </c>
      <c r="AF171" s="19">
        <v>59.17</v>
      </c>
      <c r="AG171" s="139">
        <v>30</v>
      </c>
      <c r="AH171" s="140">
        <v>80</v>
      </c>
      <c r="AI171" s="141">
        <v>90</v>
      </c>
      <c r="AJ171" s="142">
        <v>55</v>
      </c>
      <c r="AK171" s="143">
        <v>45</v>
      </c>
      <c r="AL171" s="144">
        <v>55</v>
      </c>
      <c r="AM171" s="138">
        <v>355</v>
      </c>
      <c r="AN171" s="153">
        <v>59.17</v>
      </c>
      <c r="AO171" s="139">
        <v>30</v>
      </c>
      <c r="AP171" s="140">
        <v>80</v>
      </c>
      <c r="AQ171" s="141">
        <v>90</v>
      </c>
      <c r="AR171" s="162">
        <v>45</v>
      </c>
      <c r="AS171" s="162">
        <v>45</v>
      </c>
      <c r="AT171" s="144">
        <v>55</v>
      </c>
      <c r="AU171" s="138">
        <f t="shared" si="77"/>
        <v>345</v>
      </c>
      <c r="AV171" s="165">
        <f t="shared" si="78"/>
        <v>57.5</v>
      </c>
      <c r="AW171" s="45"/>
      <c r="AX171" s="174" t="b">
        <f>IF('Refined Compare'!$D$2="All",TRUE,IF(F171='Refined Compare'!$D$2,TRUE,IF(G171='Refined Compare'!$D$2,TRUE,FALSE)))</f>
        <v>0</v>
      </c>
      <c r="AY171" s="174" t="b">
        <f>IF('Refined Compare'!$D$3="All",TRUE,IF(F171='Refined Compare'!$D$3,TRUE,IF(G171='Refined Compare'!$D$3,TRUE,FALSE)))</f>
        <v>0</v>
      </c>
      <c r="AZ171" s="174" t="b">
        <f t="shared" si="63"/>
        <v>1</v>
      </c>
    </row>
    <row r="172" spans="1:52" x14ac:dyDescent="0.35">
      <c r="A172">
        <f t="shared" si="64"/>
        <v>171</v>
      </c>
      <c r="B172" s="18">
        <v>141</v>
      </c>
      <c r="C172" s="61">
        <v>1</v>
      </c>
      <c r="D172" s="118" t="b">
        <v>1</v>
      </c>
      <c r="E172" s="61"/>
      <c r="F172" s="66" t="s">
        <v>818</v>
      </c>
      <c r="G172" s="66" t="s">
        <v>810</v>
      </c>
      <c r="H172" s="2" t="s">
        <v>502</v>
      </c>
      <c r="I172" s="39">
        <f t="shared" si="69"/>
        <v>60</v>
      </c>
      <c r="J172" s="40">
        <f t="shared" si="70"/>
        <v>115</v>
      </c>
      <c r="K172" s="41">
        <f t="shared" si="71"/>
        <v>105</v>
      </c>
      <c r="L172" s="42">
        <f t="shared" si="72"/>
        <v>65</v>
      </c>
      <c r="M172" s="43">
        <f t="shared" si="73"/>
        <v>70</v>
      </c>
      <c r="N172" s="44">
        <f t="shared" si="74"/>
        <v>80</v>
      </c>
      <c r="O172" s="45">
        <f t="shared" si="75"/>
        <v>495</v>
      </c>
      <c r="P172" s="19">
        <f t="shared" si="76"/>
        <v>82.5</v>
      </c>
      <c r="Q172" s="177">
        <v>60</v>
      </c>
      <c r="R172" s="40">
        <v>115</v>
      </c>
      <c r="S172" s="41">
        <v>105</v>
      </c>
      <c r="T172" s="42">
        <v>65</v>
      </c>
      <c r="U172" s="43">
        <v>70</v>
      </c>
      <c r="V172" s="44">
        <v>80</v>
      </c>
      <c r="W172" s="45">
        <f t="shared" si="67"/>
        <v>495</v>
      </c>
      <c r="X172" s="19">
        <f t="shared" si="68"/>
        <v>82.5</v>
      </c>
      <c r="Y172" s="3">
        <v>60</v>
      </c>
      <c r="Z172" s="4">
        <v>115</v>
      </c>
      <c r="AA172" s="5">
        <v>105</v>
      </c>
      <c r="AB172" s="6">
        <v>65</v>
      </c>
      <c r="AC172" s="7">
        <v>70</v>
      </c>
      <c r="AD172" s="8">
        <v>80</v>
      </c>
      <c r="AE172" s="1">
        <v>495</v>
      </c>
      <c r="AF172" s="19">
        <v>82.5</v>
      </c>
      <c r="AG172" s="139">
        <v>60</v>
      </c>
      <c r="AH172" s="140">
        <v>115</v>
      </c>
      <c r="AI172" s="141">
        <v>105</v>
      </c>
      <c r="AJ172" s="142">
        <v>65</v>
      </c>
      <c r="AK172" s="143">
        <v>70</v>
      </c>
      <c r="AL172" s="144">
        <v>80</v>
      </c>
      <c r="AM172" s="138">
        <v>495</v>
      </c>
      <c r="AN172" s="153">
        <v>82.5</v>
      </c>
      <c r="AO172" s="139">
        <v>60</v>
      </c>
      <c r="AP172" s="140">
        <v>115</v>
      </c>
      <c r="AQ172" s="141">
        <v>105</v>
      </c>
      <c r="AR172" s="162">
        <v>70</v>
      </c>
      <c r="AS172" s="162">
        <v>70</v>
      </c>
      <c r="AT172" s="144">
        <v>80</v>
      </c>
      <c r="AU172" s="138">
        <f t="shared" si="77"/>
        <v>500</v>
      </c>
      <c r="AV172" s="165">
        <f t="shared" si="78"/>
        <v>83.333333333333329</v>
      </c>
      <c r="AW172" s="45"/>
      <c r="AX172" s="174" t="b">
        <f>IF('Refined Compare'!$D$2="All",TRUE,IF(F172='Refined Compare'!$D$2,TRUE,IF(G172='Refined Compare'!$D$2,TRUE,FALSE)))</f>
        <v>0</v>
      </c>
      <c r="AY172" s="174" t="b">
        <f>IF('Refined Compare'!$D$3="All",TRUE,IF(F172='Refined Compare'!$D$3,TRUE,IF(G172='Refined Compare'!$D$3,TRUE,FALSE)))</f>
        <v>0</v>
      </c>
      <c r="AZ172" s="174" t="b">
        <f t="shared" si="63"/>
        <v>1</v>
      </c>
    </row>
    <row r="173" spans="1:52" x14ac:dyDescent="0.35">
      <c r="A173">
        <f t="shared" si="64"/>
        <v>172</v>
      </c>
      <c r="B173" s="18">
        <v>142</v>
      </c>
      <c r="C173" s="61">
        <v>1</v>
      </c>
      <c r="D173" s="61" t="b">
        <f>IF($AW$2&lt;6,TRUE,FALSE)</f>
        <v>1</v>
      </c>
      <c r="E173" s="61"/>
      <c r="F173" s="66" t="s">
        <v>818</v>
      </c>
      <c r="G173" s="66" t="s">
        <v>809</v>
      </c>
      <c r="H173" s="2" t="s">
        <v>764</v>
      </c>
      <c r="I173" s="39">
        <f t="shared" si="69"/>
        <v>80</v>
      </c>
      <c r="J173" s="40">
        <f t="shared" si="70"/>
        <v>105</v>
      </c>
      <c r="K173" s="41">
        <f t="shared" si="71"/>
        <v>65</v>
      </c>
      <c r="L173" s="42">
        <f t="shared" si="72"/>
        <v>60</v>
      </c>
      <c r="M173" s="43">
        <f t="shared" si="73"/>
        <v>75</v>
      </c>
      <c r="N173" s="44">
        <f t="shared" si="74"/>
        <v>130</v>
      </c>
      <c r="O173" s="45">
        <f t="shared" si="75"/>
        <v>515</v>
      </c>
      <c r="P173" s="19">
        <f t="shared" si="76"/>
        <v>85.83</v>
      </c>
      <c r="Q173" s="177">
        <v>80</v>
      </c>
      <c r="R173" s="40">
        <v>105</v>
      </c>
      <c r="S173" s="41">
        <v>65</v>
      </c>
      <c r="T173" s="42">
        <v>60</v>
      </c>
      <c r="U173" s="43">
        <v>75</v>
      </c>
      <c r="V173" s="44">
        <v>130</v>
      </c>
      <c r="W173" s="45">
        <f t="shared" si="67"/>
        <v>515</v>
      </c>
      <c r="X173" s="19">
        <f t="shared" si="68"/>
        <v>85.83</v>
      </c>
      <c r="Y173" s="3">
        <v>80</v>
      </c>
      <c r="Z173" s="4">
        <v>105</v>
      </c>
      <c r="AA173" s="5">
        <v>65</v>
      </c>
      <c r="AB173" s="6">
        <v>60</v>
      </c>
      <c r="AC173" s="7">
        <v>75</v>
      </c>
      <c r="AD173" s="8">
        <v>130</v>
      </c>
      <c r="AE173" s="1">
        <v>515</v>
      </c>
      <c r="AF173" s="19">
        <v>85.83</v>
      </c>
      <c r="AG173" s="139">
        <v>80</v>
      </c>
      <c r="AH173" s="140">
        <v>105</v>
      </c>
      <c r="AI173" s="141">
        <v>65</v>
      </c>
      <c r="AJ173" s="142">
        <v>60</v>
      </c>
      <c r="AK173" s="143">
        <v>75</v>
      </c>
      <c r="AL173" s="144">
        <v>130</v>
      </c>
      <c r="AM173" s="138">
        <v>515</v>
      </c>
      <c r="AN173" s="153">
        <v>85.83</v>
      </c>
      <c r="AO173" s="139">
        <v>80</v>
      </c>
      <c r="AP173" s="140">
        <v>105</v>
      </c>
      <c r="AQ173" s="141">
        <v>65</v>
      </c>
      <c r="AR173" s="162">
        <v>60</v>
      </c>
      <c r="AS173" s="162">
        <v>60</v>
      </c>
      <c r="AT173" s="144">
        <v>130</v>
      </c>
      <c r="AU173" s="138">
        <f t="shared" si="77"/>
        <v>500</v>
      </c>
      <c r="AV173" s="165">
        <f t="shared" si="78"/>
        <v>83.333333333333329</v>
      </c>
      <c r="AW173" s="45"/>
      <c r="AX173" s="174" t="b">
        <f>IF('Refined Compare'!$D$2="All",TRUE,IF(F173='Refined Compare'!$D$2,TRUE,IF(G173='Refined Compare'!$D$2,TRUE,FALSE)))</f>
        <v>0</v>
      </c>
      <c r="AY173" s="174" t="b">
        <f>IF('Refined Compare'!$D$3="All",TRUE,IF(F173='Refined Compare'!$D$3,TRUE,IF(G173='Refined Compare'!$D$3,TRUE,FALSE)))</f>
        <v>0</v>
      </c>
      <c r="AZ173" s="174" t="b">
        <f t="shared" si="63"/>
        <v>1</v>
      </c>
    </row>
    <row r="174" spans="1:52" x14ac:dyDescent="0.35">
      <c r="A174">
        <f t="shared" si="64"/>
        <v>173</v>
      </c>
      <c r="B174" s="62">
        <v>142</v>
      </c>
      <c r="C174" s="61">
        <v>6</v>
      </c>
      <c r="D174" s="118" t="b">
        <f>IF(AZ174,TRUE,FALSE)</f>
        <v>0</v>
      </c>
      <c r="E174" s="61" t="s">
        <v>801</v>
      </c>
      <c r="F174" s="66" t="s">
        <v>818</v>
      </c>
      <c r="G174" s="66" t="s">
        <v>809</v>
      </c>
      <c r="H174" s="2" t="s">
        <v>776</v>
      </c>
      <c r="I174" s="39">
        <f t="shared" si="69"/>
        <v>0</v>
      </c>
      <c r="J174" s="40">
        <f t="shared" si="70"/>
        <v>0</v>
      </c>
      <c r="K174" s="41">
        <f t="shared" si="71"/>
        <v>0</v>
      </c>
      <c r="L174" s="42">
        <f t="shared" si="72"/>
        <v>0</v>
      </c>
      <c r="M174" s="43">
        <f t="shared" si="73"/>
        <v>0</v>
      </c>
      <c r="N174" s="44">
        <f t="shared" si="74"/>
        <v>0</v>
      </c>
      <c r="O174" s="45">
        <f t="shared" si="75"/>
        <v>0</v>
      </c>
      <c r="P174" s="19">
        <f t="shared" si="76"/>
        <v>0</v>
      </c>
      <c r="Q174" s="177">
        <v>80</v>
      </c>
      <c r="R174" s="40">
        <v>135</v>
      </c>
      <c r="S174" s="41">
        <v>85</v>
      </c>
      <c r="T174" s="42">
        <v>70</v>
      </c>
      <c r="U174" s="43">
        <v>95</v>
      </c>
      <c r="V174" s="44">
        <v>150</v>
      </c>
      <c r="W174" s="45">
        <f t="shared" si="67"/>
        <v>615</v>
      </c>
      <c r="X174" s="19">
        <f t="shared" si="68"/>
        <v>102.5</v>
      </c>
      <c r="Y174" s="3">
        <v>80</v>
      </c>
      <c r="Z174" s="4">
        <v>135</v>
      </c>
      <c r="AA174" s="5">
        <v>85</v>
      </c>
      <c r="AB174" s="6">
        <v>70</v>
      </c>
      <c r="AC174" s="7">
        <v>95</v>
      </c>
      <c r="AD174" s="8">
        <v>150</v>
      </c>
      <c r="AE174" s="1">
        <v>615</v>
      </c>
      <c r="AF174" s="19">
        <v>102.5</v>
      </c>
      <c r="AN174" s="172"/>
      <c r="AV174" s="174"/>
      <c r="AW174" s="45"/>
      <c r="AX174" s="174" t="b">
        <f>IF('Refined Compare'!$D$2="All",TRUE,IF(F174='Refined Compare'!$D$2,TRUE,IF(G174='Refined Compare'!$D$2,TRUE,FALSE)))</f>
        <v>0</v>
      </c>
      <c r="AY174" s="174" t="b">
        <f>IF('Refined Compare'!$D$3="All",TRUE,IF(F174='Refined Compare'!$D$3,TRUE,IF(G174='Refined Compare'!$D$3,TRUE,FALSE)))</f>
        <v>0</v>
      </c>
      <c r="AZ174" s="174" t="b">
        <f t="shared" si="63"/>
        <v>0</v>
      </c>
    </row>
    <row r="175" spans="1:52" x14ac:dyDescent="0.35">
      <c r="A175">
        <f t="shared" si="64"/>
        <v>174</v>
      </c>
      <c r="B175" s="18">
        <v>143</v>
      </c>
      <c r="C175" s="61">
        <v>1</v>
      </c>
      <c r="D175" s="118" t="b">
        <v>1</v>
      </c>
      <c r="E175" s="61"/>
      <c r="F175" s="66" t="s">
        <v>812</v>
      </c>
      <c r="G175" s="66" t="s">
        <v>827</v>
      </c>
      <c r="H175" s="2" t="s">
        <v>58</v>
      </c>
      <c r="I175" s="39">
        <f t="shared" si="69"/>
        <v>160</v>
      </c>
      <c r="J175" s="40">
        <f t="shared" si="70"/>
        <v>110</v>
      </c>
      <c r="K175" s="41">
        <f t="shared" si="71"/>
        <v>65</v>
      </c>
      <c r="L175" s="42">
        <f t="shared" si="72"/>
        <v>65</v>
      </c>
      <c r="M175" s="43">
        <f t="shared" si="73"/>
        <v>110</v>
      </c>
      <c r="N175" s="44">
        <f t="shared" si="74"/>
        <v>30</v>
      </c>
      <c r="O175" s="45">
        <f t="shared" si="75"/>
        <v>540</v>
      </c>
      <c r="P175" s="19">
        <f t="shared" si="76"/>
        <v>90</v>
      </c>
      <c r="Q175" s="177">
        <v>160</v>
      </c>
      <c r="R175" s="40">
        <v>110</v>
      </c>
      <c r="S175" s="41">
        <v>65</v>
      </c>
      <c r="T175" s="42">
        <v>65</v>
      </c>
      <c r="U175" s="43">
        <v>110</v>
      </c>
      <c r="V175" s="44">
        <v>30</v>
      </c>
      <c r="W175" s="45">
        <f t="shared" si="67"/>
        <v>540</v>
      </c>
      <c r="X175" s="19">
        <f t="shared" si="68"/>
        <v>90</v>
      </c>
      <c r="Y175" s="3">
        <v>160</v>
      </c>
      <c r="Z175" s="4">
        <v>110</v>
      </c>
      <c r="AA175" s="5">
        <v>65</v>
      </c>
      <c r="AB175" s="6">
        <v>65</v>
      </c>
      <c r="AC175" s="7">
        <v>110</v>
      </c>
      <c r="AD175" s="8">
        <v>30</v>
      </c>
      <c r="AE175" s="1">
        <v>540</v>
      </c>
      <c r="AF175" s="19">
        <v>90</v>
      </c>
      <c r="AG175" s="139">
        <v>160</v>
      </c>
      <c r="AH175" s="140">
        <v>110</v>
      </c>
      <c r="AI175" s="141">
        <v>65</v>
      </c>
      <c r="AJ175" s="142">
        <v>65</v>
      </c>
      <c r="AK175" s="143">
        <v>110</v>
      </c>
      <c r="AL175" s="144">
        <v>30</v>
      </c>
      <c r="AM175" s="138">
        <v>540</v>
      </c>
      <c r="AN175" s="153">
        <v>90</v>
      </c>
      <c r="AO175" s="139">
        <v>160</v>
      </c>
      <c r="AP175" s="140">
        <v>110</v>
      </c>
      <c r="AQ175" s="141">
        <v>65</v>
      </c>
      <c r="AR175" s="162">
        <v>65</v>
      </c>
      <c r="AS175" s="162">
        <v>65</v>
      </c>
      <c r="AT175" s="144">
        <v>30</v>
      </c>
      <c r="AU175" s="138">
        <f t="shared" ref="AU175:AU182" si="79">SUM(AO175:AT175)</f>
        <v>495</v>
      </c>
      <c r="AV175" s="165">
        <f t="shared" ref="AV175:AV182" si="80">AU175/6</f>
        <v>82.5</v>
      </c>
      <c r="AW175" s="45"/>
      <c r="AX175" s="174" t="b">
        <f>IF('Refined Compare'!$D$2="All",TRUE,IF(F175='Refined Compare'!$D$2,TRUE,IF(G175='Refined Compare'!$D$2,TRUE,FALSE)))</f>
        <v>0</v>
      </c>
      <c r="AY175" s="174" t="b">
        <f>IF('Refined Compare'!$D$3="All",TRUE,IF(F175='Refined Compare'!$D$3,TRUE,IF(G175='Refined Compare'!$D$3,TRUE,FALSE)))</f>
        <v>1</v>
      </c>
      <c r="AZ175" s="174" t="b">
        <f t="shared" si="63"/>
        <v>1</v>
      </c>
    </row>
    <row r="176" spans="1:52" x14ac:dyDescent="0.35">
      <c r="A176">
        <f t="shared" si="64"/>
        <v>175</v>
      </c>
      <c r="B176" s="18">
        <v>144</v>
      </c>
      <c r="C176" s="61">
        <v>1</v>
      </c>
      <c r="D176" s="118" t="b">
        <v>1</v>
      </c>
      <c r="E176" s="61"/>
      <c r="F176" s="66" t="s">
        <v>820</v>
      </c>
      <c r="G176" s="66" t="s">
        <v>809</v>
      </c>
      <c r="H176" s="2" t="s">
        <v>544</v>
      </c>
      <c r="I176" s="39">
        <f t="shared" si="69"/>
        <v>90</v>
      </c>
      <c r="J176" s="40">
        <f t="shared" si="70"/>
        <v>85</v>
      </c>
      <c r="K176" s="41">
        <f t="shared" si="71"/>
        <v>100</v>
      </c>
      <c r="L176" s="42">
        <f t="shared" si="72"/>
        <v>95</v>
      </c>
      <c r="M176" s="43">
        <f t="shared" si="73"/>
        <v>125</v>
      </c>
      <c r="N176" s="44">
        <f t="shared" si="74"/>
        <v>85</v>
      </c>
      <c r="O176" s="45">
        <f t="shared" si="75"/>
        <v>580</v>
      </c>
      <c r="P176" s="19">
        <f t="shared" si="76"/>
        <v>96.67</v>
      </c>
      <c r="Q176" s="177">
        <v>90</v>
      </c>
      <c r="R176" s="40">
        <v>85</v>
      </c>
      <c r="S176" s="41">
        <v>100</v>
      </c>
      <c r="T176" s="42">
        <v>95</v>
      </c>
      <c r="U176" s="43">
        <v>125</v>
      </c>
      <c r="V176" s="44">
        <v>85</v>
      </c>
      <c r="W176" s="45">
        <f t="shared" si="67"/>
        <v>580</v>
      </c>
      <c r="X176" s="19">
        <f t="shared" si="68"/>
        <v>96.67</v>
      </c>
      <c r="Y176" s="3">
        <v>90</v>
      </c>
      <c r="Z176" s="4">
        <v>85</v>
      </c>
      <c r="AA176" s="5">
        <v>100</v>
      </c>
      <c r="AB176" s="6">
        <v>95</v>
      </c>
      <c r="AC176" s="7">
        <v>125</v>
      </c>
      <c r="AD176" s="8">
        <v>85</v>
      </c>
      <c r="AE176" s="1">
        <v>580</v>
      </c>
      <c r="AF176" s="19">
        <v>96.67</v>
      </c>
      <c r="AG176" s="139">
        <v>90</v>
      </c>
      <c r="AH176" s="140">
        <v>85</v>
      </c>
      <c r="AI176" s="141">
        <v>100</v>
      </c>
      <c r="AJ176" s="142">
        <v>95</v>
      </c>
      <c r="AK176" s="143">
        <v>125</v>
      </c>
      <c r="AL176" s="144">
        <v>85</v>
      </c>
      <c r="AM176" s="138">
        <v>580</v>
      </c>
      <c r="AN176" s="153">
        <v>96.67</v>
      </c>
      <c r="AO176" s="139">
        <v>90</v>
      </c>
      <c r="AP176" s="140">
        <v>85</v>
      </c>
      <c r="AQ176" s="141">
        <v>100</v>
      </c>
      <c r="AR176" s="162">
        <v>125</v>
      </c>
      <c r="AS176" s="162">
        <v>125</v>
      </c>
      <c r="AT176" s="144">
        <v>85</v>
      </c>
      <c r="AU176" s="138">
        <f t="shared" si="79"/>
        <v>610</v>
      </c>
      <c r="AV176" s="165">
        <f t="shared" si="80"/>
        <v>101.66666666666667</v>
      </c>
      <c r="AW176" s="45"/>
      <c r="AX176" s="174" t="b">
        <f>IF('Refined Compare'!$D$2="All",TRUE,IF(F176='Refined Compare'!$D$2,TRUE,IF(G176='Refined Compare'!$D$2,TRUE,FALSE)))</f>
        <v>0</v>
      </c>
      <c r="AY176" s="174" t="b">
        <f>IF('Refined Compare'!$D$3="All",TRUE,IF(F176='Refined Compare'!$D$3,TRUE,IF(G176='Refined Compare'!$D$3,TRUE,FALSE)))</f>
        <v>0</v>
      </c>
      <c r="AZ176" s="174" t="b">
        <f t="shared" si="63"/>
        <v>1</v>
      </c>
    </row>
    <row r="177" spans="1:52" x14ac:dyDescent="0.35">
      <c r="A177">
        <f t="shared" si="64"/>
        <v>176</v>
      </c>
      <c r="B177" s="18">
        <v>145</v>
      </c>
      <c r="C177" s="61">
        <v>1</v>
      </c>
      <c r="D177" s="118" t="b">
        <v>1</v>
      </c>
      <c r="E177" s="61"/>
      <c r="F177" s="66" t="s">
        <v>813</v>
      </c>
      <c r="G177" s="66" t="s">
        <v>809</v>
      </c>
      <c r="H177" s="2" t="s">
        <v>661</v>
      </c>
      <c r="I177" s="39">
        <f t="shared" si="69"/>
        <v>90</v>
      </c>
      <c r="J177" s="40">
        <f t="shared" si="70"/>
        <v>90</v>
      </c>
      <c r="K177" s="41">
        <f t="shared" si="71"/>
        <v>85</v>
      </c>
      <c r="L177" s="42">
        <f t="shared" si="72"/>
        <v>125</v>
      </c>
      <c r="M177" s="43">
        <f t="shared" si="73"/>
        <v>90</v>
      </c>
      <c r="N177" s="44">
        <f t="shared" si="74"/>
        <v>100</v>
      </c>
      <c r="O177" s="45">
        <f t="shared" si="75"/>
        <v>580</v>
      </c>
      <c r="P177" s="19">
        <f t="shared" si="76"/>
        <v>96.67</v>
      </c>
      <c r="Q177" s="177">
        <v>90</v>
      </c>
      <c r="R177" s="40">
        <v>90</v>
      </c>
      <c r="S177" s="41">
        <v>85</v>
      </c>
      <c r="T177" s="42">
        <v>125</v>
      </c>
      <c r="U177" s="43">
        <v>90</v>
      </c>
      <c r="V177" s="44">
        <v>100</v>
      </c>
      <c r="W177" s="45">
        <f t="shared" si="67"/>
        <v>580</v>
      </c>
      <c r="X177" s="19">
        <f t="shared" si="68"/>
        <v>96.67</v>
      </c>
      <c r="Y177" s="3">
        <v>90</v>
      </c>
      <c r="Z177" s="4">
        <v>90</v>
      </c>
      <c r="AA177" s="5">
        <v>85</v>
      </c>
      <c r="AB177" s="6">
        <v>125</v>
      </c>
      <c r="AC177" s="7">
        <v>90</v>
      </c>
      <c r="AD177" s="8">
        <v>100</v>
      </c>
      <c r="AE177" s="1">
        <v>580</v>
      </c>
      <c r="AF177" s="19">
        <v>96.67</v>
      </c>
      <c r="AG177" s="139">
        <v>90</v>
      </c>
      <c r="AH177" s="140">
        <v>90</v>
      </c>
      <c r="AI177" s="141">
        <v>85</v>
      </c>
      <c r="AJ177" s="142">
        <v>125</v>
      </c>
      <c r="AK177" s="143">
        <v>90</v>
      </c>
      <c r="AL177" s="144">
        <v>100</v>
      </c>
      <c r="AM177" s="138">
        <v>580</v>
      </c>
      <c r="AN177" s="153">
        <v>96.67</v>
      </c>
      <c r="AO177" s="139">
        <v>90</v>
      </c>
      <c r="AP177" s="140">
        <v>90</v>
      </c>
      <c r="AQ177" s="141">
        <v>85</v>
      </c>
      <c r="AR177" s="162">
        <v>125</v>
      </c>
      <c r="AS177" s="162">
        <v>125</v>
      </c>
      <c r="AT177" s="144">
        <v>100</v>
      </c>
      <c r="AU177" s="138">
        <f t="shared" si="79"/>
        <v>615</v>
      </c>
      <c r="AV177" s="165">
        <f t="shared" si="80"/>
        <v>102.5</v>
      </c>
      <c r="AW177" s="45"/>
      <c r="AX177" s="174" t="b">
        <f>IF('Refined Compare'!$D$2="All",TRUE,IF(F177='Refined Compare'!$D$2,TRUE,IF(G177='Refined Compare'!$D$2,TRUE,FALSE)))</f>
        <v>0</v>
      </c>
      <c r="AY177" s="174" t="b">
        <f>IF('Refined Compare'!$D$3="All",TRUE,IF(F177='Refined Compare'!$D$3,TRUE,IF(G177='Refined Compare'!$D$3,TRUE,FALSE)))</f>
        <v>0</v>
      </c>
      <c r="AZ177" s="174" t="b">
        <f t="shared" si="63"/>
        <v>1</v>
      </c>
    </row>
    <row r="178" spans="1:52" x14ac:dyDescent="0.35">
      <c r="A178">
        <f t="shared" si="64"/>
        <v>177</v>
      </c>
      <c r="B178" s="18">
        <v>146</v>
      </c>
      <c r="C178" s="61">
        <v>1</v>
      </c>
      <c r="D178" s="118" t="b">
        <v>1</v>
      </c>
      <c r="E178" s="61"/>
      <c r="F178" s="66" t="s">
        <v>808</v>
      </c>
      <c r="G178" s="66" t="s">
        <v>809</v>
      </c>
      <c r="H178" s="2" t="s">
        <v>584</v>
      </c>
      <c r="I178" s="39">
        <f t="shared" si="69"/>
        <v>90</v>
      </c>
      <c r="J178" s="40">
        <f t="shared" si="70"/>
        <v>100</v>
      </c>
      <c r="K178" s="41">
        <f t="shared" si="71"/>
        <v>90</v>
      </c>
      <c r="L178" s="42">
        <f t="shared" si="72"/>
        <v>125</v>
      </c>
      <c r="M178" s="43">
        <f t="shared" si="73"/>
        <v>85</v>
      </c>
      <c r="N178" s="44">
        <f t="shared" si="74"/>
        <v>90</v>
      </c>
      <c r="O178" s="45">
        <f t="shared" si="75"/>
        <v>580</v>
      </c>
      <c r="P178" s="19">
        <f t="shared" si="76"/>
        <v>96.67</v>
      </c>
      <c r="Q178" s="177">
        <v>90</v>
      </c>
      <c r="R178" s="40">
        <v>100</v>
      </c>
      <c r="S178" s="41">
        <v>90</v>
      </c>
      <c r="T178" s="42">
        <v>125</v>
      </c>
      <c r="U178" s="43">
        <v>85</v>
      </c>
      <c r="V178" s="44">
        <v>90</v>
      </c>
      <c r="W178" s="45">
        <f t="shared" si="67"/>
        <v>580</v>
      </c>
      <c r="X178" s="19">
        <f t="shared" si="68"/>
        <v>96.67</v>
      </c>
      <c r="Y178" s="3">
        <v>90</v>
      </c>
      <c r="Z178" s="4">
        <v>100</v>
      </c>
      <c r="AA178" s="5">
        <v>90</v>
      </c>
      <c r="AB178" s="6">
        <v>125</v>
      </c>
      <c r="AC178" s="7">
        <v>85</v>
      </c>
      <c r="AD178" s="8">
        <v>90</v>
      </c>
      <c r="AE178" s="1">
        <v>580</v>
      </c>
      <c r="AF178" s="19">
        <v>96.67</v>
      </c>
      <c r="AG178" s="139">
        <v>90</v>
      </c>
      <c r="AH178" s="140">
        <v>100</v>
      </c>
      <c r="AI178" s="141">
        <v>90</v>
      </c>
      <c r="AJ178" s="142">
        <v>125</v>
      </c>
      <c r="AK178" s="143">
        <v>85</v>
      </c>
      <c r="AL178" s="144">
        <v>90</v>
      </c>
      <c r="AM178" s="138">
        <v>580</v>
      </c>
      <c r="AN178" s="153">
        <v>96.67</v>
      </c>
      <c r="AO178" s="139">
        <v>90</v>
      </c>
      <c r="AP178" s="140">
        <v>100</v>
      </c>
      <c r="AQ178" s="141">
        <v>90</v>
      </c>
      <c r="AR178" s="162">
        <v>125</v>
      </c>
      <c r="AS178" s="162">
        <v>125</v>
      </c>
      <c r="AT178" s="144">
        <v>90</v>
      </c>
      <c r="AU178" s="138">
        <f t="shared" si="79"/>
        <v>620</v>
      </c>
      <c r="AV178" s="165">
        <f t="shared" si="80"/>
        <v>103.33333333333333</v>
      </c>
      <c r="AW178" s="45"/>
      <c r="AX178" s="174" t="b">
        <f>IF('Refined Compare'!$D$2="All",TRUE,IF(F178='Refined Compare'!$D$2,TRUE,IF(G178='Refined Compare'!$D$2,TRUE,FALSE)))</f>
        <v>0</v>
      </c>
      <c r="AY178" s="174" t="b">
        <f>IF('Refined Compare'!$D$3="All",TRUE,IF(F178='Refined Compare'!$D$3,TRUE,IF(G178='Refined Compare'!$D$3,TRUE,FALSE)))</f>
        <v>0</v>
      </c>
      <c r="AZ178" s="174" t="b">
        <f t="shared" si="63"/>
        <v>1</v>
      </c>
    </row>
    <row r="179" spans="1:52" x14ac:dyDescent="0.35">
      <c r="A179">
        <f t="shared" si="64"/>
        <v>178</v>
      </c>
      <c r="B179" s="18">
        <v>147</v>
      </c>
      <c r="C179" s="61">
        <v>1</v>
      </c>
      <c r="D179" s="61" t="b">
        <v>0</v>
      </c>
      <c r="E179" s="61"/>
      <c r="F179" s="66" t="s">
        <v>822</v>
      </c>
      <c r="G179" s="66" t="s">
        <v>827</v>
      </c>
      <c r="H179" s="2" t="s">
        <v>217</v>
      </c>
      <c r="I179" s="39">
        <f t="shared" si="69"/>
        <v>41</v>
      </c>
      <c r="J179" s="40">
        <f t="shared" si="70"/>
        <v>64</v>
      </c>
      <c r="K179" s="41">
        <f t="shared" si="71"/>
        <v>45</v>
      </c>
      <c r="L179" s="42">
        <f t="shared" si="72"/>
        <v>50</v>
      </c>
      <c r="M179" s="43">
        <f t="shared" si="73"/>
        <v>50</v>
      </c>
      <c r="N179" s="44">
        <f t="shared" si="74"/>
        <v>50</v>
      </c>
      <c r="O179" s="45">
        <f t="shared" si="75"/>
        <v>300</v>
      </c>
      <c r="P179" s="19">
        <f t="shared" si="76"/>
        <v>50</v>
      </c>
      <c r="Q179" s="177">
        <v>41</v>
      </c>
      <c r="R179" s="40">
        <v>64</v>
      </c>
      <c r="S179" s="41">
        <v>45</v>
      </c>
      <c r="T179" s="42">
        <v>50</v>
      </c>
      <c r="U179" s="43">
        <v>50</v>
      </c>
      <c r="V179" s="44">
        <v>50</v>
      </c>
      <c r="W179" s="45">
        <f t="shared" si="67"/>
        <v>300</v>
      </c>
      <c r="X179" s="19">
        <f t="shared" si="68"/>
        <v>50</v>
      </c>
      <c r="Y179" s="3">
        <v>41</v>
      </c>
      <c r="Z179" s="4">
        <v>64</v>
      </c>
      <c r="AA179" s="5">
        <v>45</v>
      </c>
      <c r="AB179" s="6">
        <v>50</v>
      </c>
      <c r="AC179" s="7">
        <v>50</v>
      </c>
      <c r="AD179" s="8">
        <v>50</v>
      </c>
      <c r="AE179" s="1">
        <v>300</v>
      </c>
      <c r="AF179" s="19">
        <v>50</v>
      </c>
      <c r="AG179" s="139">
        <v>41</v>
      </c>
      <c r="AH179" s="140">
        <v>64</v>
      </c>
      <c r="AI179" s="141">
        <v>45</v>
      </c>
      <c r="AJ179" s="142">
        <v>50</v>
      </c>
      <c r="AK179" s="143">
        <v>50</v>
      </c>
      <c r="AL179" s="144">
        <v>50</v>
      </c>
      <c r="AM179" s="138">
        <v>300</v>
      </c>
      <c r="AN179" s="153">
        <v>50</v>
      </c>
      <c r="AO179" s="139">
        <v>41</v>
      </c>
      <c r="AP179" s="140">
        <v>64</v>
      </c>
      <c r="AQ179" s="141">
        <v>45</v>
      </c>
      <c r="AR179" s="162">
        <v>50</v>
      </c>
      <c r="AS179" s="162">
        <v>50</v>
      </c>
      <c r="AT179" s="144">
        <v>50</v>
      </c>
      <c r="AU179" s="138">
        <f t="shared" si="79"/>
        <v>300</v>
      </c>
      <c r="AV179" s="165">
        <f t="shared" si="80"/>
        <v>50</v>
      </c>
      <c r="AW179" s="45"/>
      <c r="AX179" s="174" t="b">
        <f>IF('Refined Compare'!$D$2="All",TRUE,IF(F179='Refined Compare'!$D$2,TRUE,IF(G179='Refined Compare'!$D$2,TRUE,FALSE)))</f>
        <v>0</v>
      </c>
      <c r="AY179" s="174" t="b">
        <f>IF('Refined Compare'!$D$3="All",TRUE,IF(F179='Refined Compare'!$D$3,TRUE,IF(G179='Refined Compare'!$D$3,TRUE,FALSE)))</f>
        <v>1</v>
      </c>
      <c r="AZ179" s="174" t="b">
        <f t="shared" si="63"/>
        <v>1</v>
      </c>
    </row>
    <row r="180" spans="1:52" x14ac:dyDescent="0.35">
      <c r="A180">
        <f t="shared" si="64"/>
        <v>179</v>
      </c>
      <c r="B180" s="18">
        <v>148</v>
      </c>
      <c r="C180" s="61">
        <v>1</v>
      </c>
      <c r="D180" s="61" t="b">
        <v>0</v>
      </c>
      <c r="E180" s="61"/>
      <c r="F180" s="66" t="s">
        <v>822</v>
      </c>
      <c r="G180" s="66" t="s">
        <v>827</v>
      </c>
      <c r="H180" s="2" t="s">
        <v>428</v>
      </c>
      <c r="I180" s="39">
        <f t="shared" si="69"/>
        <v>61</v>
      </c>
      <c r="J180" s="40">
        <f t="shared" si="70"/>
        <v>84</v>
      </c>
      <c r="K180" s="41">
        <f t="shared" si="71"/>
        <v>65</v>
      </c>
      <c r="L180" s="42">
        <f t="shared" si="72"/>
        <v>70</v>
      </c>
      <c r="M180" s="43">
        <f t="shared" si="73"/>
        <v>70</v>
      </c>
      <c r="N180" s="44">
        <f t="shared" si="74"/>
        <v>70</v>
      </c>
      <c r="O180" s="45">
        <f t="shared" si="75"/>
        <v>420</v>
      </c>
      <c r="P180" s="19">
        <f t="shared" si="76"/>
        <v>70</v>
      </c>
      <c r="Q180" s="177">
        <v>61</v>
      </c>
      <c r="R180" s="40">
        <v>84</v>
      </c>
      <c r="S180" s="41">
        <v>65</v>
      </c>
      <c r="T180" s="42">
        <v>70</v>
      </c>
      <c r="U180" s="43">
        <v>70</v>
      </c>
      <c r="V180" s="44">
        <v>70</v>
      </c>
      <c r="W180" s="45">
        <f t="shared" si="67"/>
        <v>420</v>
      </c>
      <c r="X180" s="19">
        <f t="shared" si="68"/>
        <v>70</v>
      </c>
      <c r="Y180" s="3">
        <v>61</v>
      </c>
      <c r="Z180" s="4">
        <v>84</v>
      </c>
      <c r="AA180" s="5">
        <v>65</v>
      </c>
      <c r="AB180" s="6">
        <v>70</v>
      </c>
      <c r="AC180" s="7">
        <v>70</v>
      </c>
      <c r="AD180" s="8">
        <v>70</v>
      </c>
      <c r="AE180" s="1">
        <v>420</v>
      </c>
      <c r="AF180" s="19">
        <v>70</v>
      </c>
      <c r="AG180" s="139">
        <v>61</v>
      </c>
      <c r="AH180" s="140">
        <v>84</v>
      </c>
      <c r="AI180" s="141">
        <v>65</v>
      </c>
      <c r="AJ180" s="142">
        <v>70</v>
      </c>
      <c r="AK180" s="143">
        <v>70</v>
      </c>
      <c r="AL180" s="144">
        <v>70</v>
      </c>
      <c r="AM180" s="138">
        <v>420</v>
      </c>
      <c r="AN180" s="153">
        <v>70</v>
      </c>
      <c r="AO180" s="139">
        <v>61</v>
      </c>
      <c r="AP180" s="140">
        <v>84</v>
      </c>
      <c r="AQ180" s="141">
        <v>65</v>
      </c>
      <c r="AR180" s="162">
        <v>70</v>
      </c>
      <c r="AS180" s="162">
        <v>70</v>
      </c>
      <c r="AT180" s="144">
        <v>70</v>
      </c>
      <c r="AU180" s="138">
        <f t="shared" si="79"/>
        <v>420</v>
      </c>
      <c r="AV180" s="165">
        <f t="shared" si="80"/>
        <v>70</v>
      </c>
      <c r="AW180" s="45"/>
      <c r="AX180" s="174" t="b">
        <f>IF('Refined Compare'!$D$2="All",TRUE,IF(F180='Refined Compare'!$D$2,TRUE,IF(G180='Refined Compare'!$D$2,TRUE,FALSE)))</f>
        <v>0</v>
      </c>
      <c r="AY180" s="174" t="b">
        <f>IF('Refined Compare'!$D$3="All",TRUE,IF(F180='Refined Compare'!$D$3,TRUE,IF(G180='Refined Compare'!$D$3,TRUE,FALSE)))</f>
        <v>1</v>
      </c>
      <c r="AZ180" s="174" t="b">
        <f t="shared" si="63"/>
        <v>1</v>
      </c>
    </row>
    <row r="181" spans="1:52" x14ac:dyDescent="0.35">
      <c r="A181">
        <f t="shared" si="64"/>
        <v>180</v>
      </c>
      <c r="B181" s="18">
        <v>149</v>
      </c>
      <c r="C181" s="61">
        <v>1</v>
      </c>
      <c r="D181" s="118" t="b">
        <v>1</v>
      </c>
      <c r="E181" s="61"/>
      <c r="F181" s="66" t="s">
        <v>822</v>
      </c>
      <c r="G181" s="66" t="s">
        <v>809</v>
      </c>
      <c r="H181" s="2" t="s">
        <v>503</v>
      </c>
      <c r="I181" s="39">
        <f t="shared" si="69"/>
        <v>91</v>
      </c>
      <c r="J181" s="40">
        <f t="shared" si="70"/>
        <v>134</v>
      </c>
      <c r="K181" s="41">
        <f t="shared" si="71"/>
        <v>95</v>
      </c>
      <c r="L181" s="42">
        <f t="shared" si="72"/>
        <v>100</v>
      </c>
      <c r="M181" s="43">
        <f t="shared" si="73"/>
        <v>100</v>
      </c>
      <c r="N181" s="44">
        <f t="shared" si="74"/>
        <v>80</v>
      </c>
      <c r="O181" s="45">
        <f t="shared" si="75"/>
        <v>600</v>
      </c>
      <c r="P181" s="19">
        <f t="shared" si="76"/>
        <v>100</v>
      </c>
      <c r="Q181" s="177">
        <v>91</v>
      </c>
      <c r="R181" s="40">
        <v>134</v>
      </c>
      <c r="S181" s="41">
        <v>95</v>
      </c>
      <c r="T181" s="42">
        <v>100</v>
      </c>
      <c r="U181" s="43">
        <v>100</v>
      </c>
      <c r="V181" s="44">
        <v>80</v>
      </c>
      <c r="W181" s="45">
        <f t="shared" si="67"/>
        <v>600</v>
      </c>
      <c r="X181" s="19">
        <f t="shared" si="68"/>
        <v>100</v>
      </c>
      <c r="Y181" s="3">
        <v>91</v>
      </c>
      <c r="Z181" s="4">
        <v>134</v>
      </c>
      <c r="AA181" s="5">
        <v>95</v>
      </c>
      <c r="AB181" s="6">
        <v>100</v>
      </c>
      <c r="AC181" s="7">
        <v>100</v>
      </c>
      <c r="AD181" s="8">
        <v>80</v>
      </c>
      <c r="AE181" s="1">
        <v>600</v>
      </c>
      <c r="AF181" s="19">
        <v>100</v>
      </c>
      <c r="AG181" s="139">
        <v>91</v>
      </c>
      <c r="AH181" s="140">
        <v>134</v>
      </c>
      <c r="AI181" s="141">
        <v>95</v>
      </c>
      <c r="AJ181" s="142">
        <v>100</v>
      </c>
      <c r="AK181" s="143">
        <v>100</v>
      </c>
      <c r="AL181" s="144">
        <v>80</v>
      </c>
      <c r="AM181" s="138">
        <v>600</v>
      </c>
      <c r="AN181" s="153">
        <v>100</v>
      </c>
      <c r="AO181" s="139">
        <v>91</v>
      </c>
      <c r="AP181" s="140">
        <v>134</v>
      </c>
      <c r="AQ181" s="141">
        <v>95</v>
      </c>
      <c r="AR181" s="162">
        <v>100</v>
      </c>
      <c r="AS181" s="162">
        <v>100</v>
      </c>
      <c r="AT181" s="144">
        <v>80</v>
      </c>
      <c r="AU181" s="138">
        <f t="shared" si="79"/>
        <v>600</v>
      </c>
      <c r="AV181" s="165">
        <f t="shared" si="80"/>
        <v>100</v>
      </c>
      <c r="AW181" s="45"/>
      <c r="AX181" s="174" t="b">
        <f>IF('Refined Compare'!$D$2="All",TRUE,IF(F181='Refined Compare'!$D$2,TRUE,IF(G181='Refined Compare'!$D$2,TRUE,FALSE)))</f>
        <v>0</v>
      </c>
      <c r="AY181" s="174" t="b">
        <f>IF('Refined Compare'!$D$3="All",TRUE,IF(F181='Refined Compare'!$D$3,TRUE,IF(G181='Refined Compare'!$D$3,TRUE,FALSE)))</f>
        <v>0</v>
      </c>
      <c r="AZ181" s="174" t="b">
        <f t="shared" si="63"/>
        <v>1</v>
      </c>
    </row>
    <row r="182" spans="1:52" x14ac:dyDescent="0.35">
      <c r="A182">
        <f t="shared" si="64"/>
        <v>181</v>
      </c>
      <c r="B182" s="18">
        <v>150</v>
      </c>
      <c r="C182" s="61">
        <v>1</v>
      </c>
      <c r="D182" s="61" t="b">
        <f>IF($AW$2&lt;6,TRUE,FALSE)</f>
        <v>1</v>
      </c>
      <c r="E182" s="61"/>
      <c r="F182" s="66" t="s">
        <v>817</v>
      </c>
      <c r="G182" s="66" t="s">
        <v>827</v>
      </c>
      <c r="H182" s="2" t="s">
        <v>765</v>
      </c>
      <c r="I182" s="39">
        <f t="shared" si="69"/>
        <v>106</v>
      </c>
      <c r="J182" s="40">
        <f t="shared" si="70"/>
        <v>110</v>
      </c>
      <c r="K182" s="41">
        <f t="shared" si="71"/>
        <v>90</v>
      </c>
      <c r="L182" s="42">
        <f t="shared" si="72"/>
        <v>154</v>
      </c>
      <c r="M182" s="43">
        <f t="shared" si="73"/>
        <v>90</v>
      </c>
      <c r="N182" s="44">
        <f t="shared" si="74"/>
        <v>130</v>
      </c>
      <c r="O182" s="45">
        <f t="shared" si="75"/>
        <v>680</v>
      </c>
      <c r="P182" s="19">
        <f t="shared" si="76"/>
        <v>113.33</v>
      </c>
      <c r="Q182" s="177">
        <v>106</v>
      </c>
      <c r="R182" s="40">
        <v>110</v>
      </c>
      <c r="S182" s="41">
        <v>90</v>
      </c>
      <c r="T182" s="42">
        <v>154</v>
      </c>
      <c r="U182" s="43">
        <v>90</v>
      </c>
      <c r="V182" s="44">
        <v>130</v>
      </c>
      <c r="W182" s="45">
        <f t="shared" si="67"/>
        <v>680</v>
      </c>
      <c r="X182" s="19">
        <f t="shared" si="68"/>
        <v>113.33</v>
      </c>
      <c r="Y182" s="3">
        <v>106</v>
      </c>
      <c r="Z182" s="4">
        <v>110</v>
      </c>
      <c r="AA182" s="5">
        <v>90</v>
      </c>
      <c r="AB182" s="6">
        <v>154</v>
      </c>
      <c r="AC182" s="7">
        <v>90</v>
      </c>
      <c r="AD182" s="8">
        <v>130</v>
      </c>
      <c r="AE182" s="1">
        <v>680</v>
      </c>
      <c r="AF182" s="19">
        <v>113.33</v>
      </c>
      <c r="AG182" s="139">
        <v>106</v>
      </c>
      <c r="AH182" s="140">
        <v>110</v>
      </c>
      <c r="AI182" s="141">
        <v>90</v>
      </c>
      <c r="AJ182" s="142">
        <v>154</v>
      </c>
      <c r="AK182" s="143">
        <v>90</v>
      </c>
      <c r="AL182" s="144">
        <v>130</v>
      </c>
      <c r="AM182" s="138">
        <v>680</v>
      </c>
      <c r="AN182" s="153">
        <v>113.33</v>
      </c>
      <c r="AO182" s="139">
        <v>106</v>
      </c>
      <c r="AP182" s="140">
        <v>110</v>
      </c>
      <c r="AQ182" s="141">
        <v>90</v>
      </c>
      <c r="AR182" s="162">
        <v>154</v>
      </c>
      <c r="AS182" s="162">
        <v>154</v>
      </c>
      <c r="AT182" s="144">
        <v>130</v>
      </c>
      <c r="AU182" s="138">
        <f t="shared" si="79"/>
        <v>744</v>
      </c>
      <c r="AV182" s="165">
        <f t="shared" si="80"/>
        <v>124</v>
      </c>
      <c r="AW182" s="45"/>
      <c r="AX182" s="174" t="b">
        <f>IF('Refined Compare'!$D$2="All",TRUE,IF(F182='Refined Compare'!$D$2,TRUE,IF(G182='Refined Compare'!$D$2,TRUE,FALSE)))</f>
        <v>0</v>
      </c>
      <c r="AY182" s="174" t="b">
        <f>IF('Refined Compare'!$D$3="All",TRUE,IF(F182='Refined Compare'!$D$3,TRUE,IF(G182='Refined Compare'!$D$3,TRUE,FALSE)))</f>
        <v>1</v>
      </c>
      <c r="AZ182" s="174" t="b">
        <f t="shared" si="63"/>
        <v>1</v>
      </c>
    </row>
    <row r="183" spans="1:52" x14ac:dyDescent="0.35">
      <c r="A183">
        <f t="shared" si="64"/>
        <v>182</v>
      </c>
      <c r="B183" s="62">
        <v>150</v>
      </c>
      <c r="C183" s="61">
        <v>6</v>
      </c>
      <c r="D183" s="118" t="b">
        <f>IF(AZ183,TRUE,FALSE)</f>
        <v>0</v>
      </c>
      <c r="E183" s="61" t="s">
        <v>803</v>
      </c>
      <c r="F183" s="66" t="s">
        <v>817</v>
      </c>
      <c r="G183" s="66" t="s">
        <v>827</v>
      </c>
      <c r="H183" s="38" t="s">
        <v>771</v>
      </c>
      <c r="I183" s="39">
        <f t="shared" si="69"/>
        <v>0</v>
      </c>
      <c r="J183" s="40">
        <f t="shared" si="70"/>
        <v>0</v>
      </c>
      <c r="K183" s="41">
        <f t="shared" si="71"/>
        <v>0</v>
      </c>
      <c r="L183" s="42">
        <f t="shared" si="72"/>
        <v>0</v>
      </c>
      <c r="M183" s="43">
        <f t="shared" si="73"/>
        <v>0</v>
      </c>
      <c r="N183" s="44">
        <f t="shared" si="74"/>
        <v>0</v>
      </c>
      <c r="O183" s="45">
        <f t="shared" si="75"/>
        <v>0</v>
      </c>
      <c r="P183" s="19">
        <f t="shared" si="76"/>
        <v>0</v>
      </c>
      <c r="Q183" s="177">
        <v>106</v>
      </c>
      <c r="R183" s="40">
        <v>150</v>
      </c>
      <c r="S183" s="41">
        <v>70</v>
      </c>
      <c r="T183" s="42">
        <v>194</v>
      </c>
      <c r="U183" s="43">
        <v>120</v>
      </c>
      <c r="V183" s="44">
        <v>140</v>
      </c>
      <c r="W183" s="45">
        <f t="shared" si="67"/>
        <v>780</v>
      </c>
      <c r="X183" s="19">
        <f t="shared" si="68"/>
        <v>130</v>
      </c>
      <c r="Y183" s="39">
        <v>106</v>
      </c>
      <c r="Z183" s="40">
        <v>150</v>
      </c>
      <c r="AA183" s="41">
        <v>70</v>
      </c>
      <c r="AB183" s="42">
        <v>194</v>
      </c>
      <c r="AC183" s="43">
        <v>120</v>
      </c>
      <c r="AD183" s="44">
        <v>140</v>
      </c>
      <c r="AE183" s="45">
        <v>780</v>
      </c>
      <c r="AF183" s="19">
        <v>130</v>
      </c>
      <c r="AN183" s="172"/>
      <c r="AV183" s="174"/>
      <c r="AW183" s="45"/>
      <c r="AX183" s="174" t="b">
        <f>IF('Refined Compare'!$D$2="All",TRUE,IF(F183='Refined Compare'!$D$2,TRUE,IF(G183='Refined Compare'!$D$2,TRUE,FALSE)))</f>
        <v>0</v>
      </c>
      <c r="AY183" s="174" t="b">
        <f>IF('Refined Compare'!$D$3="All",TRUE,IF(F183='Refined Compare'!$D$3,TRUE,IF(G183='Refined Compare'!$D$3,TRUE,FALSE)))</f>
        <v>1</v>
      </c>
      <c r="AZ183" s="174" t="b">
        <f t="shared" si="63"/>
        <v>0</v>
      </c>
    </row>
    <row r="184" spans="1:52" x14ac:dyDescent="0.35">
      <c r="A184">
        <f t="shared" si="64"/>
        <v>183</v>
      </c>
      <c r="B184" s="62">
        <v>150</v>
      </c>
      <c r="C184" s="61">
        <v>6</v>
      </c>
      <c r="D184" s="118" t="b">
        <f>IF(AZ184,TRUE,FALSE)</f>
        <v>0</v>
      </c>
      <c r="E184" s="61" t="s">
        <v>802</v>
      </c>
      <c r="F184" s="66" t="s">
        <v>817</v>
      </c>
      <c r="G184" s="66" t="s">
        <v>816</v>
      </c>
      <c r="H184" s="38" t="s">
        <v>766</v>
      </c>
      <c r="I184" s="39">
        <f t="shared" si="69"/>
        <v>0</v>
      </c>
      <c r="J184" s="40">
        <f t="shared" si="70"/>
        <v>0</v>
      </c>
      <c r="K184" s="41">
        <f t="shared" si="71"/>
        <v>0</v>
      </c>
      <c r="L184" s="42">
        <f t="shared" si="72"/>
        <v>0</v>
      </c>
      <c r="M184" s="43">
        <f t="shared" si="73"/>
        <v>0</v>
      </c>
      <c r="N184" s="44">
        <f t="shared" si="74"/>
        <v>0</v>
      </c>
      <c r="O184" s="45">
        <f t="shared" si="75"/>
        <v>0</v>
      </c>
      <c r="P184" s="19">
        <f t="shared" si="76"/>
        <v>0</v>
      </c>
      <c r="Q184" s="177">
        <v>106</v>
      </c>
      <c r="R184" s="40">
        <v>190</v>
      </c>
      <c r="S184" s="41">
        <v>100</v>
      </c>
      <c r="T184" s="42">
        <v>154</v>
      </c>
      <c r="U184" s="43">
        <v>100</v>
      </c>
      <c r="V184" s="44">
        <v>130</v>
      </c>
      <c r="W184" s="45">
        <f t="shared" si="67"/>
        <v>780</v>
      </c>
      <c r="X184" s="19">
        <f t="shared" si="68"/>
        <v>130</v>
      </c>
      <c r="Y184" s="39">
        <v>106</v>
      </c>
      <c r="Z184" s="40">
        <v>190</v>
      </c>
      <c r="AA184" s="41">
        <v>100</v>
      </c>
      <c r="AB184" s="42">
        <v>154</v>
      </c>
      <c r="AC184" s="43">
        <v>100</v>
      </c>
      <c r="AD184" s="44">
        <v>130</v>
      </c>
      <c r="AE184" s="45">
        <v>780</v>
      </c>
      <c r="AF184" s="19">
        <v>130</v>
      </c>
      <c r="AN184" s="172"/>
      <c r="AV184" s="174"/>
      <c r="AW184" s="45"/>
      <c r="AX184" s="174" t="b">
        <f>IF('Refined Compare'!$D$2="All",TRUE,IF(F184='Refined Compare'!$D$2,TRUE,IF(G184='Refined Compare'!$D$2,TRUE,FALSE)))</f>
        <v>0</v>
      </c>
      <c r="AY184" s="174" t="b">
        <f>IF('Refined Compare'!$D$3="All",TRUE,IF(F184='Refined Compare'!$D$3,TRUE,IF(G184='Refined Compare'!$D$3,TRUE,FALSE)))</f>
        <v>0</v>
      </c>
      <c r="AZ184" s="174" t="b">
        <f t="shared" si="63"/>
        <v>0</v>
      </c>
    </row>
    <row r="185" spans="1:52" x14ac:dyDescent="0.35">
      <c r="A185">
        <f t="shared" si="64"/>
        <v>184</v>
      </c>
      <c r="B185" s="18">
        <v>151</v>
      </c>
      <c r="C185" s="61">
        <v>1</v>
      </c>
      <c r="D185" s="118" t="b">
        <v>1</v>
      </c>
      <c r="E185" s="61"/>
      <c r="F185" s="66" t="s">
        <v>817</v>
      </c>
      <c r="G185" s="66" t="s">
        <v>827</v>
      </c>
      <c r="H185" s="38" t="s">
        <v>662</v>
      </c>
      <c r="I185" s="39">
        <f t="shared" si="69"/>
        <v>100</v>
      </c>
      <c r="J185" s="40">
        <f t="shared" si="70"/>
        <v>100</v>
      </c>
      <c r="K185" s="41">
        <f t="shared" si="71"/>
        <v>100</v>
      </c>
      <c r="L185" s="42">
        <f t="shared" si="72"/>
        <v>100</v>
      </c>
      <c r="M185" s="43">
        <f t="shared" si="73"/>
        <v>100</v>
      </c>
      <c r="N185" s="44">
        <f t="shared" si="74"/>
        <v>100</v>
      </c>
      <c r="O185" s="45">
        <f t="shared" si="75"/>
        <v>600</v>
      </c>
      <c r="P185" s="19">
        <f t="shared" si="76"/>
        <v>100</v>
      </c>
      <c r="Q185" s="177">
        <v>100</v>
      </c>
      <c r="R185" s="40">
        <v>100</v>
      </c>
      <c r="S185" s="41">
        <v>100</v>
      </c>
      <c r="T185" s="42">
        <v>100</v>
      </c>
      <c r="U185" s="43">
        <v>100</v>
      </c>
      <c r="V185" s="44">
        <v>100</v>
      </c>
      <c r="W185" s="45">
        <f t="shared" si="67"/>
        <v>600</v>
      </c>
      <c r="X185" s="19">
        <f t="shared" si="68"/>
        <v>100</v>
      </c>
      <c r="Y185" s="39">
        <v>100</v>
      </c>
      <c r="Z185" s="40">
        <v>100</v>
      </c>
      <c r="AA185" s="41">
        <v>100</v>
      </c>
      <c r="AB185" s="42">
        <v>100</v>
      </c>
      <c r="AC185" s="43">
        <v>100</v>
      </c>
      <c r="AD185" s="44">
        <v>100</v>
      </c>
      <c r="AE185" s="45">
        <v>600</v>
      </c>
      <c r="AF185" s="19">
        <v>100</v>
      </c>
      <c r="AG185" s="139">
        <v>100</v>
      </c>
      <c r="AH185" s="140">
        <v>100</v>
      </c>
      <c r="AI185" s="141">
        <v>100</v>
      </c>
      <c r="AJ185" s="142">
        <v>100</v>
      </c>
      <c r="AK185" s="143">
        <v>100</v>
      </c>
      <c r="AL185" s="144">
        <v>100</v>
      </c>
      <c r="AM185" s="138">
        <v>600</v>
      </c>
      <c r="AN185" s="153">
        <v>100</v>
      </c>
      <c r="AO185" s="166">
        <v>100</v>
      </c>
      <c r="AP185" s="167">
        <v>100</v>
      </c>
      <c r="AQ185" s="168">
        <v>100</v>
      </c>
      <c r="AR185" s="173">
        <v>100</v>
      </c>
      <c r="AS185" s="173">
        <v>100</v>
      </c>
      <c r="AT185" s="171">
        <v>100</v>
      </c>
      <c r="AU185" s="138">
        <f>SUM(AO185:AT185)</f>
        <v>600</v>
      </c>
      <c r="AV185" s="165">
        <f>AU185/6</f>
        <v>100</v>
      </c>
      <c r="AW185" s="45"/>
      <c r="AX185" s="174" t="b">
        <f>IF('Refined Compare'!$D$2="All",TRUE,IF(F185='Refined Compare'!$D$2,TRUE,IF(G185='Refined Compare'!$D$2,TRUE,FALSE)))</f>
        <v>0</v>
      </c>
      <c r="AY185" s="174" t="b">
        <f>IF('Refined Compare'!$D$3="All",TRUE,IF(F185='Refined Compare'!$D$3,TRUE,IF(G185='Refined Compare'!$D$3,TRUE,FALSE)))</f>
        <v>1</v>
      </c>
      <c r="AZ185" s="174" t="b">
        <f t="shared" si="63"/>
        <v>1</v>
      </c>
    </row>
    <row r="186" spans="1:52" x14ac:dyDescent="0.35">
      <c r="A186">
        <f t="shared" si="64"/>
        <v>185</v>
      </c>
      <c r="B186" s="18">
        <v>152</v>
      </c>
      <c r="C186" s="61">
        <v>2</v>
      </c>
      <c r="D186" s="61" t="b">
        <v>0</v>
      </c>
      <c r="E186" s="61"/>
      <c r="F186" s="66" t="s">
        <v>806</v>
      </c>
      <c r="G186" s="66" t="s">
        <v>827</v>
      </c>
      <c r="H186" s="2" t="s">
        <v>180</v>
      </c>
      <c r="I186" s="39">
        <f t="shared" si="69"/>
        <v>45</v>
      </c>
      <c r="J186" s="40">
        <f t="shared" si="70"/>
        <v>49</v>
      </c>
      <c r="K186" s="41">
        <f t="shared" si="71"/>
        <v>65</v>
      </c>
      <c r="L186" s="42">
        <f t="shared" si="72"/>
        <v>49</v>
      </c>
      <c r="M186" s="43">
        <f t="shared" si="73"/>
        <v>65</v>
      </c>
      <c r="N186" s="44">
        <f t="shared" si="74"/>
        <v>45</v>
      </c>
      <c r="O186" s="45">
        <f t="shared" si="75"/>
        <v>318</v>
      </c>
      <c r="P186" s="19">
        <f t="shared" si="76"/>
        <v>53</v>
      </c>
      <c r="Q186" s="177">
        <v>45</v>
      </c>
      <c r="R186" s="40">
        <v>49</v>
      </c>
      <c r="S186" s="41">
        <v>65</v>
      </c>
      <c r="T186" s="42">
        <v>49</v>
      </c>
      <c r="U186" s="43">
        <v>65</v>
      </c>
      <c r="V186" s="44">
        <v>45</v>
      </c>
      <c r="W186" s="45">
        <f t="shared" si="67"/>
        <v>318</v>
      </c>
      <c r="X186" s="19">
        <f t="shared" si="68"/>
        <v>53</v>
      </c>
      <c r="Y186" s="3">
        <v>45</v>
      </c>
      <c r="Z186" s="4">
        <v>49</v>
      </c>
      <c r="AA186" s="5">
        <v>65</v>
      </c>
      <c r="AB186" s="6">
        <v>49</v>
      </c>
      <c r="AC186" s="7">
        <v>65</v>
      </c>
      <c r="AD186" s="8">
        <v>45</v>
      </c>
      <c r="AE186" s="1">
        <v>318</v>
      </c>
      <c r="AF186" s="19">
        <v>53</v>
      </c>
      <c r="AG186" s="139">
        <v>45</v>
      </c>
      <c r="AH186" s="140">
        <v>49</v>
      </c>
      <c r="AI186" s="141">
        <v>65</v>
      </c>
      <c r="AJ186" s="142">
        <v>49</v>
      </c>
      <c r="AK186" s="143">
        <v>65</v>
      </c>
      <c r="AL186" s="144">
        <v>45</v>
      </c>
      <c r="AM186" s="138">
        <v>318</v>
      </c>
      <c r="AN186" s="153">
        <v>53</v>
      </c>
      <c r="AW186" s="45"/>
      <c r="AX186" s="174" t="b">
        <f>IF('Refined Compare'!$D$2="All",TRUE,IF(F186='Refined Compare'!$D$2,TRUE,IF(G186='Refined Compare'!$D$2,TRUE,FALSE)))</f>
        <v>0</v>
      </c>
      <c r="AY186" s="174" t="b">
        <f>IF('Refined Compare'!$D$3="All",TRUE,IF(F186='Refined Compare'!$D$3,TRUE,IF(G186='Refined Compare'!$D$3,TRUE,FALSE)))</f>
        <v>1</v>
      </c>
      <c r="AZ186" s="174" t="b">
        <f t="shared" si="63"/>
        <v>1</v>
      </c>
    </row>
    <row r="187" spans="1:52" x14ac:dyDescent="0.35">
      <c r="A187">
        <f t="shared" si="64"/>
        <v>186</v>
      </c>
      <c r="B187" s="18">
        <v>153</v>
      </c>
      <c r="C187" s="61">
        <v>2</v>
      </c>
      <c r="D187" s="61" t="b">
        <v>0</v>
      </c>
      <c r="E187" s="61"/>
      <c r="F187" s="66" t="s">
        <v>806</v>
      </c>
      <c r="G187" s="66" t="s">
        <v>827</v>
      </c>
      <c r="H187" s="2" t="s">
        <v>320</v>
      </c>
      <c r="I187" s="39">
        <f t="shared" si="69"/>
        <v>60</v>
      </c>
      <c r="J187" s="40">
        <f t="shared" si="70"/>
        <v>62</v>
      </c>
      <c r="K187" s="41">
        <f t="shared" si="71"/>
        <v>80</v>
      </c>
      <c r="L187" s="42">
        <f t="shared" si="72"/>
        <v>63</v>
      </c>
      <c r="M187" s="43">
        <f t="shared" si="73"/>
        <v>80</v>
      </c>
      <c r="N187" s="44">
        <f t="shared" si="74"/>
        <v>60</v>
      </c>
      <c r="O187" s="45">
        <f t="shared" si="75"/>
        <v>405</v>
      </c>
      <c r="P187" s="19">
        <f t="shared" si="76"/>
        <v>67.5</v>
      </c>
      <c r="Q187" s="177">
        <v>60</v>
      </c>
      <c r="R187" s="40">
        <v>62</v>
      </c>
      <c r="S187" s="41">
        <v>80</v>
      </c>
      <c r="T187" s="42">
        <v>63</v>
      </c>
      <c r="U187" s="43">
        <v>80</v>
      </c>
      <c r="V187" s="44">
        <v>60</v>
      </c>
      <c r="W187" s="45">
        <f t="shared" si="67"/>
        <v>405</v>
      </c>
      <c r="X187" s="19">
        <f t="shared" si="68"/>
        <v>67.5</v>
      </c>
      <c r="Y187" s="3">
        <v>60</v>
      </c>
      <c r="Z187" s="4">
        <v>62</v>
      </c>
      <c r="AA187" s="5">
        <v>80</v>
      </c>
      <c r="AB187" s="6">
        <v>63</v>
      </c>
      <c r="AC187" s="7">
        <v>80</v>
      </c>
      <c r="AD187" s="8">
        <v>60</v>
      </c>
      <c r="AE187" s="1">
        <v>405</v>
      </c>
      <c r="AF187" s="19">
        <v>67.5</v>
      </c>
      <c r="AG187" s="139">
        <v>60</v>
      </c>
      <c r="AH187" s="140">
        <v>62</v>
      </c>
      <c r="AI187" s="141">
        <v>80</v>
      </c>
      <c r="AJ187" s="142">
        <v>63</v>
      </c>
      <c r="AK187" s="143">
        <v>80</v>
      </c>
      <c r="AL187" s="144">
        <v>60</v>
      </c>
      <c r="AM187" s="138">
        <v>405</v>
      </c>
      <c r="AN187" s="153">
        <v>67.5</v>
      </c>
      <c r="AW187" s="45"/>
      <c r="AX187" s="174" t="b">
        <f>IF('Refined Compare'!$D$2="All",TRUE,IF(F187='Refined Compare'!$D$2,TRUE,IF(G187='Refined Compare'!$D$2,TRUE,FALSE)))</f>
        <v>0</v>
      </c>
      <c r="AY187" s="174" t="b">
        <f>IF('Refined Compare'!$D$3="All",TRUE,IF(F187='Refined Compare'!$D$3,TRUE,IF(G187='Refined Compare'!$D$3,TRUE,FALSE)))</f>
        <v>1</v>
      </c>
      <c r="AZ187" s="174" t="b">
        <f t="shared" si="63"/>
        <v>1</v>
      </c>
    </row>
    <row r="188" spans="1:52" x14ac:dyDescent="0.35">
      <c r="A188">
        <f t="shared" si="64"/>
        <v>187</v>
      </c>
      <c r="B188" s="18">
        <v>154</v>
      </c>
      <c r="C188" s="61">
        <v>2</v>
      </c>
      <c r="D188" s="118" t="b">
        <v>1</v>
      </c>
      <c r="E188" s="61"/>
      <c r="F188" s="66" t="s">
        <v>806</v>
      </c>
      <c r="G188" s="66" t="s">
        <v>827</v>
      </c>
      <c r="H188" s="2" t="s">
        <v>504</v>
      </c>
      <c r="I188" s="39">
        <f t="shared" si="69"/>
        <v>80</v>
      </c>
      <c r="J188" s="40">
        <f t="shared" si="70"/>
        <v>82</v>
      </c>
      <c r="K188" s="41">
        <f t="shared" si="71"/>
        <v>100</v>
      </c>
      <c r="L188" s="42">
        <f t="shared" si="72"/>
        <v>83</v>
      </c>
      <c r="M188" s="43">
        <f t="shared" si="73"/>
        <v>100</v>
      </c>
      <c r="N188" s="44">
        <f t="shared" si="74"/>
        <v>80</v>
      </c>
      <c r="O188" s="45">
        <f t="shared" si="75"/>
        <v>525</v>
      </c>
      <c r="P188" s="19">
        <f t="shared" si="76"/>
        <v>87.5</v>
      </c>
      <c r="Q188" s="177">
        <v>80</v>
      </c>
      <c r="R188" s="40">
        <v>82</v>
      </c>
      <c r="S188" s="41">
        <v>100</v>
      </c>
      <c r="T188" s="42">
        <v>83</v>
      </c>
      <c r="U188" s="43">
        <v>100</v>
      </c>
      <c r="V188" s="44">
        <v>80</v>
      </c>
      <c r="W188" s="45">
        <f t="shared" si="67"/>
        <v>525</v>
      </c>
      <c r="X188" s="19">
        <f t="shared" si="68"/>
        <v>87.5</v>
      </c>
      <c r="Y188" s="3">
        <v>80</v>
      </c>
      <c r="Z188" s="4">
        <v>82</v>
      </c>
      <c r="AA188" s="5">
        <v>100</v>
      </c>
      <c r="AB188" s="6">
        <v>83</v>
      </c>
      <c r="AC188" s="7">
        <v>100</v>
      </c>
      <c r="AD188" s="8">
        <v>80</v>
      </c>
      <c r="AE188" s="1">
        <v>525</v>
      </c>
      <c r="AF188" s="19">
        <v>87.5</v>
      </c>
      <c r="AG188" s="139">
        <v>80</v>
      </c>
      <c r="AH188" s="140">
        <v>82</v>
      </c>
      <c r="AI188" s="141">
        <v>100</v>
      </c>
      <c r="AJ188" s="142">
        <v>83</v>
      </c>
      <c r="AK188" s="143">
        <v>100</v>
      </c>
      <c r="AL188" s="144">
        <v>80</v>
      </c>
      <c r="AM188" s="138">
        <v>525</v>
      </c>
      <c r="AN188" s="153">
        <v>87.5</v>
      </c>
      <c r="AW188" s="45"/>
      <c r="AX188" s="174" t="b">
        <f>IF('Refined Compare'!$D$2="All",TRUE,IF(F188='Refined Compare'!$D$2,TRUE,IF(G188='Refined Compare'!$D$2,TRUE,FALSE)))</f>
        <v>0</v>
      </c>
      <c r="AY188" s="174" t="b">
        <f>IF('Refined Compare'!$D$3="All",TRUE,IF(F188='Refined Compare'!$D$3,TRUE,IF(G188='Refined Compare'!$D$3,TRUE,FALSE)))</f>
        <v>1</v>
      </c>
      <c r="AZ188" s="174" t="b">
        <f t="shared" si="63"/>
        <v>1</v>
      </c>
    </row>
    <row r="189" spans="1:52" x14ac:dyDescent="0.35">
      <c r="A189">
        <f t="shared" si="64"/>
        <v>188</v>
      </c>
      <c r="B189" s="18">
        <v>155</v>
      </c>
      <c r="C189" s="61">
        <v>2</v>
      </c>
      <c r="D189" s="61" t="b">
        <v>0</v>
      </c>
      <c r="E189" s="61"/>
      <c r="F189" s="66" t="s">
        <v>808</v>
      </c>
      <c r="G189" s="66" t="s">
        <v>827</v>
      </c>
      <c r="H189" s="2" t="s">
        <v>372</v>
      </c>
      <c r="I189" s="39">
        <f t="shared" si="69"/>
        <v>39</v>
      </c>
      <c r="J189" s="40">
        <f t="shared" si="70"/>
        <v>52</v>
      </c>
      <c r="K189" s="41">
        <f t="shared" si="71"/>
        <v>43</v>
      </c>
      <c r="L189" s="42">
        <f t="shared" si="72"/>
        <v>60</v>
      </c>
      <c r="M189" s="43">
        <f t="shared" si="73"/>
        <v>50</v>
      </c>
      <c r="N189" s="44">
        <f t="shared" si="74"/>
        <v>65</v>
      </c>
      <c r="O189" s="45">
        <f t="shared" si="75"/>
        <v>309</v>
      </c>
      <c r="P189" s="19">
        <f t="shared" si="76"/>
        <v>51.5</v>
      </c>
      <c r="Q189" s="177">
        <v>39</v>
      </c>
      <c r="R189" s="40">
        <v>52</v>
      </c>
      <c r="S189" s="41">
        <v>43</v>
      </c>
      <c r="T189" s="42">
        <v>60</v>
      </c>
      <c r="U189" s="43">
        <v>50</v>
      </c>
      <c r="V189" s="44">
        <v>65</v>
      </c>
      <c r="W189" s="45">
        <f t="shared" si="67"/>
        <v>309</v>
      </c>
      <c r="X189" s="19">
        <f t="shared" si="68"/>
        <v>51.5</v>
      </c>
      <c r="Y189" s="3">
        <v>39</v>
      </c>
      <c r="Z189" s="4">
        <v>52</v>
      </c>
      <c r="AA189" s="5">
        <v>43</v>
      </c>
      <c r="AB189" s="6">
        <v>60</v>
      </c>
      <c r="AC189" s="7">
        <v>50</v>
      </c>
      <c r="AD189" s="8">
        <v>65</v>
      </c>
      <c r="AE189" s="1">
        <v>309</v>
      </c>
      <c r="AF189" s="19">
        <v>51.5</v>
      </c>
      <c r="AG189" s="139">
        <v>39</v>
      </c>
      <c r="AH189" s="140">
        <v>52</v>
      </c>
      <c r="AI189" s="141">
        <v>43</v>
      </c>
      <c r="AJ189" s="142">
        <v>60</v>
      </c>
      <c r="AK189" s="143">
        <v>50</v>
      </c>
      <c r="AL189" s="144">
        <v>65</v>
      </c>
      <c r="AM189" s="138">
        <v>309</v>
      </c>
      <c r="AN189" s="153">
        <v>51.5</v>
      </c>
      <c r="AW189" s="45"/>
      <c r="AX189" s="174" t="b">
        <f>IF('Refined Compare'!$D$2="All",TRUE,IF(F189='Refined Compare'!$D$2,TRUE,IF(G189='Refined Compare'!$D$2,TRUE,FALSE)))</f>
        <v>0</v>
      </c>
      <c r="AY189" s="174" t="b">
        <f>IF('Refined Compare'!$D$3="All",TRUE,IF(F189='Refined Compare'!$D$3,TRUE,IF(G189='Refined Compare'!$D$3,TRUE,FALSE)))</f>
        <v>1</v>
      </c>
      <c r="AZ189" s="174" t="b">
        <f t="shared" si="63"/>
        <v>1</v>
      </c>
    </row>
    <row r="190" spans="1:52" x14ac:dyDescent="0.35">
      <c r="A190">
        <f t="shared" si="64"/>
        <v>189</v>
      </c>
      <c r="B190" s="18">
        <v>156</v>
      </c>
      <c r="C190" s="61">
        <v>2</v>
      </c>
      <c r="D190" s="61" t="b">
        <v>0</v>
      </c>
      <c r="E190" s="61"/>
      <c r="F190" s="66" t="s">
        <v>808</v>
      </c>
      <c r="G190" s="66" t="s">
        <v>827</v>
      </c>
      <c r="H190" s="2" t="s">
        <v>505</v>
      </c>
      <c r="I190" s="39">
        <f t="shared" si="69"/>
        <v>58</v>
      </c>
      <c r="J190" s="40">
        <f t="shared" si="70"/>
        <v>64</v>
      </c>
      <c r="K190" s="41">
        <f t="shared" si="71"/>
        <v>58</v>
      </c>
      <c r="L190" s="42">
        <f t="shared" si="72"/>
        <v>80</v>
      </c>
      <c r="M190" s="43">
        <f t="shared" si="73"/>
        <v>65</v>
      </c>
      <c r="N190" s="44">
        <f t="shared" si="74"/>
        <v>80</v>
      </c>
      <c r="O190" s="45">
        <f t="shared" si="75"/>
        <v>405</v>
      </c>
      <c r="P190" s="19">
        <f t="shared" si="76"/>
        <v>67.5</v>
      </c>
      <c r="Q190" s="177">
        <v>58</v>
      </c>
      <c r="R190" s="40">
        <v>64</v>
      </c>
      <c r="S190" s="41">
        <v>58</v>
      </c>
      <c r="T190" s="42">
        <v>80</v>
      </c>
      <c r="U190" s="43">
        <v>65</v>
      </c>
      <c r="V190" s="44">
        <v>80</v>
      </c>
      <c r="W190" s="45">
        <f t="shared" si="67"/>
        <v>405</v>
      </c>
      <c r="X190" s="19">
        <f t="shared" si="68"/>
        <v>67.5</v>
      </c>
      <c r="Y190" s="3">
        <v>58</v>
      </c>
      <c r="Z190" s="4">
        <v>64</v>
      </c>
      <c r="AA190" s="5">
        <v>58</v>
      </c>
      <c r="AB190" s="6">
        <v>80</v>
      </c>
      <c r="AC190" s="7">
        <v>65</v>
      </c>
      <c r="AD190" s="8">
        <v>80</v>
      </c>
      <c r="AE190" s="1">
        <v>405</v>
      </c>
      <c r="AF190" s="19">
        <v>67.5</v>
      </c>
      <c r="AG190" s="139">
        <v>58</v>
      </c>
      <c r="AH190" s="140">
        <v>64</v>
      </c>
      <c r="AI190" s="141">
        <v>58</v>
      </c>
      <c r="AJ190" s="142">
        <v>80</v>
      </c>
      <c r="AK190" s="143">
        <v>65</v>
      </c>
      <c r="AL190" s="144">
        <v>80</v>
      </c>
      <c r="AM190" s="138">
        <v>405</v>
      </c>
      <c r="AN190" s="153">
        <v>67.5</v>
      </c>
      <c r="AW190" s="45"/>
      <c r="AX190" s="174" t="b">
        <f>IF('Refined Compare'!$D$2="All",TRUE,IF(F190='Refined Compare'!$D$2,TRUE,IF(G190='Refined Compare'!$D$2,TRUE,FALSE)))</f>
        <v>0</v>
      </c>
      <c r="AY190" s="174" t="b">
        <f>IF('Refined Compare'!$D$3="All",TRUE,IF(F190='Refined Compare'!$D$3,TRUE,IF(G190='Refined Compare'!$D$3,TRUE,FALSE)))</f>
        <v>1</v>
      </c>
      <c r="AZ190" s="174" t="b">
        <f t="shared" si="63"/>
        <v>1</v>
      </c>
    </row>
    <row r="191" spans="1:52" x14ac:dyDescent="0.35">
      <c r="A191">
        <f t="shared" si="64"/>
        <v>190</v>
      </c>
      <c r="B191" s="18">
        <v>157</v>
      </c>
      <c r="C191" s="61">
        <v>2</v>
      </c>
      <c r="D191" s="118" t="b">
        <v>1</v>
      </c>
      <c r="E191" s="61"/>
      <c r="F191" s="66" t="s">
        <v>808</v>
      </c>
      <c r="G191" s="66" t="s">
        <v>827</v>
      </c>
      <c r="H191" s="2" t="s">
        <v>663</v>
      </c>
      <c r="I191" s="39">
        <f t="shared" si="69"/>
        <v>78</v>
      </c>
      <c r="J191" s="40">
        <f t="shared" si="70"/>
        <v>84</v>
      </c>
      <c r="K191" s="41">
        <f t="shared" si="71"/>
        <v>78</v>
      </c>
      <c r="L191" s="42">
        <f t="shared" si="72"/>
        <v>109</v>
      </c>
      <c r="M191" s="43">
        <f t="shared" si="73"/>
        <v>85</v>
      </c>
      <c r="N191" s="44">
        <f t="shared" si="74"/>
        <v>100</v>
      </c>
      <c r="O191" s="45">
        <f t="shared" si="75"/>
        <v>534</v>
      </c>
      <c r="P191" s="19">
        <f t="shared" si="76"/>
        <v>89</v>
      </c>
      <c r="Q191" s="177">
        <v>78</v>
      </c>
      <c r="R191" s="40">
        <v>84</v>
      </c>
      <c r="S191" s="41">
        <v>78</v>
      </c>
      <c r="T191" s="42">
        <v>109</v>
      </c>
      <c r="U191" s="43">
        <v>85</v>
      </c>
      <c r="V191" s="44">
        <v>100</v>
      </c>
      <c r="W191" s="45">
        <f t="shared" si="67"/>
        <v>534</v>
      </c>
      <c r="X191" s="19">
        <f t="shared" si="68"/>
        <v>89</v>
      </c>
      <c r="Y191" s="3">
        <v>78</v>
      </c>
      <c r="Z191" s="4">
        <v>84</v>
      </c>
      <c r="AA191" s="5">
        <v>78</v>
      </c>
      <c r="AB191" s="6">
        <v>109</v>
      </c>
      <c r="AC191" s="7">
        <v>85</v>
      </c>
      <c r="AD191" s="8">
        <v>100</v>
      </c>
      <c r="AE191" s="1">
        <v>534</v>
      </c>
      <c r="AF191" s="19">
        <v>89</v>
      </c>
      <c r="AG191" s="139">
        <v>78</v>
      </c>
      <c r="AH191" s="140">
        <v>84</v>
      </c>
      <c r="AI191" s="141">
        <v>78</v>
      </c>
      <c r="AJ191" s="142">
        <v>109</v>
      </c>
      <c r="AK191" s="143">
        <v>85</v>
      </c>
      <c r="AL191" s="144">
        <v>100</v>
      </c>
      <c r="AM191" s="138">
        <v>534</v>
      </c>
      <c r="AN191" s="153">
        <v>89</v>
      </c>
      <c r="AW191" s="45"/>
      <c r="AX191" s="174" t="b">
        <f>IF('Refined Compare'!$D$2="All",TRUE,IF(F191='Refined Compare'!$D$2,TRUE,IF(G191='Refined Compare'!$D$2,TRUE,FALSE)))</f>
        <v>0</v>
      </c>
      <c r="AY191" s="174" t="b">
        <f>IF('Refined Compare'!$D$3="All",TRUE,IF(F191='Refined Compare'!$D$3,TRUE,IF(G191='Refined Compare'!$D$3,TRUE,FALSE)))</f>
        <v>1</v>
      </c>
      <c r="AZ191" s="174" t="b">
        <f t="shared" si="63"/>
        <v>1</v>
      </c>
    </row>
    <row r="192" spans="1:52" x14ac:dyDescent="0.35">
      <c r="A192">
        <f t="shared" si="64"/>
        <v>191</v>
      </c>
      <c r="B192" s="18">
        <v>158</v>
      </c>
      <c r="C192" s="61">
        <v>2</v>
      </c>
      <c r="D192" s="61" t="b">
        <v>0</v>
      </c>
      <c r="E192" s="61"/>
      <c r="F192" s="66" t="s">
        <v>810</v>
      </c>
      <c r="G192" s="66" t="s">
        <v>827</v>
      </c>
      <c r="H192" s="2" t="s">
        <v>164</v>
      </c>
      <c r="I192" s="39">
        <f t="shared" si="69"/>
        <v>50</v>
      </c>
      <c r="J192" s="40">
        <f t="shared" si="70"/>
        <v>65</v>
      </c>
      <c r="K192" s="41">
        <f t="shared" si="71"/>
        <v>64</v>
      </c>
      <c r="L192" s="42">
        <f t="shared" si="72"/>
        <v>44</v>
      </c>
      <c r="M192" s="43">
        <f t="shared" si="73"/>
        <v>48</v>
      </c>
      <c r="N192" s="44">
        <f t="shared" si="74"/>
        <v>43</v>
      </c>
      <c r="O192" s="45">
        <f t="shared" si="75"/>
        <v>314</v>
      </c>
      <c r="P192" s="19">
        <f t="shared" si="76"/>
        <v>52.33</v>
      </c>
      <c r="Q192" s="177">
        <v>50</v>
      </c>
      <c r="R192" s="40">
        <v>65</v>
      </c>
      <c r="S192" s="41">
        <v>64</v>
      </c>
      <c r="T192" s="42">
        <v>44</v>
      </c>
      <c r="U192" s="43">
        <v>48</v>
      </c>
      <c r="V192" s="44">
        <v>43</v>
      </c>
      <c r="W192" s="45">
        <f t="shared" si="67"/>
        <v>314</v>
      </c>
      <c r="X192" s="19">
        <f t="shared" si="68"/>
        <v>52.33</v>
      </c>
      <c r="Y192" s="3">
        <v>50</v>
      </c>
      <c r="Z192" s="4">
        <v>65</v>
      </c>
      <c r="AA192" s="5">
        <v>64</v>
      </c>
      <c r="AB192" s="6">
        <v>44</v>
      </c>
      <c r="AC192" s="7">
        <v>48</v>
      </c>
      <c r="AD192" s="8">
        <v>43</v>
      </c>
      <c r="AE192" s="1">
        <v>314</v>
      </c>
      <c r="AF192" s="19">
        <v>52.33</v>
      </c>
      <c r="AG192" s="139">
        <v>50</v>
      </c>
      <c r="AH192" s="140">
        <v>65</v>
      </c>
      <c r="AI192" s="141">
        <v>64</v>
      </c>
      <c r="AJ192" s="142">
        <v>44</v>
      </c>
      <c r="AK192" s="143">
        <v>48</v>
      </c>
      <c r="AL192" s="144">
        <v>43</v>
      </c>
      <c r="AM192" s="138">
        <v>314</v>
      </c>
      <c r="AN192" s="153">
        <v>52.33</v>
      </c>
      <c r="AW192" s="45"/>
      <c r="AX192" s="174" t="b">
        <f>IF('Refined Compare'!$D$2="All",TRUE,IF(F192='Refined Compare'!$D$2,TRUE,IF(G192='Refined Compare'!$D$2,TRUE,FALSE)))</f>
        <v>0</v>
      </c>
      <c r="AY192" s="174" t="b">
        <f>IF('Refined Compare'!$D$3="All",TRUE,IF(F192='Refined Compare'!$D$3,TRUE,IF(G192='Refined Compare'!$D$3,TRUE,FALSE)))</f>
        <v>1</v>
      </c>
      <c r="AZ192" s="174" t="b">
        <f t="shared" si="63"/>
        <v>1</v>
      </c>
    </row>
    <row r="193" spans="1:52" x14ac:dyDescent="0.35">
      <c r="A193">
        <f t="shared" si="64"/>
        <v>192</v>
      </c>
      <c r="B193" s="18">
        <v>159</v>
      </c>
      <c r="C193" s="61">
        <v>2</v>
      </c>
      <c r="D193" s="61" t="b">
        <v>0</v>
      </c>
      <c r="E193" s="61"/>
      <c r="F193" s="66" t="s">
        <v>810</v>
      </c>
      <c r="G193" s="66" t="s">
        <v>827</v>
      </c>
      <c r="H193" s="2" t="s">
        <v>303</v>
      </c>
      <c r="I193" s="39">
        <f t="shared" si="69"/>
        <v>65</v>
      </c>
      <c r="J193" s="40">
        <f t="shared" si="70"/>
        <v>80</v>
      </c>
      <c r="K193" s="41">
        <f t="shared" si="71"/>
        <v>80</v>
      </c>
      <c r="L193" s="42">
        <f t="shared" si="72"/>
        <v>59</v>
      </c>
      <c r="M193" s="43">
        <f t="shared" si="73"/>
        <v>63</v>
      </c>
      <c r="N193" s="44">
        <f t="shared" si="74"/>
        <v>58</v>
      </c>
      <c r="O193" s="45">
        <f t="shared" si="75"/>
        <v>405</v>
      </c>
      <c r="P193" s="19">
        <f t="shared" si="76"/>
        <v>67.5</v>
      </c>
      <c r="Q193" s="177">
        <v>65</v>
      </c>
      <c r="R193" s="40">
        <v>80</v>
      </c>
      <c r="S193" s="41">
        <v>80</v>
      </c>
      <c r="T193" s="42">
        <v>59</v>
      </c>
      <c r="U193" s="43">
        <v>63</v>
      </c>
      <c r="V193" s="44">
        <v>58</v>
      </c>
      <c r="W193" s="45">
        <f t="shared" si="67"/>
        <v>405</v>
      </c>
      <c r="X193" s="19">
        <f t="shared" si="68"/>
        <v>67.5</v>
      </c>
      <c r="Y193" s="3">
        <v>65</v>
      </c>
      <c r="Z193" s="4">
        <v>80</v>
      </c>
      <c r="AA193" s="5">
        <v>80</v>
      </c>
      <c r="AB193" s="6">
        <v>59</v>
      </c>
      <c r="AC193" s="7">
        <v>63</v>
      </c>
      <c r="AD193" s="8">
        <v>58</v>
      </c>
      <c r="AE193" s="1">
        <v>405</v>
      </c>
      <c r="AF193" s="19">
        <v>67.5</v>
      </c>
      <c r="AG193" s="139">
        <v>65</v>
      </c>
      <c r="AH193" s="140">
        <v>80</v>
      </c>
      <c r="AI193" s="141">
        <v>80</v>
      </c>
      <c r="AJ193" s="142">
        <v>59</v>
      </c>
      <c r="AK193" s="143">
        <v>63</v>
      </c>
      <c r="AL193" s="144">
        <v>58</v>
      </c>
      <c r="AM193" s="138">
        <v>405</v>
      </c>
      <c r="AN193" s="153">
        <v>67.5</v>
      </c>
      <c r="AW193" s="45"/>
      <c r="AX193" s="174" t="b">
        <f>IF('Refined Compare'!$D$2="All",TRUE,IF(F193='Refined Compare'!$D$2,TRUE,IF(G193='Refined Compare'!$D$2,TRUE,FALSE)))</f>
        <v>0</v>
      </c>
      <c r="AY193" s="174" t="b">
        <f>IF('Refined Compare'!$D$3="All",TRUE,IF(F193='Refined Compare'!$D$3,TRUE,IF(G193='Refined Compare'!$D$3,TRUE,FALSE)))</f>
        <v>1</v>
      </c>
      <c r="AZ193" s="174" t="b">
        <f t="shared" si="63"/>
        <v>1</v>
      </c>
    </row>
    <row r="194" spans="1:52" x14ac:dyDescent="0.35">
      <c r="A194">
        <f t="shared" si="64"/>
        <v>193</v>
      </c>
      <c r="B194" s="18">
        <v>160</v>
      </c>
      <c r="C194" s="61">
        <v>2</v>
      </c>
      <c r="D194" s="118" t="b">
        <v>1</v>
      </c>
      <c r="E194" s="61"/>
      <c r="F194" s="66" t="s">
        <v>810</v>
      </c>
      <c r="G194" s="66" t="s">
        <v>827</v>
      </c>
      <c r="H194" s="2" t="s">
        <v>493</v>
      </c>
      <c r="I194" s="39">
        <f t="shared" si="69"/>
        <v>85</v>
      </c>
      <c r="J194" s="40">
        <f t="shared" si="70"/>
        <v>105</v>
      </c>
      <c r="K194" s="41">
        <f t="shared" si="71"/>
        <v>100</v>
      </c>
      <c r="L194" s="42">
        <f t="shared" si="72"/>
        <v>79</v>
      </c>
      <c r="M194" s="43">
        <f t="shared" si="73"/>
        <v>83</v>
      </c>
      <c r="N194" s="44">
        <f t="shared" si="74"/>
        <v>78</v>
      </c>
      <c r="O194" s="45">
        <f t="shared" si="75"/>
        <v>530</v>
      </c>
      <c r="P194" s="19">
        <f t="shared" si="76"/>
        <v>88.33</v>
      </c>
      <c r="Q194" s="177">
        <v>85</v>
      </c>
      <c r="R194" s="40">
        <v>105</v>
      </c>
      <c r="S194" s="41">
        <v>100</v>
      </c>
      <c r="T194" s="42">
        <v>79</v>
      </c>
      <c r="U194" s="43">
        <v>83</v>
      </c>
      <c r="V194" s="44">
        <v>78</v>
      </c>
      <c r="W194" s="45">
        <f t="shared" si="67"/>
        <v>530</v>
      </c>
      <c r="X194" s="19">
        <f t="shared" si="68"/>
        <v>88.33</v>
      </c>
      <c r="Y194" s="3">
        <v>85</v>
      </c>
      <c r="Z194" s="4">
        <v>105</v>
      </c>
      <c r="AA194" s="5">
        <v>100</v>
      </c>
      <c r="AB194" s="6">
        <v>79</v>
      </c>
      <c r="AC194" s="7">
        <v>83</v>
      </c>
      <c r="AD194" s="8">
        <v>78</v>
      </c>
      <c r="AE194" s="1">
        <v>530</v>
      </c>
      <c r="AF194" s="19">
        <v>88.33</v>
      </c>
      <c r="AG194" s="139">
        <v>85</v>
      </c>
      <c r="AH194" s="140">
        <v>105</v>
      </c>
      <c r="AI194" s="141">
        <v>100</v>
      </c>
      <c r="AJ194" s="142">
        <v>79</v>
      </c>
      <c r="AK194" s="143">
        <v>83</v>
      </c>
      <c r="AL194" s="144">
        <v>78</v>
      </c>
      <c r="AM194" s="138">
        <v>530</v>
      </c>
      <c r="AN194" s="153">
        <v>88.33</v>
      </c>
      <c r="AW194" s="45"/>
      <c r="AX194" s="174" t="b">
        <f>IF('Refined Compare'!$D$2="All",TRUE,IF(F194='Refined Compare'!$D$2,TRUE,IF(G194='Refined Compare'!$D$2,TRUE,FALSE)))</f>
        <v>0</v>
      </c>
      <c r="AY194" s="174" t="b">
        <f>IF('Refined Compare'!$D$3="All",TRUE,IF(F194='Refined Compare'!$D$3,TRUE,IF(G194='Refined Compare'!$D$3,TRUE,FALSE)))</f>
        <v>1</v>
      </c>
      <c r="AZ194" s="174" t="b">
        <f t="shared" ref="AZ194:AZ257" si="81">IF(C194&lt;=$AW$2,TRUE,FALSE)</f>
        <v>1</v>
      </c>
    </row>
    <row r="195" spans="1:52" x14ac:dyDescent="0.35">
      <c r="A195">
        <f t="shared" si="64"/>
        <v>194</v>
      </c>
      <c r="B195" s="18">
        <v>161</v>
      </c>
      <c r="C195" s="61">
        <v>2</v>
      </c>
      <c r="D195" s="61" t="b">
        <v>0</v>
      </c>
      <c r="E195" s="61"/>
      <c r="F195" s="66" t="s">
        <v>812</v>
      </c>
      <c r="G195" s="66" t="s">
        <v>827</v>
      </c>
      <c r="H195" s="2" t="s">
        <v>16</v>
      </c>
      <c r="I195" s="39">
        <f t="shared" si="69"/>
        <v>35</v>
      </c>
      <c r="J195" s="40">
        <f t="shared" si="70"/>
        <v>46</v>
      </c>
      <c r="K195" s="41">
        <f t="shared" si="71"/>
        <v>34</v>
      </c>
      <c r="L195" s="42">
        <f t="shared" si="72"/>
        <v>35</v>
      </c>
      <c r="M195" s="43">
        <f t="shared" si="73"/>
        <v>45</v>
      </c>
      <c r="N195" s="44">
        <f t="shared" si="74"/>
        <v>20</v>
      </c>
      <c r="O195" s="45">
        <f t="shared" si="75"/>
        <v>215</v>
      </c>
      <c r="P195" s="19">
        <f t="shared" si="76"/>
        <v>35.83</v>
      </c>
      <c r="Q195" s="177">
        <v>35</v>
      </c>
      <c r="R195" s="40">
        <v>46</v>
      </c>
      <c r="S195" s="41">
        <v>34</v>
      </c>
      <c r="T195" s="42">
        <v>35</v>
      </c>
      <c r="U195" s="43">
        <v>45</v>
      </c>
      <c r="V195" s="44">
        <v>20</v>
      </c>
      <c r="W195" s="45">
        <f t="shared" si="67"/>
        <v>215</v>
      </c>
      <c r="X195" s="19">
        <f t="shared" si="68"/>
        <v>35.83</v>
      </c>
      <c r="Y195" s="3">
        <v>35</v>
      </c>
      <c r="Z195" s="4">
        <v>46</v>
      </c>
      <c r="AA195" s="5">
        <v>34</v>
      </c>
      <c r="AB195" s="6">
        <v>35</v>
      </c>
      <c r="AC195" s="7">
        <v>45</v>
      </c>
      <c r="AD195" s="8">
        <v>20</v>
      </c>
      <c r="AE195" s="1">
        <v>215</v>
      </c>
      <c r="AF195" s="19">
        <v>35.83</v>
      </c>
      <c r="AG195" s="139">
        <v>35</v>
      </c>
      <c r="AH195" s="140">
        <v>46</v>
      </c>
      <c r="AI195" s="141">
        <v>34</v>
      </c>
      <c r="AJ195" s="142">
        <v>35</v>
      </c>
      <c r="AK195" s="143">
        <v>45</v>
      </c>
      <c r="AL195" s="144">
        <v>20</v>
      </c>
      <c r="AM195" s="138">
        <v>215</v>
      </c>
      <c r="AN195" s="153">
        <v>35.83</v>
      </c>
      <c r="AW195" s="45"/>
      <c r="AX195" s="174" t="b">
        <f>IF('Refined Compare'!$D$2="All",TRUE,IF(F195='Refined Compare'!$D$2,TRUE,IF(G195='Refined Compare'!$D$2,TRUE,FALSE)))</f>
        <v>0</v>
      </c>
      <c r="AY195" s="174" t="b">
        <f>IF('Refined Compare'!$D$3="All",TRUE,IF(F195='Refined Compare'!$D$3,TRUE,IF(G195='Refined Compare'!$D$3,TRUE,FALSE)))</f>
        <v>1</v>
      </c>
      <c r="AZ195" s="174" t="b">
        <f t="shared" si="81"/>
        <v>1</v>
      </c>
    </row>
    <row r="196" spans="1:52" x14ac:dyDescent="0.35">
      <c r="A196">
        <f t="shared" si="64"/>
        <v>195</v>
      </c>
      <c r="B196" s="18">
        <v>162</v>
      </c>
      <c r="C196" s="61">
        <v>2</v>
      </c>
      <c r="D196" s="118" t="b">
        <v>1</v>
      </c>
      <c r="E196" s="61"/>
      <c r="F196" s="66" t="s">
        <v>812</v>
      </c>
      <c r="G196" s="66" t="s">
        <v>827</v>
      </c>
      <c r="H196" s="2" t="s">
        <v>585</v>
      </c>
      <c r="I196" s="39">
        <f t="shared" si="69"/>
        <v>85</v>
      </c>
      <c r="J196" s="40">
        <f t="shared" si="70"/>
        <v>76</v>
      </c>
      <c r="K196" s="41">
        <f t="shared" si="71"/>
        <v>64</v>
      </c>
      <c r="L196" s="42">
        <f t="shared" si="72"/>
        <v>45</v>
      </c>
      <c r="M196" s="43">
        <f t="shared" si="73"/>
        <v>55</v>
      </c>
      <c r="N196" s="44">
        <f t="shared" si="74"/>
        <v>90</v>
      </c>
      <c r="O196" s="45">
        <f t="shared" si="75"/>
        <v>415</v>
      </c>
      <c r="P196" s="19">
        <f t="shared" si="76"/>
        <v>69.17</v>
      </c>
      <c r="Q196" s="177">
        <v>85</v>
      </c>
      <c r="R196" s="40">
        <v>76</v>
      </c>
      <c r="S196" s="41">
        <v>64</v>
      </c>
      <c r="T196" s="42">
        <v>45</v>
      </c>
      <c r="U196" s="43">
        <v>55</v>
      </c>
      <c r="V196" s="44">
        <v>90</v>
      </c>
      <c r="W196" s="45">
        <f t="shared" si="67"/>
        <v>415</v>
      </c>
      <c r="X196" s="19">
        <f t="shared" si="68"/>
        <v>69.17</v>
      </c>
      <c r="Y196" s="3">
        <v>85</v>
      </c>
      <c r="Z196" s="4">
        <v>76</v>
      </c>
      <c r="AA196" s="5">
        <v>64</v>
      </c>
      <c r="AB196" s="6">
        <v>45</v>
      </c>
      <c r="AC196" s="7">
        <v>55</v>
      </c>
      <c r="AD196" s="8">
        <v>90</v>
      </c>
      <c r="AE196" s="1">
        <v>415</v>
      </c>
      <c r="AF196" s="19">
        <v>69.17</v>
      </c>
      <c r="AG196" s="139">
        <v>85</v>
      </c>
      <c r="AH196" s="140">
        <v>76</v>
      </c>
      <c r="AI196" s="141">
        <v>64</v>
      </c>
      <c r="AJ196" s="142">
        <v>45</v>
      </c>
      <c r="AK196" s="143">
        <v>55</v>
      </c>
      <c r="AL196" s="144">
        <v>90</v>
      </c>
      <c r="AM196" s="138">
        <v>415</v>
      </c>
      <c r="AN196" s="153">
        <v>69.17</v>
      </c>
      <c r="AW196" s="45"/>
      <c r="AX196" s="174" t="b">
        <f>IF('Refined Compare'!$D$2="All",TRUE,IF(F196='Refined Compare'!$D$2,TRUE,IF(G196='Refined Compare'!$D$2,TRUE,FALSE)))</f>
        <v>0</v>
      </c>
      <c r="AY196" s="174" t="b">
        <f>IF('Refined Compare'!$D$3="All",TRUE,IF(F196='Refined Compare'!$D$3,TRUE,IF(G196='Refined Compare'!$D$3,TRUE,FALSE)))</f>
        <v>1</v>
      </c>
      <c r="AZ196" s="174" t="b">
        <f t="shared" si="81"/>
        <v>1</v>
      </c>
    </row>
    <row r="197" spans="1:52" x14ac:dyDescent="0.35">
      <c r="A197">
        <f t="shared" si="64"/>
        <v>196</v>
      </c>
      <c r="B197" s="18">
        <v>163</v>
      </c>
      <c r="C197" s="61">
        <v>2</v>
      </c>
      <c r="D197" s="61" t="b">
        <v>0</v>
      </c>
      <c r="E197" s="61"/>
      <c r="F197" s="66" t="s">
        <v>812</v>
      </c>
      <c r="G197" s="66" t="s">
        <v>809</v>
      </c>
      <c r="H197" s="2" t="s">
        <v>218</v>
      </c>
      <c r="I197" s="39">
        <f t="shared" si="69"/>
        <v>60</v>
      </c>
      <c r="J197" s="40">
        <f t="shared" si="70"/>
        <v>30</v>
      </c>
      <c r="K197" s="41">
        <f t="shared" si="71"/>
        <v>30</v>
      </c>
      <c r="L197" s="42">
        <f t="shared" si="72"/>
        <v>36</v>
      </c>
      <c r="M197" s="43">
        <f t="shared" si="73"/>
        <v>56</v>
      </c>
      <c r="N197" s="44">
        <f t="shared" si="74"/>
        <v>50</v>
      </c>
      <c r="O197" s="45">
        <f t="shared" si="75"/>
        <v>262</v>
      </c>
      <c r="P197" s="19">
        <f t="shared" si="76"/>
        <v>43.67</v>
      </c>
      <c r="Q197" s="177">
        <v>60</v>
      </c>
      <c r="R197" s="40">
        <v>30</v>
      </c>
      <c r="S197" s="41">
        <v>30</v>
      </c>
      <c r="T197" s="42">
        <v>36</v>
      </c>
      <c r="U197" s="43">
        <v>56</v>
      </c>
      <c r="V197" s="44">
        <v>50</v>
      </c>
      <c r="W197" s="45">
        <f t="shared" si="67"/>
        <v>262</v>
      </c>
      <c r="X197" s="19">
        <f t="shared" si="68"/>
        <v>43.67</v>
      </c>
      <c r="Y197" s="3">
        <v>60</v>
      </c>
      <c r="Z197" s="4">
        <v>30</v>
      </c>
      <c r="AA197" s="5">
        <v>30</v>
      </c>
      <c r="AB197" s="6">
        <v>36</v>
      </c>
      <c r="AC197" s="7">
        <v>56</v>
      </c>
      <c r="AD197" s="8">
        <v>50</v>
      </c>
      <c r="AE197" s="1">
        <v>262</v>
      </c>
      <c r="AF197" s="19">
        <v>43.67</v>
      </c>
      <c r="AG197" s="139">
        <v>60</v>
      </c>
      <c r="AH197" s="140">
        <v>30</v>
      </c>
      <c r="AI197" s="141">
        <v>30</v>
      </c>
      <c r="AJ197" s="142">
        <v>36</v>
      </c>
      <c r="AK197" s="143">
        <v>56</v>
      </c>
      <c r="AL197" s="144">
        <v>50</v>
      </c>
      <c r="AM197" s="138">
        <v>262</v>
      </c>
      <c r="AN197" s="153">
        <v>43.67</v>
      </c>
      <c r="AW197" s="45"/>
      <c r="AX197" s="174" t="b">
        <f>IF('Refined Compare'!$D$2="All",TRUE,IF(F197='Refined Compare'!$D$2,TRUE,IF(G197='Refined Compare'!$D$2,TRUE,FALSE)))</f>
        <v>0</v>
      </c>
      <c r="AY197" s="174" t="b">
        <f>IF('Refined Compare'!$D$3="All",TRUE,IF(F197='Refined Compare'!$D$3,TRUE,IF(G197='Refined Compare'!$D$3,TRUE,FALSE)))</f>
        <v>0</v>
      </c>
      <c r="AZ197" s="174" t="b">
        <f t="shared" si="81"/>
        <v>1</v>
      </c>
    </row>
    <row r="198" spans="1:52" x14ac:dyDescent="0.35">
      <c r="A198">
        <f t="shared" si="64"/>
        <v>197</v>
      </c>
      <c r="B198" s="18">
        <v>164</v>
      </c>
      <c r="C198" s="61">
        <v>2</v>
      </c>
      <c r="D198" s="118" t="b">
        <v>1</v>
      </c>
      <c r="E198" s="61"/>
      <c r="F198" s="66" t="s">
        <v>812</v>
      </c>
      <c r="G198" s="66" t="s">
        <v>809</v>
      </c>
      <c r="H198" s="2" t="s">
        <v>429</v>
      </c>
      <c r="I198" s="39">
        <f t="shared" si="69"/>
        <v>100</v>
      </c>
      <c r="J198" s="40">
        <f t="shared" si="70"/>
        <v>50</v>
      </c>
      <c r="K198" s="41">
        <f t="shared" si="71"/>
        <v>50</v>
      </c>
      <c r="L198" s="42">
        <f t="shared" si="72"/>
        <v>76</v>
      </c>
      <c r="M198" s="43">
        <f t="shared" si="73"/>
        <v>96</v>
      </c>
      <c r="N198" s="44">
        <f t="shared" si="74"/>
        <v>70</v>
      </c>
      <c r="O198" s="45">
        <f t="shared" si="75"/>
        <v>442</v>
      </c>
      <c r="P198" s="19">
        <f t="shared" si="76"/>
        <v>73.67</v>
      </c>
      <c r="Q198" s="177">
        <v>100</v>
      </c>
      <c r="R198" s="40">
        <v>50</v>
      </c>
      <c r="S198" s="41">
        <v>50</v>
      </c>
      <c r="T198" s="42">
        <v>86</v>
      </c>
      <c r="U198" s="43">
        <v>96</v>
      </c>
      <c r="V198" s="44">
        <v>70</v>
      </c>
      <c r="W198" s="45">
        <f t="shared" si="67"/>
        <v>452</v>
      </c>
      <c r="X198" s="19">
        <f t="shared" si="68"/>
        <v>75.33</v>
      </c>
      <c r="Y198" s="3">
        <v>100</v>
      </c>
      <c r="Z198" s="4">
        <v>50</v>
      </c>
      <c r="AA198" s="5">
        <v>50</v>
      </c>
      <c r="AB198" s="6">
        <v>76</v>
      </c>
      <c r="AC198" s="7">
        <v>96</v>
      </c>
      <c r="AD198" s="8">
        <v>70</v>
      </c>
      <c r="AE198" s="1">
        <v>442</v>
      </c>
      <c r="AF198" s="19">
        <v>73.67</v>
      </c>
      <c r="AG198" s="139">
        <v>100</v>
      </c>
      <c r="AH198" s="140">
        <v>50</v>
      </c>
      <c r="AI198" s="141">
        <v>50</v>
      </c>
      <c r="AJ198" s="142">
        <v>76</v>
      </c>
      <c r="AK198" s="143">
        <v>96</v>
      </c>
      <c r="AL198" s="144">
        <v>70</v>
      </c>
      <c r="AM198" s="138">
        <v>442</v>
      </c>
      <c r="AN198" s="153">
        <v>73.67</v>
      </c>
      <c r="AW198" s="45"/>
      <c r="AX198" s="174" t="b">
        <f>IF('Refined Compare'!$D$2="All",TRUE,IF(F198='Refined Compare'!$D$2,TRUE,IF(G198='Refined Compare'!$D$2,TRUE,FALSE)))</f>
        <v>0</v>
      </c>
      <c r="AY198" s="174" t="b">
        <f>IF('Refined Compare'!$D$3="All",TRUE,IF(F198='Refined Compare'!$D$3,TRUE,IF(G198='Refined Compare'!$D$3,TRUE,FALSE)))</f>
        <v>0</v>
      </c>
      <c r="AZ198" s="174" t="b">
        <f t="shared" si="81"/>
        <v>1</v>
      </c>
    </row>
    <row r="199" spans="1:52" x14ac:dyDescent="0.35">
      <c r="A199">
        <f t="shared" si="64"/>
        <v>198</v>
      </c>
      <c r="B199" s="18">
        <v>165</v>
      </c>
      <c r="C199" s="61">
        <v>2</v>
      </c>
      <c r="D199" s="61" t="b">
        <v>0</v>
      </c>
      <c r="E199" s="61"/>
      <c r="F199" s="66" t="s">
        <v>811</v>
      </c>
      <c r="G199" s="66" t="s">
        <v>809</v>
      </c>
      <c r="H199" s="2" t="s">
        <v>273</v>
      </c>
      <c r="I199" s="39">
        <f t="shared" si="69"/>
        <v>40</v>
      </c>
      <c r="J199" s="40">
        <f t="shared" si="70"/>
        <v>20</v>
      </c>
      <c r="K199" s="41">
        <f t="shared" si="71"/>
        <v>30</v>
      </c>
      <c r="L199" s="42">
        <f t="shared" si="72"/>
        <v>40</v>
      </c>
      <c r="M199" s="43">
        <f t="shared" si="73"/>
        <v>80</v>
      </c>
      <c r="N199" s="44">
        <f t="shared" si="74"/>
        <v>55</v>
      </c>
      <c r="O199" s="45">
        <f t="shared" si="75"/>
        <v>265</v>
      </c>
      <c r="P199" s="19">
        <f t="shared" si="76"/>
        <v>44.17</v>
      </c>
      <c r="Q199" s="177">
        <v>40</v>
      </c>
      <c r="R199" s="40">
        <v>20</v>
      </c>
      <c r="S199" s="41">
        <v>30</v>
      </c>
      <c r="T199" s="42">
        <v>40</v>
      </c>
      <c r="U199" s="43">
        <v>80</v>
      </c>
      <c r="V199" s="44">
        <v>55</v>
      </c>
      <c r="W199" s="45">
        <f t="shared" si="67"/>
        <v>265</v>
      </c>
      <c r="X199" s="19">
        <f t="shared" si="68"/>
        <v>44.17</v>
      </c>
      <c r="Y199" s="3">
        <v>40</v>
      </c>
      <c r="Z199" s="4">
        <v>20</v>
      </c>
      <c r="AA199" s="5">
        <v>30</v>
      </c>
      <c r="AB199" s="6">
        <v>40</v>
      </c>
      <c r="AC199" s="7">
        <v>80</v>
      </c>
      <c r="AD199" s="8">
        <v>55</v>
      </c>
      <c r="AE199" s="1">
        <v>265</v>
      </c>
      <c r="AF199" s="19">
        <v>44.17</v>
      </c>
      <c r="AG199" s="139">
        <v>40</v>
      </c>
      <c r="AH199" s="140">
        <v>20</v>
      </c>
      <c r="AI199" s="141">
        <v>30</v>
      </c>
      <c r="AJ199" s="142">
        <v>40</v>
      </c>
      <c r="AK199" s="143">
        <v>80</v>
      </c>
      <c r="AL199" s="144">
        <v>55</v>
      </c>
      <c r="AM199" s="138">
        <v>265</v>
      </c>
      <c r="AN199" s="153">
        <v>44.17</v>
      </c>
      <c r="AW199" s="45"/>
      <c r="AX199" s="174" t="b">
        <f>IF('Refined Compare'!$D$2="All",TRUE,IF(F199='Refined Compare'!$D$2,TRUE,IF(G199='Refined Compare'!$D$2,TRUE,FALSE)))</f>
        <v>0</v>
      </c>
      <c r="AY199" s="174" t="b">
        <f>IF('Refined Compare'!$D$3="All",TRUE,IF(F199='Refined Compare'!$D$3,TRUE,IF(G199='Refined Compare'!$D$3,TRUE,FALSE)))</f>
        <v>0</v>
      </c>
      <c r="AZ199" s="174" t="b">
        <f t="shared" si="81"/>
        <v>1</v>
      </c>
    </row>
    <row r="200" spans="1:52" x14ac:dyDescent="0.35">
      <c r="A200">
        <f t="shared" si="64"/>
        <v>199</v>
      </c>
      <c r="B200" s="18">
        <v>166</v>
      </c>
      <c r="C200" s="61">
        <v>2</v>
      </c>
      <c r="D200" s="118" t="b">
        <v>1</v>
      </c>
      <c r="E200" s="61"/>
      <c r="F200" s="66" t="s">
        <v>811</v>
      </c>
      <c r="G200" s="66" t="s">
        <v>809</v>
      </c>
      <c r="H200" s="2" t="s">
        <v>545</v>
      </c>
      <c r="I200" s="39">
        <f t="shared" si="69"/>
        <v>55</v>
      </c>
      <c r="J200" s="40">
        <f t="shared" si="70"/>
        <v>35</v>
      </c>
      <c r="K200" s="41">
        <f t="shared" si="71"/>
        <v>50</v>
      </c>
      <c r="L200" s="42">
        <f t="shared" si="72"/>
        <v>55</v>
      </c>
      <c r="M200" s="43">
        <f t="shared" si="73"/>
        <v>110</v>
      </c>
      <c r="N200" s="44">
        <f t="shared" si="74"/>
        <v>85</v>
      </c>
      <c r="O200" s="45">
        <f t="shared" si="75"/>
        <v>390</v>
      </c>
      <c r="P200" s="19">
        <f t="shared" si="76"/>
        <v>65</v>
      </c>
      <c r="Q200" s="177">
        <v>55</v>
      </c>
      <c r="R200" s="40">
        <v>35</v>
      </c>
      <c r="S200" s="41">
        <v>50</v>
      </c>
      <c r="T200" s="42">
        <v>55</v>
      </c>
      <c r="U200" s="43">
        <v>110</v>
      </c>
      <c r="V200" s="44">
        <v>85</v>
      </c>
      <c r="W200" s="45">
        <f t="shared" si="67"/>
        <v>390</v>
      </c>
      <c r="X200" s="19">
        <f t="shared" si="68"/>
        <v>65</v>
      </c>
      <c r="Y200" s="3">
        <v>55</v>
      </c>
      <c r="Z200" s="4">
        <v>35</v>
      </c>
      <c r="AA200" s="5">
        <v>50</v>
      </c>
      <c r="AB200" s="6">
        <v>55</v>
      </c>
      <c r="AC200" s="7">
        <v>110</v>
      </c>
      <c r="AD200" s="8">
        <v>85</v>
      </c>
      <c r="AE200" s="1">
        <v>390</v>
      </c>
      <c r="AF200" s="19">
        <v>65</v>
      </c>
      <c r="AG200" s="139">
        <v>55</v>
      </c>
      <c r="AH200" s="140">
        <v>35</v>
      </c>
      <c r="AI200" s="141">
        <v>50</v>
      </c>
      <c r="AJ200" s="142">
        <v>55</v>
      </c>
      <c r="AK200" s="143">
        <v>110</v>
      </c>
      <c r="AL200" s="144">
        <v>85</v>
      </c>
      <c r="AM200" s="138">
        <v>390</v>
      </c>
      <c r="AN200" s="153">
        <v>65</v>
      </c>
      <c r="AW200" s="45"/>
      <c r="AX200" s="174" t="b">
        <f>IF('Refined Compare'!$D$2="All",TRUE,IF(F200='Refined Compare'!$D$2,TRUE,IF(G200='Refined Compare'!$D$2,TRUE,FALSE)))</f>
        <v>0</v>
      </c>
      <c r="AY200" s="174" t="b">
        <f>IF('Refined Compare'!$D$3="All",TRUE,IF(F200='Refined Compare'!$D$3,TRUE,IF(G200='Refined Compare'!$D$3,TRUE,FALSE)))</f>
        <v>0</v>
      </c>
      <c r="AZ200" s="174" t="b">
        <f t="shared" si="81"/>
        <v>1</v>
      </c>
    </row>
    <row r="201" spans="1:52" x14ac:dyDescent="0.35">
      <c r="A201">
        <f t="shared" si="64"/>
        <v>200</v>
      </c>
      <c r="B201" s="18">
        <v>167</v>
      </c>
      <c r="C201" s="61">
        <v>2</v>
      </c>
      <c r="D201" s="61" t="b">
        <v>0</v>
      </c>
      <c r="E201" s="61"/>
      <c r="F201" s="66" t="s">
        <v>811</v>
      </c>
      <c r="G201" s="66" t="s">
        <v>807</v>
      </c>
      <c r="H201" s="2" t="s">
        <v>59</v>
      </c>
      <c r="I201" s="39">
        <f t="shared" si="69"/>
        <v>40</v>
      </c>
      <c r="J201" s="40">
        <f t="shared" si="70"/>
        <v>60</v>
      </c>
      <c r="K201" s="41">
        <f t="shared" si="71"/>
        <v>40</v>
      </c>
      <c r="L201" s="42">
        <f t="shared" si="72"/>
        <v>40</v>
      </c>
      <c r="M201" s="43">
        <f t="shared" si="73"/>
        <v>40</v>
      </c>
      <c r="N201" s="44">
        <f t="shared" si="74"/>
        <v>30</v>
      </c>
      <c r="O201" s="45">
        <f t="shared" si="75"/>
        <v>250</v>
      </c>
      <c r="P201" s="19">
        <f t="shared" si="76"/>
        <v>41.67</v>
      </c>
      <c r="Q201" s="177">
        <v>40</v>
      </c>
      <c r="R201" s="40">
        <v>60</v>
      </c>
      <c r="S201" s="41">
        <v>40</v>
      </c>
      <c r="T201" s="42">
        <v>40</v>
      </c>
      <c r="U201" s="43">
        <v>40</v>
      </c>
      <c r="V201" s="44">
        <v>30</v>
      </c>
      <c r="W201" s="45">
        <f t="shared" si="67"/>
        <v>250</v>
      </c>
      <c r="X201" s="19">
        <f t="shared" si="68"/>
        <v>41.67</v>
      </c>
      <c r="Y201" s="3">
        <v>40</v>
      </c>
      <c r="Z201" s="4">
        <v>60</v>
      </c>
      <c r="AA201" s="5">
        <v>40</v>
      </c>
      <c r="AB201" s="6">
        <v>40</v>
      </c>
      <c r="AC201" s="7">
        <v>40</v>
      </c>
      <c r="AD201" s="8">
        <v>30</v>
      </c>
      <c r="AE201" s="1">
        <v>250</v>
      </c>
      <c r="AF201" s="19">
        <v>41.67</v>
      </c>
      <c r="AG201" s="139">
        <v>40</v>
      </c>
      <c r="AH201" s="140">
        <v>60</v>
      </c>
      <c r="AI201" s="141">
        <v>40</v>
      </c>
      <c r="AJ201" s="142">
        <v>40</v>
      </c>
      <c r="AK201" s="143">
        <v>40</v>
      </c>
      <c r="AL201" s="144">
        <v>30</v>
      </c>
      <c r="AM201" s="138">
        <v>250</v>
      </c>
      <c r="AN201" s="153">
        <v>41.67</v>
      </c>
      <c r="AW201" s="45"/>
      <c r="AX201" s="174" t="b">
        <f>IF('Refined Compare'!$D$2="All",TRUE,IF(F201='Refined Compare'!$D$2,TRUE,IF(G201='Refined Compare'!$D$2,TRUE,FALSE)))</f>
        <v>0</v>
      </c>
      <c r="AY201" s="174" t="b">
        <f>IF('Refined Compare'!$D$3="All",TRUE,IF(F201='Refined Compare'!$D$3,TRUE,IF(G201='Refined Compare'!$D$3,TRUE,FALSE)))</f>
        <v>0</v>
      </c>
      <c r="AZ201" s="174" t="b">
        <f t="shared" si="81"/>
        <v>1</v>
      </c>
    </row>
    <row r="202" spans="1:52" x14ac:dyDescent="0.35">
      <c r="A202">
        <f t="shared" si="64"/>
        <v>201</v>
      </c>
      <c r="B202" s="18">
        <v>168</v>
      </c>
      <c r="C202" s="61">
        <v>2</v>
      </c>
      <c r="D202" s="118" t="b">
        <v>1</v>
      </c>
      <c r="E202" s="61"/>
      <c r="F202" s="66" t="s">
        <v>811</v>
      </c>
      <c r="G202" s="66" t="s">
        <v>807</v>
      </c>
      <c r="H202" s="2" t="s">
        <v>130</v>
      </c>
      <c r="I202" s="39">
        <f t="shared" si="69"/>
        <v>70</v>
      </c>
      <c r="J202" s="40">
        <f t="shared" si="70"/>
        <v>90</v>
      </c>
      <c r="K202" s="41">
        <f t="shared" si="71"/>
        <v>70</v>
      </c>
      <c r="L202" s="42">
        <f t="shared" si="72"/>
        <v>60</v>
      </c>
      <c r="M202" s="43">
        <f t="shared" si="73"/>
        <v>60</v>
      </c>
      <c r="N202" s="44">
        <f t="shared" si="74"/>
        <v>40</v>
      </c>
      <c r="O202" s="45">
        <f t="shared" si="75"/>
        <v>390</v>
      </c>
      <c r="P202" s="19">
        <f t="shared" si="76"/>
        <v>65</v>
      </c>
      <c r="Q202" s="177">
        <v>70</v>
      </c>
      <c r="R202" s="40">
        <v>90</v>
      </c>
      <c r="S202" s="41">
        <v>70</v>
      </c>
      <c r="T202" s="42">
        <v>60</v>
      </c>
      <c r="U202" s="43">
        <v>70</v>
      </c>
      <c r="V202" s="44">
        <v>40</v>
      </c>
      <c r="W202" s="45">
        <f t="shared" si="67"/>
        <v>400</v>
      </c>
      <c r="X202" s="19">
        <f t="shared" si="68"/>
        <v>66.67</v>
      </c>
      <c r="Y202" s="3">
        <v>70</v>
      </c>
      <c r="Z202" s="4">
        <v>90</v>
      </c>
      <c r="AA202" s="5">
        <v>70</v>
      </c>
      <c r="AB202" s="6">
        <v>60</v>
      </c>
      <c r="AC202" s="7">
        <v>60</v>
      </c>
      <c r="AD202" s="8">
        <v>40</v>
      </c>
      <c r="AE202" s="1">
        <v>390</v>
      </c>
      <c r="AF202" s="19">
        <v>65</v>
      </c>
      <c r="AG202" s="139">
        <v>70</v>
      </c>
      <c r="AH202" s="140">
        <v>90</v>
      </c>
      <c r="AI202" s="141">
        <v>70</v>
      </c>
      <c r="AJ202" s="142">
        <v>60</v>
      </c>
      <c r="AK202" s="143">
        <v>60</v>
      </c>
      <c r="AL202" s="144">
        <v>40</v>
      </c>
      <c r="AM202" s="138">
        <v>390</v>
      </c>
      <c r="AN202" s="153">
        <v>65</v>
      </c>
      <c r="AW202" s="45"/>
      <c r="AX202" s="174" t="b">
        <f>IF('Refined Compare'!$D$2="All",TRUE,IF(F202='Refined Compare'!$D$2,TRUE,IF(G202='Refined Compare'!$D$2,TRUE,FALSE)))</f>
        <v>0</v>
      </c>
      <c r="AY202" s="174" t="b">
        <f>IF('Refined Compare'!$D$3="All",TRUE,IF(F202='Refined Compare'!$D$3,TRUE,IF(G202='Refined Compare'!$D$3,TRUE,FALSE)))</f>
        <v>0</v>
      </c>
      <c r="AZ202" s="174" t="b">
        <f t="shared" si="81"/>
        <v>1</v>
      </c>
    </row>
    <row r="203" spans="1:52" x14ac:dyDescent="0.35">
      <c r="A203">
        <f t="shared" si="64"/>
        <v>202</v>
      </c>
      <c r="B203" s="18">
        <v>169</v>
      </c>
      <c r="C203" s="61">
        <v>2</v>
      </c>
      <c r="D203" s="118" t="b">
        <v>1</v>
      </c>
      <c r="E203" s="61"/>
      <c r="F203" s="66" t="s">
        <v>807</v>
      </c>
      <c r="G203" s="66" t="s">
        <v>809</v>
      </c>
      <c r="H203" s="2" t="s">
        <v>767</v>
      </c>
      <c r="I203" s="39">
        <f t="shared" si="69"/>
        <v>85</v>
      </c>
      <c r="J203" s="40">
        <f t="shared" si="70"/>
        <v>90</v>
      </c>
      <c r="K203" s="41">
        <f t="shared" si="71"/>
        <v>80</v>
      </c>
      <c r="L203" s="42">
        <f t="shared" si="72"/>
        <v>70</v>
      </c>
      <c r="M203" s="43">
        <f t="shared" si="73"/>
        <v>80</v>
      </c>
      <c r="N203" s="44">
        <f t="shared" si="74"/>
        <v>130</v>
      </c>
      <c r="O203" s="45">
        <f t="shared" si="75"/>
        <v>535</v>
      </c>
      <c r="P203" s="19">
        <f t="shared" si="76"/>
        <v>89.17</v>
      </c>
      <c r="Q203" s="177">
        <v>85</v>
      </c>
      <c r="R203" s="40">
        <v>90</v>
      </c>
      <c r="S203" s="41">
        <v>80</v>
      </c>
      <c r="T203" s="42">
        <v>70</v>
      </c>
      <c r="U203" s="43">
        <v>80</v>
      </c>
      <c r="V203" s="44">
        <v>130</v>
      </c>
      <c r="W203" s="45">
        <f t="shared" si="67"/>
        <v>535</v>
      </c>
      <c r="X203" s="19">
        <f t="shared" si="68"/>
        <v>89.17</v>
      </c>
      <c r="Y203" s="3">
        <v>85</v>
      </c>
      <c r="Z203" s="4">
        <v>90</v>
      </c>
      <c r="AA203" s="5">
        <v>80</v>
      </c>
      <c r="AB203" s="6">
        <v>70</v>
      </c>
      <c r="AC203" s="7">
        <v>80</v>
      </c>
      <c r="AD203" s="8">
        <v>130</v>
      </c>
      <c r="AE203" s="1">
        <v>535</v>
      </c>
      <c r="AF203" s="19">
        <v>89.17</v>
      </c>
      <c r="AG203" s="139">
        <v>85</v>
      </c>
      <c r="AH203" s="140">
        <v>90</v>
      </c>
      <c r="AI203" s="141">
        <v>80</v>
      </c>
      <c r="AJ203" s="142">
        <v>70</v>
      </c>
      <c r="AK203" s="143">
        <v>80</v>
      </c>
      <c r="AL203" s="144">
        <v>130</v>
      </c>
      <c r="AM203" s="138">
        <v>535</v>
      </c>
      <c r="AN203" s="153">
        <v>89.17</v>
      </c>
      <c r="AW203" s="45"/>
      <c r="AX203" s="174" t="b">
        <f>IF('Refined Compare'!$D$2="All",TRUE,IF(F203='Refined Compare'!$D$2,TRUE,IF(G203='Refined Compare'!$D$2,TRUE,FALSE)))</f>
        <v>0</v>
      </c>
      <c r="AY203" s="174" t="b">
        <f>IF('Refined Compare'!$D$3="All",TRUE,IF(F203='Refined Compare'!$D$3,TRUE,IF(G203='Refined Compare'!$D$3,TRUE,FALSE)))</f>
        <v>0</v>
      </c>
      <c r="AZ203" s="174" t="b">
        <f t="shared" si="81"/>
        <v>1</v>
      </c>
    </row>
    <row r="204" spans="1:52" x14ac:dyDescent="0.35">
      <c r="A204">
        <f t="shared" si="64"/>
        <v>203</v>
      </c>
      <c r="B204" s="18">
        <v>170</v>
      </c>
      <c r="C204" s="61">
        <v>2</v>
      </c>
      <c r="D204" s="61" t="b">
        <v>0</v>
      </c>
      <c r="E204" s="61"/>
      <c r="F204" s="66" t="s">
        <v>810</v>
      </c>
      <c r="G204" s="66" t="s">
        <v>813</v>
      </c>
      <c r="H204" s="2" t="s">
        <v>407</v>
      </c>
      <c r="I204" s="39">
        <f t="shared" si="69"/>
        <v>75</v>
      </c>
      <c r="J204" s="40">
        <f t="shared" si="70"/>
        <v>38</v>
      </c>
      <c r="K204" s="41">
        <f t="shared" si="71"/>
        <v>38</v>
      </c>
      <c r="L204" s="42">
        <f t="shared" si="72"/>
        <v>56</v>
      </c>
      <c r="M204" s="43">
        <f t="shared" si="73"/>
        <v>56</v>
      </c>
      <c r="N204" s="44">
        <f t="shared" si="74"/>
        <v>67</v>
      </c>
      <c r="O204" s="45">
        <f t="shared" si="75"/>
        <v>330</v>
      </c>
      <c r="P204" s="19">
        <f t="shared" si="76"/>
        <v>55</v>
      </c>
      <c r="Q204" s="177">
        <v>75</v>
      </c>
      <c r="R204" s="40">
        <v>38</v>
      </c>
      <c r="S204" s="41">
        <v>38</v>
      </c>
      <c r="T204" s="42">
        <v>56</v>
      </c>
      <c r="U204" s="43">
        <v>56</v>
      </c>
      <c r="V204" s="44">
        <v>67</v>
      </c>
      <c r="W204" s="45">
        <f t="shared" si="67"/>
        <v>330</v>
      </c>
      <c r="X204" s="19">
        <f t="shared" si="68"/>
        <v>55</v>
      </c>
      <c r="Y204" s="3">
        <v>75</v>
      </c>
      <c r="Z204" s="4">
        <v>38</v>
      </c>
      <c r="AA204" s="5">
        <v>38</v>
      </c>
      <c r="AB204" s="6">
        <v>56</v>
      </c>
      <c r="AC204" s="7">
        <v>56</v>
      </c>
      <c r="AD204" s="8">
        <v>67</v>
      </c>
      <c r="AE204" s="1">
        <v>330</v>
      </c>
      <c r="AF204" s="19">
        <v>55</v>
      </c>
      <c r="AG204" s="139">
        <v>75</v>
      </c>
      <c r="AH204" s="140">
        <v>38</v>
      </c>
      <c r="AI204" s="141">
        <v>38</v>
      </c>
      <c r="AJ204" s="142">
        <v>56</v>
      </c>
      <c r="AK204" s="143">
        <v>56</v>
      </c>
      <c r="AL204" s="144">
        <v>67</v>
      </c>
      <c r="AM204" s="138">
        <v>330</v>
      </c>
      <c r="AN204" s="153">
        <v>55</v>
      </c>
      <c r="AW204" s="45"/>
      <c r="AX204" s="174" t="b">
        <f>IF('Refined Compare'!$D$2="All",TRUE,IF(F204='Refined Compare'!$D$2,TRUE,IF(G204='Refined Compare'!$D$2,TRUE,FALSE)))</f>
        <v>0</v>
      </c>
      <c r="AY204" s="174" t="b">
        <f>IF('Refined Compare'!$D$3="All",TRUE,IF(F204='Refined Compare'!$D$3,TRUE,IF(G204='Refined Compare'!$D$3,TRUE,FALSE)))</f>
        <v>0</v>
      </c>
      <c r="AZ204" s="174" t="b">
        <f t="shared" si="81"/>
        <v>1</v>
      </c>
    </row>
    <row r="205" spans="1:52" x14ac:dyDescent="0.35">
      <c r="A205">
        <f t="shared" si="64"/>
        <v>204</v>
      </c>
      <c r="B205" s="18">
        <v>171</v>
      </c>
      <c r="C205" s="61">
        <v>2</v>
      </c>
      <c r="D205" s="118" t="b">
        <v>1</v>
      </c>
      <c r="E205" s="61"/>
      <c r="F205" s="66" t="s">
        <v>810</v>
      </c>
      <c r="G205" s="66" t="s">
        <v>813</v>
      </c>
      <c r="H205" s="2" t="s">
        <v>408</v>
      </c>
      <c r="I205" s="39">
        <f t="shared" si="69"/>
        <v>125</v>
      </c>
      <c r="J205" s="40">
        <f t="shared" si="70"/>
        <v>58</v>
      </c>
      <c r="K205" s="41">
        <f t="shared" si="71"/>
        <v>58</v>
      </c>
      <c r="L205" s="42">
        <f t="shared" si="72"/>
        <v>76</v>
      </c>
      <c r="M205" s="43">
        <f t="shared" si="73"/>
        <v>76</v>
      </c>
      <c r="N205" s="44">
        <f t="shared" si="74"/>
        <v>67</v>
      </c>
      <c r="O205" s="45">
        <f t="shared" si="75"/>
        <v>460</v>
      </c>
      <c r="P205" s="19">
        <f t="shared" si="76"/>
        <v>76.67</v>
      </c>
      <c r="Q205" s="177">
        <v>125</v>
      </c>
      <c r="R205" s="40">
        <v>58</v>
      </c>
      <c r="S205" s="41">
        <v>58</v>
      </c>
      <c r="T205" s="42">
        <v>76</v>
      </c>
      <c r="U205" s="43">
        <v>76</v>
      </c>
      <c r="V205" s="44">
        <v>67</v>
      </c>
      <c r="W205" s="45">
        <f t="shared" si="67"/>
        <v>460</v>
      </c>
      <c r="X205" s="19">
        <f t="shared" si="68"/>
        <v>76.67</v>
      </c>
      <c r="Y205" s="3">
        <v>125</v>
      </c>
      <c r="Z205" s="4">
        <v>58</v>
      </c>
      <c r="AA205" s="5">
        <v>58</v>
      </c>
      <c r="AB205" s="6">
        <v>76</v>
      </c>
      <c r="AC205" s="7">
        <v>76</v>
      </c>
      <c r="AD205" s="8">
        <v>67</v>
      </c>
      <c r="AE205" s="1">
        <v>460</v>
      </c>
      <c r="AF205" s="19">
        <v>76.67</v>
      </c>
      <c r="AG205" s="139">
        <v>125</v>
      </c>
      <c r="AH205" s="140">
        <v>58</v>
      </c>
      <c r="AI205" s="141">
        <v>58</v>
      </c>
      <c r="AJ205" s="142">
        <v>76</v>
      </c>
      <c r="AK205" s="143">
        <v>76</v>
      </c>
      <c r="AL205" s="144">
        <v>67</v>
      </c>
      <c r="AM205" s="138">
        <v>460</v>
      </c>
      <c r="AN205" s="153">
        <v>76.67</v>
      </c>
      <c r="AW205" s="45"/>
      <c r="AX205" s="174" t="b">
        <f>IF('Refined Compare'!$D$2="All",TRUE,IF(F205='Refined Compare'!$D$2,TRUE,IF(G205='Refined Compare'!$D$2,TRUE,FALSE)))</f>
        <v>0</v>
      </c>
      <c r="AY205" s="174" t="b">
        <f>IF('Refined Compare'!$D$3="All",TRUE,IF(F205='Refined Compare'!$D$3,TRUE,IF(G205='Refined Compare'!$D$3,TRUE,FALSE)))</f>
        <v>0</v>
      </c>
      <c r="AZ205" s="174" t="b">
        <f t="shared" si="81"/>
        <v>1</v>
      </c>
    </row>
    <row r="206" spans="1:52" x14ac:dyDescent="0.35">
      <c r="A206">
        <f t="shared" si="64"/>
        <v>205</v>
      </c>
      <c r="B206" s="18">
        <v>172</v>
      </c>
      <c r="C206" s="61">
        <v>2</v>
      </c>
      <c r="D206" s="61" t="b">
        <v>0</v>
      </c>
      <c r="E206" s="61"/>
      <c r="F206" s="66" t="s">
        <v>813</v>
      </c>
      <c r="G206" s="66" t="s">
        <v>827</v>
      </c>
      <c r="H206" s="2" t="s">
        <v>321</v>
      </c>
      <c r="I206" s="39">
        <f t="shared" si="69"/>
        <v>20</v>
      </c>
      <c r="J206" s="40">
        <f t="shared" si="70"/>
        <v>40</v>
      </c>
      <c r="K206" s="41">
        <f t="shared" si="71"/>
        <v>15</v>
      </c>
      <c r="L206" s="42">
        <f t="shared" si="72"/>
        <v>35</v>
      </c>
      <c r="M206" s="43">
        <f t="shared" si="73"/>
        <v>35</v>
      </c>
      <c r="N206" s="44">
        <f t="shared" si="74"/>
        <v>60</v>
      </c>
      <c r="O206" s="45">
        <f t="shared" si="75"/>
        <v>205</v>
      </c>
      <c r="P206" s="19">
        <f t="shared" si="76"/>
        <v>34.17</v>
      </c>
      <c r="Q206" s="177">
        <v>20</v>
      </c>
      <c r="R206" s="40">
        <v>40</v>
      </c>
      <c r="S206" s="41">
        <v>15</v>
      </c>
      <c r="T206" s="42">
        <v>35</v>
      </c>
      <c r="U206" s="43">
        <v>35</v>
      </c>
      <c r="V206" s="44">
        <v>60</v>
      </c>
      <c r="W206" s="45">
        <f t="shared" si="67"/>
        <v>205</v>
      </c>
      <c r="X206" s="19">
        <f t="shared" si="68"/>
        <v>34.17</v>
      </c>
      <c r="Y206" s="3">
        <v>20</v>
      </c>
      <c r="Z206" s="4">
        <v>40</v>
      </c>
      <c r="AA206" s="5">
        <v>15</v>
      </c>
      <c r="AB206" s="6">
        <v>35</v>
      </c>
      <c r="AC206" s="7">
        <v>35</v>
      </c>
      <c r="AD206" s="8">
        <v>60</v>
      </c>
      <c r="AE206" s="1">
        <v>205</v>
      </c>
      <c r="AF206" s="19">
        <v>34.17</v>
      </c>
      <c r="AG206" s="139">
        <v>20</v>
      </c>
      <c r="AH206" s="140">
        <v>40</v>
      </c>
      <c r="AI206" s="141">
        <v>15</v>
      </c>
      <c r="AJ206" s="142">
        <v>35</v>
      </c>
      <c r="AK206" s="143">
        <v>35</v>
      </c>
      <c r="AL206" s="144">
        <v>60</v>
      </c>
      <c r="AM206" s="138">
        <v>205</v>
      </c>
      <c r="AN206" s="153">
        <v>34.17</v>
      </c>
      <c r="AW206" s="45"/>
      <c r="AX206" s="174" t="b">
        <f>IF('Refined Compare'!$D$2="All",TRUE,IF(F206='Refined Compare'!$D$2,TRUE,IF(G206='Refined Compare'!$D$2,TRUE,FALSE)))</f>
        <v>0</v>
      </c>
      <c r="AY206" s="174" t="b">
        <f>IF('Refined Compare'!$D$3="All",TRUE,IF(F206='Refined Compare'!$D$3,TRUE,IF(G206='Refined Compare'!$D$3,TRUE,FALSE)))</f>
        <v>1</v>
      </c>
      <c r="AZ206" s="174" t="b">
        <f t="shared" si="81"/>
        <v>1</v>
      </c>
    </row>
    <row r="207" spans="1:52" x14ac:dyDescent="0.35">
      <c r="A207">
        <f t="shared" ref="A207:A270" si="82">A206+1</f>
        <v>206</v>
      </c>
      <c r="B207" s="18">
        <v>173</v>
      </c>
      <c r="C207" s="61">
        <v>2</v>
      </c>
      <c r="D207" s="61" t="b">
        <v>0</v>
      </c>
      <c r="E207" s="61"/>
      <c r="F207" s="66" t="str">
        <f>IF($AW$2&lt;6,"Normal","Fairy")</f>
        <v>Normal</v>
      </c>
      <c r="G207" s="66" t="s">
        <v>827</v>
      </c>
      <c r="H207" s="2" t="s">
        <v>6</v>
      </c>
      <c r="I207" s="39">
        <f t="shared" si="69"/>
        <v>50</v>
      </c>
      <c r="J207" s="40">
        <f t="shared" si="70"/>
        <v>25</v>
      </c>
      <c r="K207" s="41">
        <f t="shared" si="71"/>
        <v>28</v>
      </c>
      <c r="L207" s="42">
        <f t="shared" si="72"/>
        <v>45</v>
      </c>
      <c r="M207" s="43">
        <f t="shared" si="73"/>
        <v>55</v>
      </c>
      <c r="N207" s="44">
        <f t="shared" si="74"/>
        <v>15</v>
      </c>
      <c r="O207" s="45">
        <f t="shared" si="75"/>
        <v>218</v>
      </c>
      <c r="P207" s="19">
        <f t="shared" si="76"/>
        <v>36.33</v>
      </c>
      <c r="Q207" s="177">
        <v>50</v>
      </c>
      <c r="R207" s="40">
        <v>25</v>
      </c>
      <c r="S207" s="41">
        <v>28</v>
      </c>
      <c r="T207" s="42">
        <v>45</v>
      </c>
      <c r="U207" s="43">
        <v>55</v>
      </c>
      <c r="V207" s="44">
        <v>15</v>
      </c>
      <c r="W207" s="45">
        <f t="shared" si="67"/>
        <v>218</v>
      </c>
      <c r="X207" s="19">
        <f t="shared" si="68"/>
        <v>36.33</v>
      </c>
      <c r="Y207" s="3">
        <v>50</v>
      </c>
      <c r="Z207" s="4">
        <v>25</v>
      </c>
      <c r="AA207" s="5">
        <v>28</v>
      </c>
      <c r="AB207" s="6">
        <v>45</v>
      </c>
      <c r="AC207" s="7">
        <v>55</v>
      </c>
      <c r="AD207" s="8">
        <v>15</v>
      </c>
      <c r="AE207" s="1">
        <v>218</v>
      </c>
      <c r="AF207" s="19">
        <v>36.33</v>
      </c>
      <c r="AG207" s="139">
        <v>50</v>
      </c>
      <c r="AH207" s="140">
        <v>25</v>
      </c>
      <c r="AI207" s="141">
        <v>28</v>
      </c>
      <c r="AJ207" s="142">
        <v>45</v>
      </c>
      <c r="AK207" s="143">
        <v>55</v>
      </c>
      <c r="AL207" s="144">
        <v>15</v>
      </c>
      <c r="AM207" s="138">
        <v>218</v>
      </c>
      <c r="AN207" s="153">
        <v>36.33</v>
      </c>
      <c r="AW207" s="45"/>
      <c r="AX207" s="174" t="b">
        <f>IF('Refined Compare'!$D$2="All",TRUE,IF(F207='Refined Compare'!$D$2,TRUE,IF(G207='Refined Compare'!$D$2,TRUE,FALSE)))</f>
        <v>0</v>
      </c>
      <c r="AY207" s="174" t="b">
        <f>IF('Refined Compare'!$D$3="All",TRUE,IF(F207='Refined Compare'!$D$3,TRUE,IF(G207='Refined Compare'!$D$3,TRUE,FALSE)))</f>
        <v>1</v>
      </c>
      <c r="AZ207" s="174" t="b">
        <f t="shared" si="81"/>
        <v>1</v>
      </c>
    </row>
    <row r="208" spans="1:52" x14ac:dyDescent="0.35">
      <c r="A208">
        <f t="shared" si="82"/>
        <v>207</v>
      </c>
      <c r="B208" s="18">
        <v>174</v>
      </c>
      <c r="C208" s="61">
        <v>2</v>
      </c>
      <c r="D208" s="61" t="b">
        <v>0</v>
      </c>
      <c r="E208" s="61"/>
      <c r="F208" s="66" t="s">
        <v>812</v>
      </c>
      <c r="G208" s="66" t="str">
        <f>IF($AW$2&lt;6,"Single type","Fairy")</f>
        <v>Single type</v>
      </c>
      <c r="H208" s="2" t="s">
        <v>7</v>
      </c>
      <c r="I208" s="39">
        <f t="shared" si="69"/>
        <v>90</v>
      </c>
      <c r="J208" s="40">
        <f t="shared" si="70"/>
        <v>30</v>
      </c>
      <c r="K208" s="41">
        <f t="shared" si="71"/>
        <v>15</v>
      </c>
      <c r="L208" s="42">
        <f t="shared" si="72"/>
        <v>40</v>
      </c>
      <c r="M208" s="43">
        <f t="shared" si="73"/>
        <v>20</v>
      </c>
      <c r="N208" s="44">
        <f t="shared" si="74"/>
        <v>15</v>
      </c>
      <c r="O208" s="45">
        <f t="shared" si="75"/>
        <v>210</v>
      </c>
      <c r="P208" s="19">
        <f t="shared" si="76"/>
        <v>35</v>
      </c>
      <c r="Q208" s="177">
        <v>90</v>
      </c>
      <c r="R208" s="40">
        <v>30</v>
      </c>
      <c r="S208" s="41">
        <v>15</v>
      </c>
      <c r="T208" s="42">
        <v>40</v>
      </c>
      <c r="U208" s="43">
        <v>20</v>
      </c>
      <c r="V208" s="44">
        <v>15</v>
      </c>
      <c r="W208" s="45">
        <f t="shared" si="67"/>
        <v>210</v>
      </c>
      <c r="X208" s="19">
        <f t="shared" si="68"/>
        <v>35</v>
      </c>
      <c r="Y208" s="3">
        <v>90</v>
      </c>
      <c r="Z208" s="4">
        <v>30</v>
      </c>
      <c r="AA208" s="5">
        <v>15</v>
      </c>
      <c r="AB208" s="6">
        <v>40</v>
      </c>
      <c r="AC208" s="7">
        <v>20</v>
      </c>
      <c r="AD208" s="8">
        <v>15</v>
      </c>
      <c r="AE208" s="1">
        <v>210</v>
      </c>
      <c r="AF208" s="19">
        <v>35</v>
      </c>
      <c r="AG208" s="139">
        <v>90</v>
      </c>
      <c r="AH208" s="140">
        <v>30</v>
      </c>
      <c r="AI208" s="141">
        <v>15</v>
      </c>
      <c r="AJ208" s="142">
        <v>40</v>
      </c>
      <c r="AK208" s="143">
        <v>20</v>
      </c>
      <c r="AL208" s="144">
        <v>15</v>
      </c>
      <c r="AM208" s="138">
        <v>210</v>
      </c>
      <c r="AN208" s="153">
        <v>35</v>
      </c>
      <c r="AW208" s="45"/>
      <c r="AX208" s="174" t="b">
        <f>IF('Refined Compare'!$D$2="All",TRUE,IF(F208='Refined Compare'!$D$2,TRUE,IF(G208='Refined Compare'!$D$2,TRUE,FALSE)))</f>
        <v>0</v>
      </c>
      <c r="AY208" s="174" t="b">
        <f>IF('Refined Compare'!$D$3="All",TRUE,IF(F208='Refined Compare'!$D$3,TRUE,IF(G208='Refined Compare'!$D$3,TRUE,FALSE)))</f>
        <v>1</v>
      </c>
      <c r="AZ208" s="174" t="b">
        <f t="shared" si="81"/>
        <v>1</v>
      </c>
    </row>
    <row r="209" spans="1:52" x14ac:dyDescent="0.35">
      <c r="A209">
        <f t="shared" si="82"/>
        <v>208</v>
      </c>
      <c r="B209" s="18">
        <v>175</v>
      </c>
      <c r="C209" s="61">
        <v>2</v>
      </c>
      <c r="D209" s="61" t="b">
        <v>0</v>
      </c>
      <c r="E209" s="61"/>
      <c r="F209" s="66" t="str">
        <f>IF($AW$2&lt;6,"Normal","Fairy")</f>
        <v>Normal</v>
      </c>
      <c r="G209" s="66" t="s">
        <v>827</v>
      </c>
      <c r="H209" s="2" t="s">
        <v>17</v>
      </c>
      <c r="I209" s="39">
        <f t="shared" si="69"/>
        <v>35</v>
      </c>
      <c r="J209" s="40">
        <f t="shared" si="70"/>
        <v>20</v>
      </c>
      <c r="K209" s="41">
        <f t="shared" si="71"/>
        <v>65</v>
      </c>
      <c r="L209" s="42">
        <f t="shared" si="72"/>
        <v>40</v>
      </c>
      <c r="M209" s="43">
        <f t="shared" si="73"/>
        <v>65</v>
      </c>
      <c r="N209" s="44">
        <f t="shared" si="74"/>
        <v>20</v>
      </c>
      <c r="O209" s="45">
        <f t="shared" si="75"/>
        <v>245</v>
      </c>
      <c r="P209" s="19">
        <f t="shared" si="76"/>
        <v>40.83</v>
      </c>
      <c r="Q209" s="177">
        <v>35</v>
      </c>
      <c r="R209" s="40">
        <v>20</v>
      </c>
      <c r="S209" s="41">
        <v>65</v>
      </c>
      <c r="T209" s="42">
        <v>40</v>
      </c>
      <c r="U209" s="43">
        <v>65</v>
      </c>
      <c r="V209" s="44">
        <v>20</v>
      </c>
      <c r="W209" s="45">
        <f t="shared" si="67"/>
        <v>245</v>
      </c>
      <c r="X209" s="19">
        <f t="shared" si="68"/>
        <v>40.83</v>
      </c>
      <c r="Y209" s="3">
        <v>35</v>
      </c>
      <c r="Z209" s="4">
        <v>20</v>
      </c>
      <c r="AA209" s="5">
        <v>65</v>
      </c>
      <c r="AB209" s="6">
        <v>40</v>
      </c>
      <c r="AC209" s="7">
        <v>65</v>
      </c>
      <c r="AD209" s="8">
        <v>20</v>
      </c>
      <c r="AE209" s="1">
        <v>245</v>
      </c>
      <c r="AF209" s="19">
        <v>40.83</v>
      </c>
      <c r="AG209" s="139">
        <v>35</v>
      </c>
      <c r="AH209" s="140">
        <v>20</v>
      </c>
      <c r="AI209" s="141">
        <v>65</v>
      </c>
      <c r="AJ209" s="142">
        <v>40</v>
      </c>
      <c r="AK209" s="143">
        <v>65</v>
      </c>
      <c r="AL209" s="144">
        <v>20</v>
      </c>
      <c r="AM209" s="138">
        <v>245</v>
      </c>
      <c r="AN209" s="153">
        <v>40.83</v>
      </c>
      <c r="AW209" s="45"/>
      <c r="AX209" s="174" t="b">
        <f>IF('Refined Compare'!$D$2="All",TRUE,IF(F209='Refined Compare'!$D$2,TRUE,IF(G209='Refined Compare'!$D$2,TRUE,FALSE)))</f>
        <v>0</v>
      </c>
      <c r="AY209" s="174" t="b">
        <f>IF('Refined Compare'!$D$3="All",TRUE,IF(F209='Refined Compare'!$D$3,TRUE,IF(G209='Refined Compare'!$D$3,TRUE,FALSE)))</f>
        <v>1</v>
      </c>
      <c r="AZ209" s="174" t="b">
        <f t="shared" si="81"/>
        <v>1</v>
      </c>
    </row>
    <row r="210" spans="1:52" x14ac:dyDescent="0.35">
      <c r="A210">
        <f t="shared" si="82"/>
        <v>209</v>
      </c>
      <c r="B210" s="18">
        <v>176</v>
      </c>
      <c r="C210" s="61">
        <v>2</v>
      </c>
      <c r="D210" s="118" t="b">
        <f>IF($AW$2&lt;4,TRUE,FALSE)</f>
        <v>0</v>
      </c>
      <c r="E210" s="61"/>
      <c r="F210" s="66" t="str">
        <f>IF($AW$2&lt;6,"Normal","Fairy")</f>
        <v>Normal</v>
      </c>
      <c r="G210" s="66" t="s">
        <v>809</v>
      </c>
      <c r="H210" s="2" t="s">
        <v>131</v>
      </c>
      <c r="I210" s="39">
        <f t="shared" si="69"/>
        <v>55</v>
      </c>
      <c r="J210" s="40">
        <f t="shared" si="70"/>
        <v>40</v>
      </c>
      <c r="K210" s="41">
        <f t="shared" si="71"/>
        <v>85</v>
      </c>
      <c r="L210" s="42">
        <f t="shared" si="72"/>
        <v>80</v>
      </c>
      <c r="M210" s="43">
        <f t="shared" si="73"/>
        <v>105</v>
      </c>
      <c r="N210" s="44">
        <f t="shared" si="74"/>
        <v>40</v>
      </c>
      <c r="O210" s="45">
        <f t="shared" si="75"/>
        <v>405</v>
      </c>
      <c r="P210" s="19">
        <f t="shared" si="76"/>
        <v>67.5</v>
      </c>
      <c r="Q210" s="177">
        <v>55</v>
      </c>
      <c r="R210" s="40">
        <v>40</v>
      </c>
      <c r="S210" s="41">
        <v>85</v>
      </c>
      <c r="T210" s="42">
        <v>80</v>
      </c>
      <c r="U210" s="43">
        <v>105</v>
      </c>
      <c r="V210" s="44">
        <v>40</v>
      </c>
      <c r="W210" s="45">
        <f t="shared" si="67"/>
        <v>405</v>
      </c>
      <c r="X210" s="19">
        <f t="shared" si="68"/>
        <v>67.5</v>
      </c>
      <c r="Y210" s="3">
        <v>55</v>
      </c>
      <c r="Z210" s="4">
        <v>40</v>
      </c>
      <c r="AA210" s="5">
        <v>85</v>
      </c>
      <c r="AB210" s="6">
        <v>80</v>
      </c>
      <c r="AC210" s="7">
        <v>105</v>
      </c>
      <c r="AD210" s="8">
        <v>40</v>
      </c>
      <c r="AE210" s="1">
        <v>405</v>
      </c>
      <c r="AF210" s="19">
        <v>67.5</v>
      </c>
      <c r="AG210" s="139">
        <v>55</v>
      </c>
      <c r="AH210" s="140">
        <v>40</v>
      </c>
      <c r="AI210" s="141">
        <v>85</v>
      </c>
      <c r="AJ210" s="142">
        <v>80</v>
      </c>
      <c r="AK210" s="143">
        <v>105</v>
      </c>
      <c r="AL210" s="144">
        <v>40</v>
      </c>
      <c r="AM210" s="138">
        <v>405</v>
      </c>
      <c r="AN210" s="153">
        <v>67.5</v>
      </c>
      <c r="AW210" s="45"/>
      <c r="AX210" s="174" t="b">
        <f>IF('Refined Compare'!$D$2="All",TRUE,IF(F210='Refined Compare'!$D$2,TRUE,IF(G210='Refined Compare'!$D$2,TRUE,FALSE)))</f>
        <v>0</v>
      </c>
      <c r="AY210" s="174" t="b">
        <f>IF('Refined Compare'!$D$3="All",TRUE,IF(F210='Refined Compare'!$D$3,TRUE,IF(G210='Refined Compare'!$D$3,TRUE,FALSE)))</f>
        <v>0</v>
      </c>
      <c r="AZ210" s="174" t="b">
        <f t="shared" si="81"/>
        <v>1</v>
      </c>
    </row>
    <row r="211" spans="1:52" x14ac:dyDescent="0.35">
      <c r="A211">
        <f t="shared" si="82"/>
        <v>210</v>
      </c>
      <c r="B211" s="18">
        <v>177</v>
      </c>
      <c r="C211" s="61">
        <v>2</v>
      </c>
      <c r="D211" s="61" t="b">
        <v>0</v>
      </c>
      <c r="E211" s="61"/>
      <c r="F211" s="66" t="s">
        <v>817</v>
      </c>
      <c r="G211" s="66" t="s">
        <v>809</v>
      </c>
      <c r="H211" s="2" t="s">
        <v>430</v>
      </c>
      <c r="I211" s="39">
        <f t="shared" si="69"/>
        <v>40</v>
      </c>
      <c r="J211" s="40">
        <f t="shared" si="70"/>
        <v>50</v>
      </c>
      <c r="K211" s="41">
        <f t="shared" si="71"/>
        <v>45</v>
      </c>
      <c r="L211" s="42">
        <f t="shared" si="72"/>
        <v>70</v>
      </c>
      <c r="M211" s="43">
        <f t="shared" si="73"/>
        <v>45</v>
      </c>
      <c r="N211" s="44">
        <f t="shared" si="74"/>
        <v>70</v>
      </c>
      <c r="O211" s="45">
        <f t="shared" si="75"/>
        <v>320</v>
      </c>
      <c r="P211" s="19">
        <f t="shared" si="76"/>
        <v>53.33</v>
      </c>
      <c r="Q211" s="177">
        <v>40</v>
      </c>
      <c r="R211" s="40">
        <v>50</v>
      </c>
      <c r="S211" s="41">
        <v>45</v>
      </c>
      <c r="T211" s="42">
        <v>70</v>
      </c>
      <c r="U211" s="43">
        <v>45</v>
      </c>
      <c r="V211" s="44">
        <v>70</v>
      </c>
      <c r="W211" s="45">
        <f t="shared" si="67"/>
        <v>320</v>
      </c>
      <c r="X211" s="19">
        <f t="shared" si="68"/>
        <v>53.33</v>
      </c>
      <c r="Y211" s="3">
        <v>40</v>
      </c>
      <c r="Z211" s="4">
        <v>50</v>
      </c>
      <c r="AA211" s="5">
        <v>45</v>
      </c>
      <c r="AB211" s="6">
        <v>70</v>
      </c>
      <c r="AC211" s="7">
        <v>45</v>
      </c>
      <c r="AD211" s="8">
        <v>70</v>
      </c>
      <c r="AE211" s="1">
        <v>320</v>
      </c>
      <c r="AF211" s="19">
        <v>53.33</v>
      </c>
      <c r="AG211" s="139">
        <v>40</v>
      </c>
      <c r="AH211" s="140">
        <v>50</v>
      </c>
      <c r="AI211" s="141">
        <v>45</v>
      </c>
      <c r="AJ211" s="142">
        <v>70</v>
      </c>
      <c r="AK211" s="143">
        <v>45</v>
      </c>
      <c r="AL211" s="144">
        <v>70</v>
      </c>
      <c r="AM211" s="138">
        <v>320</v>
      </c>
      <c r="AN211" s="153">
        <v>53.33</v>
      </c>
      <c r="AW211" s="45"/>
      <c r="AX211" s="174" t="b">
        <f>IF('Refined Compare'!$D$2="All",TRUE,IF(F211='Refined Compare'!$D$2,TRUE,IF(G211='Refined Compare'!$D$2,TRUE,FALSE)))</f>
        <v>0</v>
      </c>
      <c r="AY211" s="174" t="b">
        <f>IF('Refined Compare'!$D$3="All",TRUE,IF(F211='Refined Compare'!$D$3,TRUE,IF(G211='Refined Compare'!$D$3,TRUE,FALSE)))</f>
        <v>0</v>
      </c>
      <c r="AZ211" s="174" t="b">
        <f t="shared" si="81"/>
        <v>1</v>
      </c>
    </row>
    <row r="212" spans="1:52" x14ac:dyDescent="0.35">
      <c r="A212">
        <f t="shared" si="82"/>
        <v>211</v>
      </c>
      <c r="B212" s="18">
        <v>178</v>
      </c>
      <c r="C212" s="61">
        <v>2</v>
      </c>
      <c r="D212" s="118" t="b">
        <v>1</v>
      </c>
      <c r="E212" s="61"/>
      <c r="F212" s="66" t="s">
        <v>817</v>
      </c>
      <c r="G212" s="66" t="s">
        <v>809</v>
      </c>
      <c r="H212" s="2" t="s">
        <v>620</v>
      </c>
      <c r="I212" s="39">
        <f t="shared" si="69"/>
        <v>65</v>
      </c>
      <c r="J212" s="40">
        <f t="shared" si="70"/>
        <v>75</v>
      </c>
      <c r="K212" s="41">
        <f t="shared" si="71"/>
        <v>70</v>
      </c>
      <c r="L212" s="42">
        <f t="shared" si="72"/>
        <v>95</v>
      </c>
      <c r="M212" s="43">
        <f t="shared" si="73"/>
        <v>70</v>
      </c>
      <c r="N212" s="44">
        <f t="shared" si="74"/>
        <v>95</v>
      </c>
      <c r="O212" s="45">
        <f t="shared" si="75"/>
        <v>470</v>
      </c>
      <c r="P212" s="19">
        <f t="shared" si="76"/>
        <v>78.33</v>
      </c>
      <c r="Q212" s="177">
        <v>65</v>
      </c>
      <c r="R212" s="40">
        <v>75</v>
      </c>
      <c r="S212" s="41">
        <v>70</v>
      </c>
      <c r="T212" s="42">
        <v>95</v>
      </c>
      <c r="U212" s="43">
        <v>70</v>
      </c>
      <c r="V212" s="44">
        <v>95</v>
      </c>
      <c r="W212" s="45">
        <f t="shared" si="67"/>
        <v>470</v>
      </c>
      <c r="X212" s="19">
        <f t="shared" si="68"/>
        <v>78.33</v>
      </c>
      <c r="Y212" s="3">
        <v>65</v>
      </c>
      <c r="Z212" s="4">
        <v>75</v>
      </c>
      <c r="AA212" s="5">
        <v>70</v>
      </c>
      <c r="AB212" s="6">
        <v>95</v>
      </c>
      <c r="AC212" s="7">
        <v>70</v>
      </c>
      <c r="AD212" s="8">
        <v>95</v>
      </c>
      <c r="AE212" s="1">
        <v>470</v>
      </c>
      <c r="AF212" s="19">
        <v>78.33</v>
      </c>
      <c r="AG212" s="139">
        <v>65</v>
      </c>
      <c r="AH212" s="140">
        <v>75</v>
      </c>
      <c r="AI212" s="141">
        <v>70</v>
      </c>
      <c r="AJ212" s="142">
        <v>95</v>
      </c>
      <c r="AK212" s="143">
        <v>70</v>
      </c>
      <c r="AL212" s="144">
        <v>95</v>
      </c>
      <c r="AM212" s="138">
        <v>470</v>
      </c>
      <c r="AN212" s="153">
        <v>78.33</v>
      </c>
      <c r="AW212" s="45"/>
      <c r="AX212" s="174" t="b">
        <f>IF('Refined Compare'!$D$2="All",TRUE,IF(F212='Refined Compare'!$D$2,TRUE,IF(G212='Refined Compare'!$D$2,TRUE,FALSE)))</f>
        <v>0</v>
      </c>
      <c r="AY212" s="174" t="b">
        <f>IF('Refined Compare'!$D$3="All",TRUE,IF(F212='Refined Compare'!$D$3,TRUE,IF(G212='Refined Compare'!$D$3,TRUE,FALSE)))</f>
        <v>0</v>
      </c>
      <c r="AZ212" s="174" t="b">
        <f t="shared" si="81"/>
        <v>1</v>
      </c>
    </row>
    <row r="213" spans="1:52" x14ac:dyDescent="0.35">
      <c r="A213">
        <f t="shared" si="82"/>
        <v>212</v>
      </c>
      <c r="B213" s="18">
        <v>179</v>
      </c>
      <c r="C213" s="61">
        <v>2</v>
      </c>
      <c r="D213" s="61" t="b">
        <v>0</v>
      </c>
      <c r="E213" s="61"/>
      <c r="F213" s="66" t="s">
        <v>813</v>
      </c>
      <c r="G213" s="66" t="s">
        <v>827</v>
      </c>
      <c r="H213" s="2" t="s">
        <v>102</v>
      </c>
      <c r="I213" s="39">
        <f t="shared" si="69"/>
        <v>55</v>
      </c>
      <c r="J213" s="40">
        <f t="shared" si="70"/>
        <v>40</v>
      </c>
      <c r="K213" s="41">
        <f t="shared" si="71"/>
        <v>40</v>
      </c>
      <c r="L213" s="42">
        <f t="shared" si="72"/>
        <v>65</v>
      </c>
      <c r="M213" s="43">
        <f t="shared" si="73"/>
        <v>45</v>
      </c>
      <c r="N213" s="44">
        <f t="shared" si="74"/>
        <v>35</v>
      </c>
      <c r="O213" s="45">
        <f t="shared" si="75"/>
        <v>280</v>
      </c>
      <c r="P213" s="19">
        <f t="shared" si="76"/>
        <v>46.67</v>
      </c>
      <c r="Q213" s="177">
        <v>55</v>
      </c>
      <c r="R213" s="40">
        <v>40</v>
      </c>
      <c r="S213" s="41">
        <v>40</v>
      </c>
      <c r="T213" s="42">
        <v>65</v>
      </c>
      <c r="U213" s="43">
        <v>45</v>
      </c>
      <c r="V213" s="44">
        <v>35</v>
      </c>
      <c r="W213" s="45">
        <f t="shared" si="67"/>
        <v>280</v>
      </c>
      <c r="X213" s="19">
        <f t="shared" si="68"/>
        <v>46.67</v>
      </c>
      <c r="Y213" s="3">
        <v>55</v>
      </c>
      <c r="Z213" s="4">
        <v>40</v>
      </c>
      <c r="AA213" s="5">
        <v>40</v>
      </c>
      <c r="AB213" s="6">
        <v>65</v>
      </c>
      <c r="AC213" s="7">
        <v>45</v>
      </c>
      <c r="AD213" s="8">
        <v>35</v>
      </c>
      <c r="AE213" s="1">
        <v>280</v>
      </c>
      <c r="AF213" s="19">
        <v>46.67</v>
      </c>
      <c r="AG213" s="139">
        <v>55</v>
      </c>
      <c r="AH213" s="140">
        <v>40</v>
      </c>
      <c r="AI213" s="141">
        <v>40</v>
      </c>
      <c r="AJ213" s="142">
        <v>65</v>
      </c>
      <c r="AK213" s="143">
        <v>45</v>
      </c>
      <c r="AL213" s="144">
        <v>35</v>
      </c>
      <c r="AM213" s="138">
        <v>280</v>
      </c>
      <c r="AN213" s="153">
        <v>46.67</v>
      </c>
      <c r="AW213" s="45"/>
      <c r="AX213" s="174" t="b">
        <f>IF('Refined Compare'!$D$2="All",TRUE,IF(F213='Refined Compare'!$D$2,TRUE,IF(G213='Refined Compare'!$D$2,TRUE,FALSE)))</f>
        <v>0</v>
      </c>
      <c r="AY213" s="174" t="b">
        <f>IF('Refined Compare'!$D$3="All",TRUE,IF(F213='Refined Compare'!$D$3,TRUE,IF(G213='Refined Compare'!$D$3,TRUE,FALSE)))</f>
        <v>1</v>
      </c>
      <c r="AZ213" s="174" t="b">
        <f t="shared" si="81"/>
        <v>1</v>
      </c>
    </row>
    <row r="214" spans="1:52" x14ac:dyDescent="0.35">
      <c r="A214">
        <f t="shared" si="82"/>
        <v>213</v>
      </c>
      <c r="B214" s="18">
        <v>180</v>
      </c>
      <c r="C214" s="61">
        <v>2</v>
      </c>
      <c r="D214" s="61" t="b">
        <v>0</v>
      </c>
      <c r="E214" s="61"/>
      <c r="F214" s="66" t="s">
        <v>813</v>
      </c>
      <c r="G214" s="66" t="s">
        <v>827</v>
      </c>
      <c r="H214" s="2" t="s">
        <v>181</v>
      </c>
      <c r="I214" s="39">
        <f t="shared" si="69"/>
        <v>70</v>
      </c>
      <c r="J214" s="40">
        <f t="shared" si="70"/>
        <v>55</v>
      </c>
      <c r="K214" s="41">
        <f t="shared" si="71"/>
        <v>55</v>
      </c>
      <c r="L214" s="42">
        <f t="shared" si="72"/>
        <v>80</v>
      </c>
      <c r="M214" s="43">
        <f t="shared" si="73"/>
        <v>60</v>
      </c>
      <c r="N214" s="44">
        <f t="shared" si="74"/>
        <v>45</v>
      </c>
      <c r="O214" s="45">
        <f t="shared" si="75"/>
        <v>365</v>
      </c>
      <c r="P214" s="19">
        <f t="shared" si="76"/>
        <v>60.83</v>
      </c>
      <c r="Q214" s="177">
        <v>70</v>
      </c>
      <c r="R214" s="40">
        <v>55</v>
      </c>
      <c r="S214" s="41">
        <v>55</v>
      </c>
      <c r="T214" s="42">
        <v>80</v>
      </c>
      <c r="U214" s="43">
        <v>60</v>
      </c>
      <c r="V214" s="44">
        <v>45</v>
      </c>
      <c r="W214" s="45">
        <f t="shared" si="67"/>
        <v>365</v>
      </c>
      <c r="X214" s="19">
        <f t="shared" si="68"/>
        <v>60.83</v>
      </c>
      <c r="Y214" s="3">
        <v>70</v>
      </c>
      <c r="Z214" s="4">
        <v>55</v>
      </c>
      <c r="AA214" s="5">
        <v>55</v>
      </c>
      <c r="AB214" s="6">
        <v>80</v>
      </c>
      <c r="AC214" s="7">
        <v>60</v>
      </c>
      <c r="AD214" s="8">
        <v>45</v>
      </c>
      <c r="AE214" s="1">
        <v>365</v>
      </c>
      <c r="AF214" s="19">
        <v>60.83</v>
      </c>
      <c r="AG214" s="139">
        <v>70</v>
      </c>
      <c r="AH214" s="140">
        <v>55</v>
      </c>
      <c r="AI214" s="141">
        <v>55</v>
      </c>
      <c r="AJ214" s="142">
        <v>80</v>
      </c>
      <c r="AK214" s="143">
        <v>60</v>
      </c>
      <c r="AL214" s="144">
        <v>45</v>
      </c>
      <c r="AM214" s="138">
        <v>365</v>
      </c>
      <c r="AN214" s="153">
        <v>60.83</v>
      </c>
      <c r="AW214" s="45"/>
      <c r="AX214" s="174" t="b">
        <f>IF('Refined Compare'!$D$2="All",TRUE,IF(F214='Refined Compare'!$D$2,TRUE,IF(G214='Refined Compare'!$D$2,TRUE,FALSE)))</f>
        <v>0</v>
      </c>
      <c r="AY214" s="174" t="b">
        <f>IF('Refined Compare'!$D$3="All",TRUE,IF(F214='Refined Compare'!$D$3,TRUE,IF(G214='Refined Compare'!$D$3,TRUE,FALSE)))</f>
        <v>1</v>
      </c>
      <c r="AZ214" s="174" t="b">
        <f t="shared" si="81"/>
        <v>1</v>
      </c>
    </row>
    <row r="215" spans="1:52" x14ac:dyDescent="0.35">
      <c r="A215">
        <f t="shared" si="82"/>
        <v>214</v>
      </c>
      <c r="B215" s="18">
        <v>181</v>
      </c>
      <c r="C215" s="61">
        <v>2</v>
      </c>
      <c r="D215" s="61" t="b">
        <f>IF($AW$2&lt;6,TRUE,FALSE)</f>
        <v>1</v>
      </c>
      <c r="E215" s="61"/>
      <c r="F215" s="66" t="s">
        <v>813</v>
      </c>
      <c r="G215" s="66" t="s">
        <v>827</v>
      </c>
      <c r="H215" s="2" t="s">
        <v>274</v>
      </c>
      <c r="I215" s="39">
        <f t="shared" si="69"/>
        <v>90</v>
      </c>
      <c r="J215" s="40">
        <f t="shared" si="70"/>
        <v>75</v>
      </c>
      <c r="K215" s="41">
        <f t="shared" si="71"/>
        <v>75</v>
      </c>
      <c r="L215" s="42">
        <f t="shared" si="72"/>
        <v>115</v>
      </c>
      <c r="M215" s="43">
        <f t="shared" si="73"/>
        <v>90</v>
      </c>
      <c r="N215" s="44">
        <f t="shared" si="74"/>
        <v>55</v>
      </c>
      <c r="O215" s="45">
        <f t="shared" si="75"/>
        <v>500</v>
      </c>
      <c r="P215" s="19">
        <f t="shared" si="76"/>
        <v>83.33</v>
      </c>
      <c r="Q215" s="177">
        <v>90</v>
      </c>
      <c r="R215" s="40">
        <v>75</v>
      </c>
      <c r="S215" s="41">
        <v>85</v>
      </c>
      <c r="T215" s="42">
        <v>115</v>
      </c>
      <c r="U215" s="43">
        <v>90</v>
      </c>
      <c r="V215" s="44">
        <v>55</v>
      </c>
      <c r="W215" s="45">
        <f t="shared" si="67"/>
        <v>510</v>
      </c>
      <c r="X215" s="19">
        <f t="shared" si="68"/>
        <v>85</v>
      </c>
      <c r="Y215" s="3">
        <v>90</v>
      </c>
      <c r="Z215" s="4">
        <v>75</v>
      </c>
      <c r="AA215" s="5">
        <v>85</v>
      </c>
      <c r="AB215" s="6">
        <v>115</v>
      </c>
      <c r="AC215" s="7">
        <v>90</v>
      </c>
      <c r="AD215" s="8">
        <v>55</v>
      </c>
      <c r="AE215" s="1">
        <v>510</v>
      </c>
      <c r="AF215" s="19">
        <v>85</v>
      </c>
      <c r="AG215" s="139">
        <v>90</v>
      </c>
      <c r="AH215" s="140">
        <v>75</v>
      </c>
      <c r="AI215" s="141">
        <v>75</v>
      </c>
      <c r="AJ215" s="142">
        <v>115</v>
      </c>
      <c r="AK215" s="143">
        <v>90</v>
      </c>
      <c r="AL215" s="144">
        <v>55</v>
      </c>
      <c r="AM215" s="138">
        <v>500</v>
      </c>
      <c r="AN215" s="153">
        <v>83.33</v>
      </c>
      <c r="AW215" s="45"/>
      <c r="AX215" s="174" t="b">
        <f>IF('Refined Compare'!$D$2="All",TRUE,IF(F215='Refined Compare'!$D$2,TRUE,IF(G215='Refined Compare'!$D$2,TRUE,FALSE)))</f>
        <v>0</v>
      </c>
      <c r="AY215" s="174" t="b">
        <f>IF('Refined Compare'!$D$3="All",TRUE,IF(F215='Refined Compare'!$D$3,TRUE,IF(G215='Refined Compare'!$D$3,TRUE,FALSE)))</f>
        <v>1</v>
      </c>
      <c r="AZ215" s="174" t="b">
        <f t="shared" si="81"/>
        <v>1</v>
      </c>
    </row>
    <row r="216" spans="1:52" x14ac:dyDescent="0.35">
      <c r="A216">
        <f t="shared" si="82"/>
        <v>215</v>
      </c>
      <c r="B216" s="62">
        <v>181</v>
      </c>
      <c r="C216" s="61">
        <v>6</v>
      </c>
      <c r="D216" s="118" t="b">
        <f>IF(AZ216,TRUE,FALSE)</f>
        <v>0</v>
      </c>
      <c r="E216" s="61" t="s">
        <v>801</v>
      </c>
      <c r="F216" s="66" t="s">
        <v>813</v>
      </c>
      <c r="G216" s="66" t="s">
        <v>822</v>
      </c>
      <c r="H216" s="2" t="s">
        <v>182</v>
      </c>
      <c r="I216" s="39">
        <f t="shared" si="69"/>
        <v>0</v>
      </c>
      <c r="J216" s="40">
        <f t="shared" si="70"/>
        <v>0</v>
      </c>
      <c r="K216" s="41">
        <f t="shared" si="71"/>
        <v>0</v>
      </c>
      <c r="L216" s="42">
        <f t="shared" si="72"/>
        <v>0</v>
      </c>
      <c r="M216" s="43">
        <f t="shared" si="73"/>
        <v>0</v>
      </c>
      <c r="N216" s="44">
        <f t="shared" si="74"/>
        <v>0</v>
      </c>
      <c r="O216" s="45">
        <f t="shared" si="75"/>
        <v>0</v>
      </c>
      <c r="P216" s="19">
        <f t="shared" si="76"/>
        <v>0</v>
      </c>
      <c r="Q216" s="177">
        <v>90</v>
      </c>
      <c r="R216" s="40">
        <v>95</v>
      </c>
      <c r="S216" s="41">
        <v>105</v>
      </c>
      <c r="T216" s="42">
        <v>165</v>
      </c>
      <c r="U216" s="43">
        <v>110</v>
      </c>
      <c r="V216" s="44">
        <v>45</v>
      </c>
      <c r="W216" s="45">
        <f t="shared" si="67"/>
        <v>610</v>
      </c>
      <c r="X216" s="19">
        <f t="shared" si="68"/>
        <v>101.67</v>
      </c>
      <c r="Y216" s="3">
        <v>90</v>
      </c>
      <c r="Z216" s="4">
        <v>95</v>
      </c>
      <c r="AA216" s="5">
        <v>105</v>
      </c>
      <c r="AB216" s="6">
        <v>165</v>
      </c>
      <c r="AC216" s="7">
        <v>110</v>
      </c>
      <c r="AD216" s="8">
        <v>45</v>
      </c>
      <c r="AE216" s="1">
        <v>610</v>
      </c>
      <c r="AF216" s="19">
        <v>101.67</v>
      </c>
      <c r="AN216" s="172"/>
      <c r="AV216" s="174"/>
      <c r="AW216" s="45"/>
      <c r="AX216" s="174" t="b">
        <f>IF('Refined Compare'!$D$2="All",TRUE,IF(F216='Refined Compare'!$D$2,TRUE,IF(G216='Refined Compare'!$D$2,TRUE,FALSE)))</f>
        <v>0</v>
      </c>
      <c r="AY216" s="174" t="b">
        <f>IF('Refined Compare'!$D$3="All",TRUE,IF(F216='Refined Compare'!$D$3,TRUE,IF(G216='Refined Compare'!$D$3,TRUE,FALSE)))</f>
        <v>0</v>
      </c>
      <c r="AZ216" s="174" t="b">
        <f t="shared" si="81"/>
        <v>0</v>
      </c>
    </row>
    <row r="217" spans="1:52" x14ac:dyDescent="0.35">
      <c r="A217">
        <f t="shared" si="82"/>
        <v>216</v>
      </c>
      <c r="B217" s="18">
        <v>182</v>
      </c>
      <c r="C217" s="61">
        <v>2</v>
      </c>
      <c r="D217" s="118" t="b">
        <v>1</v>
      </c>
      <c r="E217" s="61"/>
      <c r="F217" s="66" t="s">
        <v>806</v>
      </c>
      <c r="G217" s="66" t="s">
        <v>827</v>
      </c>
      <c r="H217" s="2" t="s">
        <v>219</v>
      </c>
      <c r="I217" s="39">
        <f t="shared" si="69"/>
        <v>75</v>
      </c>
      <c r="J217" s="40">
        <f t="shared" si="70"/>
        <v>80</v>
      </c>
      <c r="K217" s="41">
        <f t="shared" si="71"/>
        <v>85</v>
      </c>
      <c r="L217" s="42">
        <f t="shared" si="72"/>
        <v>90</v>
      </c>
      <c r="M217" s="43">
        <f t="shared" si="73"/>
        <v>100</v>
      </c>
      <c r="N217" s="44">
        <f t="shared" si="74"/>
        <v>50</v>
      </c>
      <c r="O217" s="45">
        <f t="shared" si="75"/>
        <v>480</v>
      </c>
      <c r="P217" s="19">
        <f t="shared" si="76"/>
        <v>80</v>
      </c>
      <c r="Q217" s="177">
        <v>75</v>
      </c>
      <c r="R217" s="40">
        <v>80</v>
      </c>
      <c r="S217" s="41">
        <v>95</v>
      </c>
      <c r="T217" s="42">
        <v>90</v>
      </c>
      <c r="U217" s="43">
        <v>100</v>
      </c>
      <c r="V217" s="44">
        <v>50</v>
      </c>
      <c r="W217" s="45">
        <f t="shared" si="67"/>
        <v>490</v>
      </c>
      <c r="X217" s="19">
        <f t="shared" si="68"/>
        <v>81.67</v>
      </c>
      <c r="Y217" s="3">
        <v>75</v>
      </c>
      <c r="Z217" s="4">
        <v>80</v>
      </c>
      <c r="AA217" s="5">
        <v>95</v>
      </c>
      <c r="AB217" s="6">
        <v>90</v>
      </c>
      <c r="AC217" s="7">
        <v>100</v>
      </c>
      <c r="AD217" s="8">
        <v>50</v>
      </c>
      <c r="AE217" s="1">
        <v>490</v>
      </c>
      <c r="AF217" s="19">
        <v>81.67</v>
      </c>
      <c r="AG217" s="139">
        <v>75</v>
      </c>
      <c r="AH217" s="140">
        <v>80</v>
      </c>
      <c r="AI217" s="141">
        <v>85</v>
      </c>
      <c r="AJ217" s="142">
        <v>90</v>
      </c>
      <c r="AK217" s="143">
        <v>100</v>
      </c>
      <c r="AL217" s="144">
        <v>50</v>
      </c>
      <c r="AM217" s="138">
        <v>480</v>
      </c>
      <c r="AN217" s="153">
        <v>80</v>
      </c>
      <c r="AW217" s="45"/>
      <c r="AX217" s="174" t="b">
        <f>IF('Refined Compare'!$D$2="All",TRUE,IF(F217='Refined Compare'!$D$2,TRUE,IF(G217='Refined Compare'!$D$2,TRUE,FALSE)))</f>
        <v>0</v>
      </c>
      <c r="AY217" s="174" t="b">
        <f>IF('Refined Compare'!$D$3="All",TRUE,IF(F217='Refined Compare'!$D$3,TRUE,IF(G217='Refined Compare'!$D$3,TRUE,FALSE)))</f>
        <v>1</v>
      </c>
      <c r="AZ217" s="174" t="b">
        <f t="shared" si="81"/>
        <v>1</v>
      </c>
    </row>
    <row r="218" spans="1:52" x14ac:dyDescent="0.35">
      <c r="A218">
        <f t="shared" si="82"/>
        <v>217</v>
      </c>
      <c r="B218" s="18">
        <v>183</v>
      </c>
      <c r="C218" s="61">
        <v>2</v>
      </c>
      <c r="D218" s="61" t="b">
        <v>0</v>
      </c>
      <c r="E218" s="61"/>
      <c r="F218" s="66" t="s">
        <v>810</v>
      </c>
      <c r="G218" s="66" t="str">
        <f>IF($AW$2&lt;6,"Single type","Fairy")</f>
        <v>Single type</v>
      </c>
      <c r="H218" s="2" t="s">
        <v>132</v>
      </c>
      <c r="I218" s="39">
        <f t="shared" si="69"/>
        <v>70</v>
      </c>
      <c r="J218" s="40">
        <f t="shared" si="70"/>
        <v>20</v>
      </c>
      <c r="K218" s="41">
        <f t="shared" si="71"/>
        <v>50</v>
      </c>
      <c r="L218" s="42">
        <f t="shared" si="72"/>
        <v>20</v>
      </c>
      <c r="M218" s="43">
        <f t="shared" si="73"/>
        <v>50</v>
      </c>
      <c r="N218" s="44">
        <f t="shared" si="74"/>
        <v>40</v>
      </c>
      <c r="O218" s="45">
        <f t="shared" si="75"/>
        <v>250</v>
      </c>
      <c r="P218" s="19">
        <f t="shared" si="76"/>
        <v>41.67</v>
      </c>
      <c r="Q218" s="177">
        <v>70</v>
      </c>
      <c r="R218" s="40">
        <v>20</v>
      </c>
      <c r="S218" s="41">
        <v>50</v>
      </c>
      <c r="T218" s="42">
        <v>20</v>
      </c>
      <c r="U218" s="43">
        <v>50</v>
      </c>
      <c r="V218" s="44">
        <v>40</v>
      </c>
      <c r="W218" s="45">
        <f t="shared" si="67"/>
        <v>250</v>
      </c>
      <c r="X218" s="19">
        <f t="shared" si="68"/>
        <v>41.67</v>
      </c>
      <c r="Y218" s="3">
        <v>70</v>
      </c>
      <c r="Z218" s="4">
        <v>20</v>
      </c>
      <c r="AA218" s="5">
        <v>50</v>
      </c>
      <c r="AB218" s="6">
        <v>20</v>
      </c>
      <c r="AC218" s="7">
        <v>50</v>
      </c>
      <c r="AD218" s="8">
        <v>40</v>
      </c>
      <c r="AE218" s="1">
        <v>250</v>
      </c>
      <c r="AF218" s="19">
        <v>41.67</v>
      </c>
      <c r="AG218" s="139">
        <v>70</v>
      </c>
      <c r="AH218" s="140">
        <v>20</v>
      </c>
      <c r="AI218" s="141">
        <v>50</v>
      </c>
      <c r="AJ218" s="142">
        <v>20</v>
      </c>
      <c r="AK218" s="143">
        <v>50</v>
      </c>
      <c r="AL218" s="144">
        <v>40</v>
      </c>
      <c r="AM218" s="138">
        <v>250</v>
      </c>
      <c r="AN218" s="153">
        <v>41.67</v>
      </c>
      <c r="AW218" s="45"/>
      <c r="AX218" s="174" t="b">
        <f>IF('Refined Compare'!$D$2="All",TRUE,IF(F218='Refined Compare'!$D$2,TRUE,IF(G218='Refined Compare'!$D$2,TRUE,FALSE)))</f>
        <v>0</v>
      </c>
      <c r="AY218" s="174" t="b">
        <f>IF('Refined Compare'!$D$3="All",TRUE,IF(F218='Refined Compare'!$D$3,TRUE,IF(G218='Refined Compare'!$D$3,TRUE,FALSE)))</f>
        <v>1</v>
      </c>
      <c r="AZ218" s="174" t="b">
        <f t="shared" si="81"/>
        <v>1</v>
      </c>
    </row>
    <row r="219" spans="1:52" x14ac:dyDescent="0.35">
      <c r="A219">
        <f t="shared" si="82"/>
        <v>218</v>
      </c>
      <c r="B219" s="18">
        <v>184</v>
      </c>
      <c r="C219" s="61">
        <v>2</v>
      </c>
      <c r="D219" s="118" t="b">
        <v>1</v>
      </c>
      <c r="E219" s="61"/>
      <c r="F219" s="66" t="s">
        <v>810</v>
      </c>
      <c r="G219" s="66" t="str">
        <f>IF($AW$2&lt;6,"Single type","Fairy")</f>
        <v>Single type</v>
      </c>
      <c r="H219" s="2" t="s">
        <v>220</v>
      </c>
      <c r="I219" s="39">
        <f t="shared" si="69"/>
        <v>100</v>
      </c>
      <c r="J219" s="40">
        <f t="shared" si="70"/>
        <v>50</v>
      </c>
      <c r="K219" s="41">
        <f t="shared" si="71"/>
        <v>80</v>
      </c>
      <c r="L219" s="42">
        <f t="shared" si="72"/>
        <v>50</v>
      </c>
      <c r="M219" s="43">
        <f t="shared" si="73"/>
        <v>80</v>
      </c>
      <c r="N219" s="44">
        <f t="shared" si="74"/>
        <v>50</v>
      </c>
      <c r="O219" s="45">
        <f t="shared" si="75"/>
        <v>410</v>
      </c>
      <c r="P219" s="19">
        <f t="shared" si="76"/>
        <v>68.33</v>
      </c>
      <c r="Q219" s="177">
        <v>100</v>
      </c>
      <c r="R219" s="40">
        <v>50</v>
      </c>
      <c r="S219" s="41">
        <v>80</v>
      </c>
      <c r="T219" s="42">
        <v>60</v>
      </c>
      <c r="U219" s="43">
        <v>80</v>
      </c>
      <c r="V219" s="44">
        <v>50</v>
      </c>
      <c r="W219" s="45">
        <f t="shared" si="67"/>
        <v>420</v>
      </c>
      <c r="X219" s="19">
        <f t="shared" si="68"/>
        <v>70</v>
      </c>
      <c r="Y219" s="3">
        <v>100</v>
      </c>
      <c r="Z219" s="4">
        <v>50</v>
      </c>
      <c r="AA219" s="5">
        <v>80</v>
      </c>
      <c r="AB219" s="6">
        <v>60</v>
      </c>
      <c r="AC219" s="7">
        <v>80</v>
      </c>
      <c r="AD219" s="8">
        <v>50</v>
      </c>
      <c r="AE219" s="1">
        <v>420</v>
      </c>
      <c r="AF219" s="19">
        <v>70</v>
      </c>
      <c r="AG219" s="139">
        <v>100</v>
      </c>
      <c r="AH219" s="140">
        <v>50</v>
      </c>
      <c r="AI219" s="141">
        <v>80</v>
      </c>
      <c r="AJ219" s="142">
        <v>50</v>
      </c>
      <c r="AK219" s="143">
        <v>80</v>
      </c>
      <c r="AL219" s="144">
        <v>50</v>
      </c>
      <c r="AM219" s="138">
        <v>410</v>
      </c>
      <c r="AN219" s="153">
        <v>68.33</v>
      </c>
      <c r="AW219" s="45"/>
      <c r="AX219" s="174" t="b">
        <f>IF('Refined Compare'!$D$2="All",TRUE,IF(F219='Refined Compare'!$D$2,TRUE,IF(G219='Refined Compare'!$D$2,TRUE,FALSE)))</f>
        <v>0</v>
      </c>
      <c r="AY219" s="174" t="b">
        <f>IF('Refined Compare'!$D$3="All",TRUE,IF(F219='Refined Compare'!$D$3,TRUE,IF(G219='Refined Compare'!$D$3,TRUE,FALSE)))</f>
        <v>1</v>
      </c>
      <c r="AZ219" s="174" t="b">
        <f t="shared" si="81"/>
        <v>1</v>
      </c>
    </row>
    <row r="220" spans="1:52" x14ac:dyDescent="0.35">
      <c r="A220">
        <f t="shared" si="82"/>
        <v>219</v>
      </c>
      <c r="B220" s="18">
        <v>185</v>
      </c>
      <c r="C220" s="61">
        <v>2</v>
      </c>
      <c r="D220" s="118" t="b">
        <v>1</v>
      </c>
      <c r="E220" s="61"/>
      <c r="F220" s="66" t="s">
        <v>818</v>
      </c>
      <c r="G220" s="66" t="s">
        <v>827</v>
      </c>
      <c r="H220" s="2" t="s">
        <v>60</v>
      </c>
      <c r="I220" s="39">
        <f t="shared" si="69"/>
        <v>70</v>
      </c>
      <c r="J220" s="40">
        <f t="shared" si="70"/>
        <v>100</v>
      </c>
      <c r="K220" s="41">
        <f t="shared" si="71"/>
        <v>115</v>
      </c>
      <c r="L220" s="42">
        <f t="shared" si="72"/>
        <v>30</v>
      </c>
      <c r="M220" s="43">
        <f t="shared" si="73"/>
        <v>65</v>
      </c>
      <c r="N220" s="44">
        <f t="shared" si="74"/>
        <v>30</v>
      </c>
      <c r="O220" s="45">
        <f t="shared" si="75"/>
        <v>410</v>
      </c>
      <c r="P220" s="19">
        <f t="shared" si="76"/>
        <v>68.33</v>
      </c>
      <c r="Q220" s="177">
        <v>70</v>
      </c>
      <c r="R220" s="40">
        <v>100</v>
      </c>
      <c r="S220" s="41">
        <v>115</v>
      </c>
      <c r="T220" s="42">
        <v>30</v>
      </c>
      <c r="U220" s="43">
        <v>65</v>
      </c>
      <c r="V220" s="44">
        <v>30</v>
      </c>
      <c r="W220" s="45">
        <f t="shared" ref="W220:W283" si="83">SUM(Q220:V220)</f>
        <v>410</v>
      </c>
      <c r="X220" s="19">
        <f t="shared" ref="X220:X283" si="84">ROUND(AVERAGE(Q220:V220),2)</f>
        <v>68.33</v>
      </c>
      <c r="Y220" s="3">
        <v>70</v>
      </c>
      <c r="Z220" s="4">
        <v>100</v>
      </c>
      <c r="AA220" s="5">
        <v>115</v>
      </c>
      <c r="AB220" s="6">
        <v>30</v>
      </c>
      <c r="AC220" s="7">
        <v>65</v>
      </c>
      <c r="AD220" s="8">
        <v>30</v>
      </c>
      <c r="AE220" s="1">
        <v>410</v>
      </c>
      <c r="AF220" s="19">
        <v>68.33</v>
      </c>
      <c r="AG220" s="139">
        <v>70</v>
      </c>
      <c r="AH220" s="140">
        <v>100</v>
      </c>
      <c r="AI220" s="141">
        <v>115</v>
      </c>
      <c r="AJ220" s="142">
        <v>30</v>
      </c>
      <c r="AK220" s="143">
        <v>65</v>
      </c>
      <c r="AL220" s="144">
        <v>30</v>
      </c>
      <c r="AM220" s="138">
        <v>410</v>
      </c>
      <c r="AN220" s="153">
        <v>68.33</v>
      </c>
      <c r="AW220" s="45"/>
      <c r="AX220" s="174" t="b">
        <f>IF('Refined Compare'!$D$2="All",TRUE,IF(F220='Refined Compare'!$D$2,TRUE,IF(G220='Refined Compare'!$D$2,TRUE,FALSE)))</f>
        <v>0</v>
      </c>
      <c r="AY220" s="174" t="b">
        <f>IF('Refined Compare'!$D$3="All",TRUE,IF(F220='Refined Compare'!$D$3,TRUE,IF(G220='Refined Compare'!$D$3,TRUE,FALSE)))</f>
        <v>1</v>
      </c>
      <c r="AZ220" s="174" t="b">
        <f t="shared" si="81"/>
        <v>1</v>
      </c>
    </row>
    <row r="221" spans="1:52" x14ac:dyDescent="0.35">
      <c r="A221">
        <f t="shared" si="82"/>
        <v>220</v>
      </c>
      <c r="B221" s="18">
        <v>186</v>
      </c>
      <c r="C221" s="61">
        <v>2</v>
      </c>
      <c r="D221" s="118" t="b">
        <v>1</v>
      </c>
      <c r="E221" s="61"/>
      <c r="F221" s="66" t="s">
        <v>810</v>
      </c>
      <c r="G221" s="66" t="s">
        <v>827</v>
      </c>
      <c r="H221" s="2" t="s">
        <v>431</v>
      </c>
      <c r="I221" s="39">
        <f t="shared" si="69"/>
        <v>90</v>
      </c>
      <c r="J221" s="40">
        <f t="shared" si="70"/>
        <v>75</v>
      </c>
      <c r="K221" s="41">
        <f t="shared" si="71"/>
        <v>75</v>
      </c>
      <c r="L221" s="42">
        <f t="shared" si="72"/>
        <v>90</v>
      </c>
      <c r="M221" s="43">
        <f t="shared" si="73"/>
        <v>100</v>
      </c>
      <c r="N221" s="44">
        <f t="shared" si="74"/>
        <v>70</v>
      </c>
      <c r="O221" s="45">
        <f t="shared" si="75"/>
        <v>500</v>
      </c>
      <c r="P221" s="19">
        <f t="shared" si="76"/>
        <v>83.33</v>
      </c>
      <c r="Q221" s="177">
        <v>90</v>
      </c>
      <c r="R221" s="40">
        <v>75</v>
      </c>
      <c r="S221" s="41">
        <v>75</v>
      </c>
      <c r="T221" s="42">
        <v>90</v>
      </c>
      <c r="U221" s="43">
        <v>100</v>
      </c>
      <c r="V221" s="44">
        <v>70</v>
      </c>
      <c r="W221" s="45">
        <f t="shared" si="83"/>
        <v>500</v>
      </c>
      <c r="X221" s="19">
        <f t="shared" si="84"/>
        <v>83.33</v>
      </c>
      <c r="Y221" s="3">
        <v>90</v>
      </c>
      <c r="Z221" s="4">
        <v>75</v>
      </c>
      <c r="AA221" s="5">
        <v>75</v>
      </c>
      <c r="AB221" s="6">
        <v>90</v>
      </c>
      <c r="AC221" s="7">
        <v>100</v>
      </c>
      <c r="AD221" s="8">
        <v>70</v>
      </c>
      <c r="AE221" s="1">
        <v>500</v>
      </c>
      <c r="AF221" s="19">
        <v>83.33</v>
      </c>
      <c r="AG221" s="139">
        <v>90</v>
      </c>
      <c r="AH221" s="140">
        <v>75</v>
      </c>
      <c r="AI221" s="141">
        <v>75</v>
      </c>
      <c r="AJ221" s="142">
        <v>90</v>
      </c>
      <c r="AK221" s="143">
        <v>100</v>
      </c>
      <c r="AL221" s="144">
        <v>70</v>
      </c>
      <c r="AM221" s="138">
        <v>500</v>
      </c>
      <c r="AN221" s="153">
        <v>83.33</v>
      </c>
      <c r="AW221" s="45"/>
      <c r="AX221" s="174" t="b">
        <f>IF('Refined Compare'!$D$2="All",TRUE,IF(F221='Refined Compare'!$D$2,TRUE,IF(G221='Refined Compare'!$D$2,TRUE,FALSE)))</f>
        <v>0</v>
      </c>
      <c r="AY221" s="174" t="b">
        <f>IF('Refined Compare'!$D$3="All",TRUE,IF(F221='Refined Compare'!$D$3,TRUE,IF(G221='Refined Compare'!$D$3,TRUE,FALSE)))</f>
        <v>1</v>
      </c>
      <c r="AZ221" s="174" t="b">
        <f t="shared" si="81"/>
        <v>1</v>
      </c>
    </row>
    <row r="222" spans="1:52" x14ac:dyDescent="0.35">
      <c r="A222">
        <f t="shared" si="82"/>
        <v>221</v>
      </c>
      <c r="B222" s="18">
        <v>187</v>
      </c>
      <c r="C222" s="61">
        <v>2</v>
      </c>
      <c r="D222" s="61" t="b">
        <v>0</v>
      </c>
      <c r="E222" s="61"/>
      <c r="F222" s="66" t="s">
        <v>806</v>
      </c>
      <c r="G222" s="66" t="s">
        <v>809</v>
      </c>
      <c r="H222" s="2" t="s">
        <v>221</v>
      </c>
      <c r="I222" s="39">
        <f t="shared" ref="I222:I229" si="85">IF($AW$2=7,Q222,IF($AW$2=6,Y222,IF($AW$2=1,AO222,AG222)))</f>
        <v>35</v>
      </c>
      <c r="J222" s="40">
        <f t="shared" ref="J222:J229" si="86">IF($AW$2=7,R222,IF($AW$2=6,Z222,IF($AW$2=1,AP222,AH222)))</f>
        <v>35</v>
      </c>
      <c r="K222" s="41">
        <f t="shared" ref="K222:K229" si="87">IF($AW$2=7,S222,IF($AW$2=6,AA222,IF($AW$2=1,AQ222,AI222)))</f>
        <v>40</v>
      </c>
      <c r="L222" s="42">
        <f t="shared" ref="L222:L229" si="88">IF($AW$2=7,T222,IF($AW$2=6,AB222,IF($AW$2=1,AR222,AJ222)))</f>
        <v>35</v>
      </c>
      <c r="M222" s="43">
        <f t="shared" ref="M222:M229" si="89">IF($AW$2=7,U222,IF($AW$2=6,AC222,IF($AW$2=1,AS222,AK222)))</f>
        <v>55</v>
      </c>
      <c r="N222" s="44">
        <f t="shared" ref="N222:N229" si="90">IF($AW$2=7,V222,IF($AW$2=6,AD222,IF($AW$2=1,AT222,AL222)))</f>
        <v>50</v>
      </c>
      <c r="O222" s="45">
        <f t="shared" ref="O222:O229" si="91">IF($AW$2=7,W222,IF($AW$2=6,AE222,IF($AW$2=1,AU222,AM222)))</f>
        <v>250</v>
      </c>
      <c r="P222" s="19">
        <f t="shared" ref="P222:P229" si="92">IF($AW$2=7,X222,IF($AW$2=6,AF222,IF($AW$2=1,AV222,AN222)))</f>
        <v>41.67</v>
      </c>
      <c r="Q222" s="177">
        <v>35</v>
      </c>
      <c r="R222" s="40">
        <v>35</v>
      </c>
      <c r="S222" s="41">
        <v>40</v>
      </c>
      <c r="T222" s="42">
        <v>35</v>
      </c>
      <c r="U222" s="43">
        <v>55</v>
      </c>
      <c r="V222" s="44">
        <v>50</v>
      </c>
      <c r="W222" s="45">
        <f t="shared" si="83"/>
        <v>250</v>
      </c>
      <c r="X222" s="19">
        <f t="shared" si="84"/>
        <v>41.67</v>
      </c>
      <c r="Y222" s="3">
        <v>35</v>
      </c>
      <c r="Z222" s="4">
        <v>35</v>
      </c>
      <c r="AA222" s="5">
        <v>40</v>
      </c>
      <c r="AB222" s="6">
        <v>35</v>
      </c>
      <c r="AC222" s="7">
        <v>55</v>
      </c>
      <c r="AD222" s="8">
        <v>50</v>
      </c>
      <c r="AE222" s="1">
        <v>250</v>
      </c>
      <c r="AF222" s="19">
        <v>41.67</v>
      </c>
      <c r="AG222" s="139">
        <v>35</v>
      </c>
      <c r="AH222" s="140">
        <v>35</v>
      </c>
      <c r="AI222" s="141">
        <v>40</v>
      </c>
      <c r="AJ222" s="142">
        <v>35</v>
      </c>
      <c r="AK222" s="143">
        <v>55</v>
      </c>
      <c r="AL222" s="144">
        <v>50</v>
      </c>
      <c r="AM222" s="138">
        <v>250</v>
      </c>
      <c r="AN222" s="153">
        <v>41.67</v>
      </c>
      <c r="AW222" s="45"/>
      <c r="AX222" s="174" t="b">
        <f>IF('Refined Compare'!$D$2="All",TRUE,IF(F222='Refined Compare'!$D$2,TRUE,IF(G222='Refined Compare'!$D$2,TRUE,FALSE)))</f>
        <v>0</v>
      </c>
      <c r="AY222" s="174" t="b">
        <f>IF('Refined Compare'!$D$3="All",TRUE,IF(F222='Refined Compare'!$D$3,TRUE,IF(G222='Refined Compare'!$D$3,TRUE,FALSE)))</f>
        <v>0</v>
      </c>
      <c r="AZ222" s="174" t="b">
        <f t="shared" si="81"/>
        <v>1</v>
      </c>
    </row>
    <row r="223" spans="1:52" x14ac:dyDescent="0.35">
      <c r="A223">
        <f t="shared" si="82"/>
        <v>222</v>
      </c>
      <c r="B223" s="18">
        <v>188</v>
      </c>
      <c r="C223" s="61">
        <v>2</v>
      </c>
      <c r="D223" s="61" t="b">
        <v>0</v>
      </c>
      <c r="E223" s="61"/>
      <c r="F223" s="66" t="s">
        <v>806</v>
      </c>
      <c r="G223" s="66" t="s">
        <v>809</v>
      </c>
      <c r="H223" s="2" t="s">
        <v>506</v>
      </c>
      <c r="I223" s="39">
        <f t="shared" si="85"/>
        <v>55</v>
      </c>
      <c r="J223" s="40">
        <f t="shared" si="86"/>
        <v>45</v>
      </c>
      <c r="K223" s="41">
        <f t="shared" si="87"/>
        <v>50</v>
      </c>
      <c r="L223" s="42">
        <f t="shared" si="88"/>
        <v>45</v>
      </c>
      <c r="M223" s="43">
        <f t="shared" si="89"/>
        <v>65</v>
      </c>
      <c r="N223" s="44">
        <f t="shared" si="90"/>
        <v>80</v>
      </c>
      <c r="O223" s="45">
        <f t="shared" si="91"/>
        <v>340</v>
      </c>
      <c r="P223" s="19">
        <f t="shared" si="92"/>
        <v>56.67</v>
      </c>
      <c r="Q223" s="177">
        <v>55</v>
      </c>
      <c r="R223" s="40">
        <v>45</v>
      </c>
      <c r="S223" s="41">
        <v>50</v>
      </c>
      <c r="T223" s="42">
        <v>45</v>
      </c>
      <c r="U223" s="43">
        <v>65</v>
      </c>
      <c r="V223" s="44">
        <v>80</v>
      </c>
      <c r="W223" s="45">
        <f t="shared" si="83"/>
        <v>340</v>
      </c>
      <c r="X223" s="19">
        <f t="shared" si="84"/>
        <v>56.67</v>
      </c>
      <c r="Y223" s="3">
        <v>55</v>
      </c>
      <c r="Z223" s="4">
        <v>45</v>
      </c>
      <c r="AA223" s="5">
        <v>50</v>
      </c>
      <c r="AB223" s="6">
        <v>45</v>
      </c>
      <c r="AC223" s="7">
        <v>65</v>
      </c>
      <c r="AD223" s="8">
        <v>80</v>
      </c>
      <c r="AE223" s="1">
        <v>340</v>
      </c>
      <c r="AF223" s="19">
        <v>56.67</v>
      </c>
      <c r="AG223" s="139">
        <v>55</v>
      </c>
      <c r="AH223" s="140">
        <v>45</v>
      </c>
      <c r="AI223" s="141">
        <v>50</v>
      </c>
      <c r="AJ223" s="142">
        <v>45</v>
      </c>
      <c r="AK223" s="143">
        <v>65</v>
      </c>
      <c r="AL223" s="144">
        <v>80</v>
      </c>
      <c r="AM223" s="138">
        <v>340</v>
      </c>
      <c r="AN223" s="153">
        <v>56.67</v>
      </c>
      <c r="AW223" s="45"/>
      <c r="AX223" s="174" t="b">
        <f>IF('Refined Compare'!$D$2="All",TRUE,IF(F223='Refined Compare'!$D$2,TRUE,IF(G223='Refined Compare'!$D$2,TRUE,FALSE)))</f>
        <v>0</v>
      </c>
      <c r="AY223" s="174" t="b">
        <f>IF('Refined Compare'!$D$3="All",TRUE,IF(F223='Refined Compare'!$D$3,TRUE,IF(G223='Refined Compare'!$D$3,TRUE,FALSE)))</f>
        <v>0</v>
      </c>
      <c r="AZ223" s="174" t="b">
        <f t="shared" si="81"/>
        <v>1</v>
      </c>
    </row>
    <row r="224" spans="1:52" x14ac:dyDescent="0.35">
      <c r="A224">
        <f t="shared" si="82"/>
        <v>223</v>
      </c>
      <c r="B224" s="18">
        <v>189</v>
      </c>
      <c r="C224" s="61">
        <v>2</v>
      </c>
      <c r="D224" s="118" t="b">
        <v>1</v>
      </c>
      <c r="E224" s="61"/>
      <c r="F224" s="66" t="s">
        <v>806</v>
      </c>
      <c r="G224" s="66" t="s">
        <v>809</v>
      </c>
      <c r="H224" s="2" t="s">
        <v>718</v>
      </c>
      <c r="I224" s="39">
        <f t="shared" si="85"/>
        <v>75</v>
      </c>
      <c r="J224" s="40">
        <f t="shared" si="86"/>
        <v>55</v>
      </c>
      <c r="K224" s="41">
        <f t="shared" si="87"/>
        <v>70</v>
      </c>
      <c r="L224" s="42">
        <f t="shared" si="88"/>
        <v>55</v>
      </c>
      <c r="M224" s="43">
        <f t="shared" si="89"/>
        <v>85</v>
      </c>
      <c r="N224" s="44">
        <f t="shared" si="90"/>
        <v>110</v>
      </c>
      <c r="O224" s="45">
        <f t="shared" si="91"/>
        <v>450</v>
      </c>
      <c r="P224" s="19">
        <f t="shared" si="92"/>
        <v>75</v>
      </c>
      <c r="Q224" s="177">
        <v>75</v>
      </c>
      <c r="R224" s="40">
        <v>55</v>
      </c>
      <c r="S224" s="41">
        <v>70</v>
      </c>
      <c r="T224" s="42">
        <v>55</v>
      </c>
      <c r="U224" s="43">
        <v>95</v>
      </c>
      <c r="V224" s="44">
        <v>110</v>
      </c>
      <c r="W224" s="45">
        <f t="shared" si="83"/>
        <v>460</v>
      </c>
      <c r="X224" s="19">
        <f t="shared" si="84"/>
        <v>76.67</v>
      </c>
      <c r="Y224" s="3">
        <v>75</v>
      </c>
      <c r="Z224" s="4">
        <v>55</v>
      </c>
      <c r="AA224" s="5">
        <v>70</v>
      </c>
      <c r="AB224" s="6">
        <v>55</v>
      </c>
      <c r="AC224" s="7">
        <v>95</v>
      </c>
      <c r="AD224" s="8">
        <v>110</v>
      </c>
      <c r="AE224" s="1">
        <v>460</v>
      </c>
      <c r="AF224" s="19">
        <v>76.67</v>
      </c>
      <c r="AG224" s="139">
        <v>75</v>
      </c>
      <c r="AH224" s="140">
        <v>55</v>
      </c>
      <c r="AI224" s="141">
        <v>70</v>
      </c>
      <c r="AJ224" s="142">
        <v>55</v>
      </c>
      <c r="AK224" s="143">
        <v>85</v>
      </c>
      <c r="AL224" s="144">
        <v>110</v>
      </c>
      <c r="AM224" s="138">
        <v>450</v>
      </c>
      <c r="AN224" s="153">
        <v>75</v>
      </c>
      <c r="AW224" s="45"/>
      <c r="AX224" s="174" t="b">
        <f>IF('Refined Compare'!$D$2="All",TRUE,IF(F224='Refined Compare'!$D$2,TRUE,IF(G224='Refined Compare'!$D$2,TRUE,FALSE)))</f>
        <v>0</v>
      </c>
      <c r="AY224" s="174" t="b">
        <f>IF('Refined Compare'!$D$3="All",TRUE,IF(F224='Refined Compare'!$D$3,TRUE,IF(G224='Refined Compare'!$D$3,TRUE,FALSE)))</f>
        <v>0</v>
      </c>
      <c r="AZ224" s="174" t="b">
        <f t="shared" si="81"/>
        <v>1</v>
      </c>
    </row>
    <row r="225" spans="1:52" x14ac:dyDescent="0.35">
      <c r="A225">
        <f t="shared" si="82"/>
        <v>224</v>
      </c>
      <c r="B225" s="18">
        <v>190</v>
      </c>
      <c r="C225" s="61">
        <v>2</v>
      </c>
      <c r="D225" s="118" t="b">
        <f>IF($AW$2&lt;4,TRUE,FALSE)</f>
        <v>0</v>
      </c>
      <c r="E225" s="61"/>
      <c r="F225" s="66" t="s">
        <v>812</v>
      </c>
      <c r="G225" s="66" t="s">
        <v>827</v>
      </c>
      <c r="H225" s="2" t="s">
        <v>546</v>
      </c>
      <c r="I225" s="39">
        <f t="shared" si="85"/>
        <v>55</v>
      </c>
      <c r="J225" s="40">
        <f t="shared" si="86"/>
        <v>70</v>
      </c>
      <c r="K225" s="41">
        <f t="shared" si="87"/>
        <v>55</v>
      </c>
      <c r="L225" s="42">
        <f t="shared" si="88"/>
        <v>40</v>
      </c>
      <c r="M225" s="43">
        <f t="shared" si="89"/>
        <v>55</v>
      </c>
      <c r="N225" s="44">
        <f t="shared" si="90"/>
        <v>85</v>
      </c>
      <c r="O225" s="45">
        <f t="shared" si="91"/>
        <v>360</v>
      </c>
      <c r="P225" s="19">
        <f t="shared" si="92"/>
        <v>60</v>
      </c>
      <c r="Q225" s="177">
        <v>55</v>
      </c>
      <c r="R225" s="40">
        <v>70</v>
      </c>
      <c r="S225" s="41">
        <v>55</v>
      </c>
      <c r="T225" s="42">
        <v>40</v>
      </c>
      <c r="U225" s="43">
        <v>55</v>
      </c>
      <c r="V225" s="44">
        <v>85</v>
      </c>
      <c r="W225" s="45">
        <f t="shared" si="83"/>
        <v>360</v>
      </c>
      <c r="X225" s="19">
        <f t="shared" si="84"/>
        <v>60</v>
      </c>
      <c r="Y225" s="3">
        <v>55</v>
      </c>
      <c r="Z225" s="4">
        <v>70</v>
      </c>
      <c r="AA225" s="5">
        <v>55</v>
      </c>
      <c r="AB225" s="6">
        <v>40</v>
      </c>
      <c r="AC225" s="7">
        <v>55</v>
      </c>
      <c r="AD225" s="8">
        <v>85</v>
      </c>
      <c r="AE225" s="1">
        <v>360</v>
      </c>
      <c r="AF225" s="19">
        <v>60</v>
      </c>
      <c r="AG225" s="139">
        <v>55</v>
      </c>
      <c r="AH225" s="140">
        <v>70</v>
      </c>
      <c r="AI225" s="141">
        <v>55</v>
      </c>
      <c r="AJ225" s="142">
        <v>40</v>
      </c>
      <c r="AK225" s="143">
        <v>55</v>
      </c>
      <c r="AL225" s="144">
        <v>85</v>
      </c>
      <c r="AM225" s="138">
        <v>360</v>
      </c>
      <c r="AN225" s="153">
        <v>60</v>
      </c>
      <c r="AW225" s="45"/>
      <c r="AX225" s="174" t="b">
        <f>IF('Refined Compare'!$D$2="All",TRUE,IF(F225='Refined Compare'!$D$2,TRUE,IF(G225='Refined Compare'!$D$2,TRUE,FALSE)))</f>
        <v>0</v>
      </c>
      <c r="AY225" s="174" t="b">
        <f>IF('Refined Compare'!$D$3="All",TRUE,IF(F225='Refined Compare'!$D$3,TRUE,IF(G225='Refined Compare'!$D$3,TRUE,FALSE)))</f>
        <v>1</v>
      </c>
      <c r="AZ225" s="174" t="b">
        <f t="shared" si="81"/>
        <v>1</v>
      </c>
    </row>
    <row r="226" spans="1:52" x14ac:dyDescent="0.35">
      <c r="A226">
        <f t="shared" si="82"/>
        <v>225</v>
      </c>
      <c r="B226" s="18">
        <v>191</v>
      </c>
      <c r="C226" s="61">
        <v>2</v>
      </c>
      <c r="D226" s="61" t="b">
        <v>0</v>
      </c>
      <c r="E226" s="61"/>
      <c r="F226" s="66" t="s">
        <v>806</v>
      </c>
      <c r="G226" s="66" t="s">
        <v>827</v>
      </c>
      <c r="H226" s="38" t="s">
        <v>61</v>
      </c>
      <c r="I226" s="39">
        <f t="shared" si="85"/>
        <v>30</v>
      </c>
      <c r="J226" s="40">
        <f t="shared" si="86"/>
        <v>30</v>
      </c>
      <c r="K226" s="41">
        <f t="shared" si="87"/>
        <v>30</v>
      </c>
      <c r="L226" s="42">
        <f t="shared" si="88"/>
        <v>30</v>
      </c>
      <c r="M226" s="43">
        <f t="shared" si="89"/>
        <v>30</v>
      </c>
      <c r="N226" s="44">
        <f t="shared" si="90"/>
        <v>30</v>
      </c>
      <c r="O226" s="45">
        <f t="shared" si="91"/>
        <v>180</v>
      </c>
      <c r="P226" s="19">
        <f t="shared" si="92"/>
        <v>30</v>
      </c>
      <c r="Q226" s="177">
        <v>30</v>
      </c>
      <c r="R226" s="40">
        <v>30</v>
      </c>
      <c r="S226" s="41">
        <v>30</v>
      </c>
      <c r="T226" s="42">
        <v>30</v>
      </c>
      <c r="U226" s="43">
        <v>30</v>
      </c>
      <c r="V226" s="44">
        <v>30</v>
      </c>
      <c r="W226" s="45">
        <f t="shared" si="83"/>
        <v>180</v>
      </c>
      <c r="X226" s="19">
        <f t="shared" si="84"/>
        <v>30</v>
      </c>
      <c r="Y226" s="39">
        <v>30</v>
      </c>
      <c r="Z226" s="40">
        <v>30</v>
      </c>
      <c r="AA226" s="41">
        <v>30</v>
      </c>
      <c r="AB226" s="42">
        <v>30</v>
      </c>
      <c r="AC226" s="43">
        <v>30</v>
      </c>
      <c r="AD226" s="44">
        <v>30</v>
      </c>
      <c r="AE226" s="45">
        <v>180</v>
      </c>
      <c r="AF226" s="19">
        <v>30</v>
      </c>
      <c r="AG226" s="139">
        <v>30</v>
      </c>
      <c r="AH226" s="140">
        <v>30</v>
      </c>
      <c r="AI226" s="141">
        <v>30</v>
      </c>
      <c r="AJ226" s="142">
        <v>30</v>
      </c>
      <c r="AK226" s="143">
        <v>30</v>
      </c>
      <c r="AL226" s="144">
        <v>30</v>
      </c>
      <c r="AM226" s="138">
        <v>180</v>
      </c>
      <c r="AN226" s="153">
        <v>30</v>
      </c>
      <c r="AW226" s="45"/>
      <c r="AX226" s="174" t="b">
        <f>IF('Refined Compare'!$D$2="All",TRUE,IF(F226='Refined Compare'!$D$2,TRUE,IF(G226='Refined Compare'!$D$2,TRUE,FALSE)))</f>
        <v>0</v>
      </c>
      <c r="AY226" s="174" t="b">
        <f>IF('Refined Compare'!$D$3="All",TRUE,IF(F226='Refined Compare'!$D$3,TRUE,IF(G226='Refined Compare'!$D$3,TRUE,FALSE)))</f>
        <v>1</v>
      </c>
      <c r="AZ226" s="174" t="b">
        <f t="shared" si="81"/>
        <v>1</v>
      </c>
    </row>
    <row r="227" spans="1:52" x14ac:dyDescent="0.35">
      <c r="A227">
        <f t="shared" si="82"/>
        <v>226</v>
      </c>
      <c r="B227" s="18">
        <v>192</v>
      </c>
      <c r="C227" s="61">
        <v>2</v>
      </c>
      <c r="D227" s="118" t="b">
        <v>1</v>
      </c>
      <c r="E227" s="61"/>
      <c r="F227" s="66" t="s">
        <v>806</v>
      </c>
      <c r="G227" s="66" t="s">
        <v>827</v>
      </c>
      <c r="H227" s="2" t="s">
        <v>62</v>
      </c>
      <c r="I227" s="39">
        <f t="shared" si="85"/>
        <v>75</v>
      </c>
      <c r="J227" s="40">
        <f t="shared" si="86"/>
        <v>75</v>
      </c>
      <c r="K227" s="41">
        <f t="shared" si="87"/>
        <v>55</v>
      </c>
      <c r="L227" s="42">
        <f t="shared" si="88"/>
        <v>105</v>
      </c>
      <c r="M227" s="43">
        <f t="shared" si="89"/>
        <v>85</v>
      </c>
      <c r="N227" s="44">
        <f t="shared" si="90"/>
        <v>30</v>
      </c>
      <c r="O227" s="45">
        <f t="shared" si="91"/>
        <v>425</v>
      </c>
      <c r="P227" s="19">
        <f t="shared" si="92"/>
        <v>70.83</v>
      </c>
      <c r="Q227" s="177">
        <v>75</v>
      </c>
      <c r="R227" s="40">
        <v>75</v>
      </c>
      <c r="S227" s="41">
        <v>55</v>
      </c>
      <c r="T227" s="42">
        <v>105</v>
      </c>
      <c r="U227" s="43">
        <v>85</v>
      </c>
      <c r="V227" s="44">
        <v>30</v>
      </c>
      <c r="W227" s="45">
        <f t="shared" si="83"/>
        <v>425</v>
      </c>
      <c r="X227" s="19">
        <f t="shared" si="84"/>
        <v>70.83</v>
      </c>
      <c r="Y227" s="3">
        <v>75</v>
      </c>
      <c r="Z227" s="4">
        <v>75</v>
      </c>
      <c r="AA227" s="5">
        <v>55</v>
      </c>
      <c r="AB227" s="6">
        <v>105</v>
      </c>
      <c r="AC227" s="7">
        <v>85</v>
      </c>
      <c r="AD227" s="8">
        <v>30</v>
      </c>
      <c r="AE227" s="1">
        <v>425</v>
      </c>
      <c r="AF227" s="19">
        <v>70.83</v>
      </c>
      <c r="AG227" s="139">
        <v>75</v>
      </c>
      <c r="AH227" s="140">
        <v>75</v>
      </c>
      <c r="AI227" s="141">
        <v>55</v>
      </c>
      <c r="AJ227" s="142">
        <v>105</v>
      </c>
      <c r="AK227" s="143">
        <v>85</v>
      </c>
      <c r="AL227" s="144">
        <v>30</v>
      </c>
      <c r="AM227" s="138">
        <v>425</v>
      </c>
      <c r="AN227" s="153">
        <v>70.83</v>
      </c>
      <c r="AW227" s="45"/>
      <c r="AX227" s="174" t="b">
        <f>IF('Refined Compare'!$D$2="All",TRUE,IF(F227='Refined Compare'!$D$2,TRUE,IF(G227='Refined Compare'!$D$2,TRUE,FALSE)))</f>
        <v>0</v>
      </c>
      <c r="AY227" s="174" t="b">
        <f>IF('Refined Compare'!$D$3="All",TRUE,IF(F227='Refined Compare'!$D$3,TRUE,IF(G227='Refined Compare'!$D$3,TRUE,FALSE)))</f>
        <v>1</v>
      </c>
      <c r="AZ227" s="174" t="b">
        <f t="shared" si="81"/>
        <v>1</v>
      </c>
    </row>
    <row r="228" spans="1:52" x14ac:dyDescent="0.35">
      <c r="A228">
        <f t="shared" si="82"/>
        <v>227</v>
      </c>
      <c r="B228" s="18">
        <v>193</v>
      </c>
      <c r="C228" s="61">
        <v>2</v>
      </c>
      <c r="D228" s="118" t="b">
        <f>IF($AW$2&lt;4,TRUE,FALSE)</f>
        <v>0</v>
      </c>
      <c r="E228" s="61"/>
      <c r="F228" s="66" t="s">
        <v>811</v>
      </c>
      <c r="G228" s="66" t="s">
        <v>809</v>
      </c>
      <c r="H228" s="2" t="s">
        <v>621</v>
      </c>
      <c r="I228" s="39">
        <f t="shared" si="85"/>
        <v>65</v>
      </c>
      <c r="J228" s="40">
        <f t="shared" si="86"/>
        <v>65</v>
      </c>
      <c r="K228" s="41">
        <f t="shared" si="87"/>
        <v>45</v>
      </c>
      <c r="L228" s="42">
        <f t="shared" si="88"/>
        <v>75</v>
      </c>
      <c r="M228" s="43">
        <f t="shared" si="89"/>
        <v>45</v>
      </c>
      <c r="N228" s="44">
        <f t="shared" si="90"/>
        <v>95</v>
      </c>
      <c r="O228" s="45">
        <f t="shared" si="91"/>
        <v>390</v>
      </c>
      <c r="P228" s="19">
        <f t="shared" si="92"/>
        <v>65</v>
      </c>
      <c r="Q228" s="177">
        <v>65</v>
      </c>
      <c r="R228" s="40">
        <v>65</v>
      </c>
      <c r="S228" s="41">
        <v>45</v>
      </c>
      <c r="T228" s="42">
        <v>75</v>
      </c>
      <c r="U228" s="43">
        <v>45</v>
      </c>
      <c r="V228" s="44">
        <v>95</v>
      </c>
      <c r="W228" s="45">
        <f t="shared" si="83"/>
        <v>390</v>
      </c>
      <c r="X228" s="19">
        <f t="shared" si="84"/>
        <v>65</v>
      </c>
      <c r="Y228" s="3">
        <v>65</v>
      </c>
      <c r="Z228" s="4">
        <v>65</v>
      </c>
      <c r="AA228" s="5">
        <v>45</v>
      </c>
      <c r="AB228" s="6">
        <v>75</v>
      </c>
      <c r="AC228" s="7">
        <v>45</v>
      </c>
      <c r="AD228" s="8">
        <v>95</v>
      </c>
      <c r="AE228" s="1">
        <v>390</v>
      </c>
      <c r="AF228" s="19">
        <v>65</v>
      </c>
      <c r="AG228" s="139">
        <v>65</v>
      </c>
      <c r="AH228" s="140">
        <v>65</v>
      </c>
      <c r="AI228" s="141">
        <v>45</v>
      </c>
      <c r="AJ228" s="142">
        <v>75</v>
      </c>
      <c r="AK228" s="143">
        <v>45</v>
      </c>
      <c r="AL228" s="144">
        <v>95</v>
      </c>
      <c r="AM228" s="138">
        <v>390</v>
      </c>
      <c r="AN228" s="153">
        <v>65</v>
      </c>
      <c r="AW228" s="45"/>
      <c r="AX228" s="174" t="b">
        <f>IF('Refined Compare'!$D$2="All",TRUE,IF(F228='Refined Compare'!$D$2,TRUE,IF(G228='Refined Compare'!$D$2,TRUE,FALSE)))</f>
        <v>0</v>
      </c>
      <c r="AY228" s="174" t="b">
        <f>IF('Refined Compare'!$D$3="All",TRUE,IF(F228='Refined Compare'!$D$3,TRUE,IF(G228='Refined Compare'!$D$3,TRUE,FALSE)))</f>
        <v>0</v>
      </c>
      <c r="AZ228" s="174" t="b">
        <f t="shared" si="81"/>
        <v>1</v>
      </c>
    </row>
    <row r="229" spans="1:52" x14ac:dyDescent="0.35">
      <c r="A229">
        <f t="shared" si="82"/>
        <v>228</v>
      </c>
      <c r="B229" s="18">
        <v>194</v>
      </c>
      <c r="C229" s="61">
        <v>2</v>
      </c>
      <c r="D229" s="61" t="b">
        <v>0</v>
      </c>
      <c r="E229" s="61"/>
      <c r="F229" s="66" t="s">
        <v>810</v>
      </c>
      <c r="G229" s="66" t="s">
        <v>814</v>
      </c>
      <c r="H229" s="2" t="s">
        <v>8</v>
      </c>
      <c r="I229" s="39">
        <f t="shared" si="85"/>
        <v>55</v>
      </c>
      <c r="J229" s="40">
        <f t="shared" si="86"/>
        <v>45</v>
      </c>
      <c r="K229" s="41">
        <f t="shared" si="87"/>
        <v>45</v>
      </c>
      <c r="L229" s="42">
        <f t="shared" si="88"/>
        <v>25</v>
      </c>
      <c r="M229" s="43">
        <f t="shared" si="89"/>
        <v>25</v>
      </c>
      <c r="N229" s="44">
        <f t="shared" si="90"/>
        <v>15</v>
      </c>
      <c r="O229" s="45">
        <f t="shared" si="91"/>
        <v>210</v>
      </c>
      <c r="P229" s="19">
        <f t="shared" si="92"/>
        <v>35</v>
      </c>
      <c r="Q229" s="177">
        <v>55</v>
      </c>
      <c r="R229" s="40">
        <v>45</v>
      </c>
      <c r="S229" s="41">
        <v>45</v>
      </c>
      <c r="T229" s="42">
        <v>25</v>
      </c>
      <c r="U229" s="43">
        <v>25</v>
      </c>
      <c r="V229" s="44">
        <v>15</v>
      </c>
      <c r="W229" s="45">
        <f t="shared" si="83"/>
        <v>210</v>
      </c>
      <c r="X229" s="19">
        <f t="shared" si="84"/>
        <v>35</v>
      </c>
      <c r="Y229" s="3">
        <v>55</v>
      </c>
      <c r="Z229" s="4">
        <v>45</v>
      </c>
      <c r="AA229" s="5">
        <v>45</v>
      </c>
      <c r="AB229" s="6">
        <v>25</v>
      </c>
      <c r="AC229" s="7">
        <v>25</v>
      </c>
      <c r="AD229" s="8">
        <v>15</v>
      </c>
      <c r="AE229" s="1">
        <v>210</v>
      </c>
      <c r="AF229" s="19">
        <v>35</v>
      </c>
      <c r="AG229" s="139">
        <v>55</v>
      </c>
      <c r="AH229" s="140">
        <v>45</v>
      </c>
      <c r="AI229" s="141">
        <v>45</v>
      </c>
      <c r="AJ229" s="142">
        <v>25</v>
      </c>
      <c r="AK229" s="143">
        <v>25</v>
      </c>
      <c r="AL229" s="144">
        <v>15</v>
      </c>
      <c r="AM229" s="138">
        <v>210</v>
      </c>
      <c r="AN229" s="153">
        <v>35</v>
      </c>
      <c r="AW229" s="45"/>
      <c r="AX229" s="174" t="b">
        <f>IF('Refined Compare'!$D$2="All",TRUE,IF(F229='Refined Compare'!$D$2,TRUE,IF(G229='Refined Compare'!$D$2,TRUE,FALSE)))</f>
        <v>0</v>
      </c>
      <c r="AY229" s="174" t="b">
        <f>IF('Refined Compare'!$D$3="All",TRUE,IF(F229='Refined Compare'!$D$3,TRUE,IF(G229='Refined Compare'!$D$3,TRUE,FALSE)))</f>
        <v>0</v>
      </c>
      <c r="AZ229" s="174" t="b">
        <f t="shared" si="81"/>
        <v>1</v>
      </c>
    </row>
    <row r="230" spans="1:52" x14ac:dyDescent="0.35">
      <c r="A230">
        <f t="shared" si="82"/>
        <v>229</v>
      </c>
      <c r="B230" s="18">
        <v>195</v>
      </c>
      <c r="C230" s="61">
        <v>2</v>
      </c>
      <c r="D230" s="118" t="b">
        <v>1</v>
      </c>
      <c r="E230" s="61"/>
      <c r="F230" s="66" t="s">
        <v>810</v>
      </c>
      <c r="G230" s="66" t="s">
        <v>814</v>
      </c>
      <c r="H230" s="2" t="s">
        <v>103</v>
      </c>
      <c r="I230" s="39">
        <f t="shared" ref="I230:I277" si="93">IF($AW$2=7,Q230,IF($AW$2=6,Y230,IF($AW$2=1,AO230,AG230)))</f>
        <v>95</v>
      </c>
      <c r="J230" s="40">
        <f t="shared" ref="J230:J277" si="94">IF($AW$2=7,R230,IF($AW$2=6,Z230,IF($AW$2=1,AP230,AH230)))</f>
        <v>85</v>
      </c>
      <c r="K230" s="41">
        <f t="shared" ref="K230:K277" si="95">IF($AW$2=7,S230,IF($AW$2=6,AA230,IF($AW$2=1,AQ230,AI230)))</f>
        <v>85</v>
      </c>
      <c r="L230" s="42">
        <f t="shared" ref="L230:L277" si="96">IF($AW$2=7,T230,IF($AW$2=6,AB230,IF($AW$2=1,AR230,AJ230)))</f>
        <v>65</v>
      </c>
      <c r="M230" s="43">
        <f t="shared" ref="M230:M277" si="97">IF($AW$2=7,U230,IF($AW$2=6,AC230,IF($AW$2=1,AS230,AK230)))</f>
        <v>65</v>
      </c>
      <c r="N230" s="44">
        <f t="shared" ref="N230:N277" si="98">IF($AW$2=7,V230,IF($AW$2=6,AD230,IF($AW$2=1,AT230,AL230)))</f>
        <v>35</v>
      </c>
      <c r="O230" s="45">
        <f t="shared" ref="O230:O277" si="99">IF($AW$2=7,W230,IF($AW$2=6,AE230,IF($AW$2=1,AU230,AM230)))</f>
        <v>430</v>
      </c>
      <c r="P230" s="19">
        <f t="shared" ref="P230:P277" si="100">IF($AW$2=7,X230,IF($AW$2=6,AF230,IF($AW$2=1,AV230,AN230)))</f>
        <v>71.67</v>
      </c>
      <c r="Q230" s="177">
        <v>95</v>
      </c>
      <c r="R230" s="40">
        <v>85</v>
      </c>
      <c r="S230" s="41">
        <v>85</v>
      </c>
      <c r="T230" s="42">
        <v>65</v>
      </c>
      <c r="U230" s="43">
        <v>65</v>
      </c>
      <c r="V230" s="44">
        <v>35</v>
      </c>
      <c r="W230" s="45">
        <f t="shared" si="83"/>
        <v>430</v>
      </c>
      <c r="X230" s="19">
        <f t="shared" si="84"/>
        <v>71.67</v>
      </c>
      <c r="Y230" s="3">
        <v>95</v>
      </c>
      <c r="Z230" s="4">
        <v>85</v>
      </c>
      <c r="AA230" s="5">
        <v>85</v>
      </c>
      <c r="AB230" s="6">
        <v>65</v>
      </c>
      <c r="AC230" s="7">
        <v>65</v>
      </c>
      <c r="AD230" s="8">
        <v>35</v>
      </c>
      <c r="AE230" s="1">
        <v>430</v>
      </c>
      <c r="AF230" s="19">
        <v>71.67</v>
      </c>
      <c r="AG230" s="139">
        <v>95</v>
      </c>
      <c r="AH230" s="140">
        <v>85</v>
      </c>
      <c r="AI230" s="141">
        <v>85</v>
      </c>
      <c r="AJ230" s="142">
        <v>65</v>
      </c>
      <c r="AK230" s="143">
        <v>65</v>
      </c>
      <c r="AL230" s="144">
        <v>35</v>
      </c>
      <c r="AM230" s="138">
        <v>430</v>
      </c>
      <c r="AN230" s="153">
        <v>71.67</v>
      </c>
      <c r="AW230" s="45"/>
      <c r="AX230" s="174" t="b">
        <f>IF('Refined Compare'!$D$2="All",TRUE,IF(F230='Refined Compare'!$D$2,TRUE,IF(G230='Refined Compare'!$D$2,TRUE,FALSE)))</f>
        <v>0</v>
      </c>
      <c r="AY230" s="174" t="b">
        <f>IF('Refined Compare'!$D$3="All",TRUE,IF(F230='Refined Compare'!$D$3,TRUE,IF(G230='Refined Compare'!$D$3,TRUE,FALSE)))</f>
        <v>0</v>
      </c>
      <c r="AZ230" s="174" t="b">
        <f t="shared" si="81"/>
        <v>1</v>
      </c>
    </row>
    <row r="231" spans="1:52" x14ac:dyDescent="0.35">
      <c r="A231">
        <f t="shared" si="82"/>
        <v>230</v>
      </c>
      <c r="B231" s="18">
        <v>196</v>
      </c>
      <c r="C231" s="61">
        <v>2</v>
      </c>
      <c r="D231" s="118" t="b">
        <v>1</v>
      </c>
      <c r="E231" s="61"/>
      <c r="F231" s="66" t="s">
        <v>817</v>
      </c>
      <c r="G231" s="66" t="s">
        <v>827</v>
      </c>
      <c r="H231" s="2" t="s">
        <v>719</v>
      </c>
      <c r="I231" s="39">
        <f t="shared" si="93"/>
        <v>65</v>
      </c>
      <c r="J231" s="40">
        <f t="shared" si="94"/>
        <v>65</v>
      </c>
      <c r="K231" s="41">
        <f t="shared" si="95"/>
        <v>60</v>
      </c>
      <c r="L231" s="42">
        <f t="shared" si="96"/>
        <v>130</v>
      </c>
      <c r="M231" s="43">
        <f t="shared" si="97"/>
        <v>95</v>
      </c>
      <c r="N231" s="44">
        <f t="shared" si="98"/>
        <v>110</v>
      </c>
      <c r="O231" s="45">
        <f t="shared" si="99"/>
        <v>525</v>
      </c>
      <c r="P231" s="19">
        <f t="shared" si="100"/>
        <v>87.5</v>
      </c>
      <c r="Q231" s="177">
        <v>65</v>
      </c>
      <c r="R231" s="40">
        <v>65</v>
      </c>
      <c r="S231" s="41">
        <v>60</v>
      </c>
      <c r="T231" s="42">
        <v>130</v>
      </c>
      <c r="U231" s="43">
        <v>95</v>
      </c>
      <c r="V231" s="44">
        <v>110</v>
      </c>
      <c r="W231" s="45">
        <f t="shared" si="83"/>
        <v>525</v>
      </c>
      <c r="X231" s="19">
        <f t="shared" si="84"/>
        <v>87.5</v>
      </c>
      <c r="Y231" s="3">
        <v>65</v>
      </c>
      <c r="Z231" s="4">
        <v>65</v>
      </c>
      <c r="AA231" s="5">
        <v>60</v>
      </c>
      <c r="AB231" s="6">
        <v>130</v>
      </c>
      <c r="AC231" s="7">
        <v>95</v>
      </c>
      <c r="AD231" s="8">
        <v>110</v>
      </c>
      <c r="AE231" s="1">
        <v>525</v>
      </c>
      <c r="AF231" s="19">
        <v>87.5</v>
      </c>
      <c r="AG231" s="139">
        <v>65</v>
      </c>
      <c r="AH231" s="140">
        <v>65</v>
      </c>
      <c r="AI231" s="141">
        <v>60</v>
      </c>
      <c r="AJ231" s="142">
        <v>130</v>
      </c>
      <c r="AK231" s="143">
        <v>95</v>
      </c>
      <c r="AL231" s="144">
        <v>110</v>
      </c>
      <c r="AM231" s="138">
        <v>525</v>
      </c>
      <c r="AN231" s="153">
        <v>87.5</v>
      </c>
      <c r="AW231" s="45"/>
      <c r="AX231" s="174" t="b">
        <f>IF('Refined Compare'!$D$2="All",TRUE,IF(F231='Refined Compare'!$D$2,TRUE,IF(G231='Refined Compare'!$D$2,TRUE,FALSE)))</f>
        <v>0</v>
      </c>
      <c r="AY231" s="174" t="b">
        <f>IF('Refined Compare'!$D$3="All",TRUE,IF(F231='Refined Compare'!$D$3,TRUE,IF(G231='Refined Compare'!$D$3,TRUE,FALSE)))</f>
        <v>1</v>
      </c>
      <c r="AZ231" s="174" t="b">
        <f t="shared" si="81"/>
        <v>1</v>
      </c>
    </row>
    <row r="232" spans="1:52" x14ac:dyDescent="0.35">
      <c r="A232">
        <f t="shared" si="82"/>
        <v>231</v>
      </c>
      <c r="B232" s="18">
        <v>197</v>
      </c>
      <c r="C232" s="61">
        <v>2</v>
      </c>
      <c r="D232" s="118" t="b">
        <v>1</v>
      </c>
      <c r="E232" s="61"/>
      <c r="F232" s="66" t="s">
        <v>823</v>
      </c>
      <c r="G232" s="66" t="s">
        <v>827</v>
      </c>
      <c r="H232" s="2" t="s">
        <v>373</v>
      </c>
      <c r="I232" s="39">
        <f t="shared" si="93"/>
        <v>95</v>
      </c>
      <c r="J232" s="40">
        <f t="shared" si="94"/>
        <v>65</v>
      </c>
      <c r="K232" s="41">
        <f t="shared" si="95"/>
        <v>110</v>
      </c>
      <c r="L232" s="42">
        <f t="shared" si="96"/>
        <v>60</v>
      </c>
      <c r="M232" s="43">
        <f t="shared" si="97"/>
        <v>130</v>
      </c>
      <c r="N232" s="44">
        <f t="shared" si="98"/>
        <v>65</v>
      </c>
      <c r="O232" s="45">
        <f t="shared" si="99"/>
        <v>525</v>
      </c>
      <c r="P232" s="19">
        <f t="shared" si="100"/>
        <v>87.5</v>
      </c>
      <c r="Q232" s="177">
        <v>95</v>
      </c>
      <c r="R232" s="40">
        <v>65</v>
      </c>
      <c r="S232" s="41">
        <v>110</v>
      </c>
      <c r="T232" s="42">
        <v>60</v>
      </c>
      <c r="U232" s="43">
        <v>130</v>
      </c>
      <c r="V232" s="44">
        <v>65</v>
      </c>
      <c r="W232" s="45">
        <f t="shared" si="83"/>
        <v>525</v>
      </c>
      <c r="X232" s="19">
        <f t="shared" si="84"/>
        <v>87.5</v>
      </c>
      <c r="Y232" s="3">
        <v>95</v>
      </c>
      <c r="Z232" s="4">
        <v>65</v>
      </c>
      <c r="AA232" s="5">
        <v>110</v>
      </c>
      <c r="AB232" s="6">
        <v>60</v>
      </c>
      <c r="AC232" s="7">
        <v>130</v>
      </c>
      <c r="AD232" s="8">
        <v>65</v>
      </c>
      <c r="AE232" s="1">
        <v>525</v>
      </c>
      <c r="AF232" s="19">
        <v>87.5</v>
      </c>
      <c r="AG232" s="139">
        <v>95</v>
      </c>
      <c r="AH232" s="140">
        <v>65</v>
      </c>
      <c r="AI232" s="141">
        <v>110</v>
      </c>
      <c r="AJ232" s="142">
        <v>60</v>
      </c>
      <c r="AK232" s="143">
        <v>130</v>
      </c>
      <c r="AL232" s="144">
        <v>65</v>
      </c>
      <c r="AM232" s="138">
        <v>525</v>
      </c>
      <c r="AN232" s="153">
        <v>87.5</v>
      </c>
      <c r="AW232" s="45"/>
      <c r="AX232" s="174" t="b">
        <f>IF('Refined Compare'!$D$2="All",TRUE,IF(F232='Refined Compare'!$D$2,TRUE,IF(G232='Refined Compare'!$D$2,TRUE,FALSE)))</f>
        <v>1</v>
      </c>
      <c r="AY232" s="174" t="b">
        <f>IF('Refined Compare'!$D$3="All",TRUE,IF(F232='Refined Compare'!$D$3,TRUE,IF(G232='Refined Compare'!$D$3,TRUE,FALSE)))</f>
        <v>1</v>
      </c>
      <c r="AZ232" s="174" t="b">
        <f t="shared" si="81"/>
        <v>1</v>
      </c>
    </row>
    <row r="233" spans="1:52" x14ac:dyDescent="0.35">
      <c r="A233">
        <f t="shared" si="82"/>
        <v>232</v>
      </c>
      <c r="B233" s="18">
        <v>198</v>
      </c>
      <c r="C233" s="61">
        <v>2</v>
      </c>
      <c r="D233" s="118" t="b">
        <f>IF($AW$2&lt;4,TRUE,FALSE)</f>
        <v>0</v>
      </c>
      <c r="E233" s="61"/>
      <c r="F233" s="66" t="s">
        <v>823</v>
      </c>
      <c r="G233" s="66" t="s">
        <v>809</v>
      </c>
      <c r="H233" s="2" t="s">
        <v>605</v>
      </c>
      <c r="I233" s="39">
        <f t="shared" si="93"/>
        <v>60</v>
      </c>
      <c r="J233" s="40">
        <f t="shared" si="94"/>
        <v>85</v>
      </c>
      <c r="K233" s="41">
        <f t="shared" si="95"/>
        <v>42</v>
      </c>
      <c r="L233" s="42">
        <f t="shared" si="96"/>
        <v>85</v>
      </c>
      <c r="M233" s="43">
        <f t="shared" si="97"/>
        <v>42</v>
      </c>
      <c r="N233" s="44">
        <f t="shared" si="98"/>
        <v>91</v>
      </c>
      <c r="O233" s="45">
        <f t="shared" si="99"/>
        <v>405</v>
      </c>
      <c r="P233" s="19">
        <f t="shared" si="100"/>
        <v>67.5</v>
      </c>
      <c r="Q233" s="177">
        <v>60</v>
      </c>
      <c r="R233" s="40">
        <v>85</v>
      </c>
      <c r="S233" s="41">
        <v>42</v>
      </c>
      <c r="T233" s="42">
        <v>85</v>
      </c>
      <c r="U233" s="43">
        <v>42</v>
      </c>
      <c r="V233" s="44">
        <v>91</v>
      </c>
      <c r="W233" s="45">
        <f t="shared" si="83"/>
        <v>405</v>
      </c>
      <c r="X233" s="19">
        <f t="shared" si="84"/>
        <v>67.5</v>
      </c>
      <c r="Y233" s="3">
        <v>60</v>
      </c>
      <c r="Z233" s="4">
        <v>85</v>
      </c>
      <c r="AA233" s="5">
        <v>42</v>
      </c>
      <c r="AB233" s="6">
        <v>85</v>
      </c>
      <c r="AC233" s="7">
        <v>42</v>
      </c>
      <c r="AD233" s="8">
        <v>91</v>
      </c>
      <c r="AE233" s="1">
        <v>405</v>
      </c>
      <c r="AF233" s="19">
        <v>67.5</v>
      </c>
      <c r="AG233" s="139">
        <v>60</v>
      </c>
      <c r="AH233" s="140">
        <v>85</v>
      </c>
      <c r="AI233" s="141">
        <v>42</v>
      </c>
      <c r="AJ233" s="142">
        <v>85</v>
      </c>
      <c r="AK233" s="143">
        <v>42</v>
      </c>
      <c r="AL233" s="144">
        <v>91</v>
      </c>
      <c r="AM233" s="138">
        <v>405</v>
      </c>
      <c r="AN233" s="153">
        <v>67.5</v>
      </c>
      <c r="AW233" s="45"/>
      <c r="AX233" s="174" t="b">
        <f>IF('Refined Compare'!$D$2="All",TRUE,IF(F233='Refined Compare'!$D$2,TRUE,IF(G233='Refined Compare'!$D$2,TRUE,FALSE)))</f>
        <v>1</v>
      </c>
      <c r="AY233" s="174" t="b">
        <f>IF('Refined Compare'!$D$3="All",TRUE,IF(F233='Refined Compare'!$D$3,TRUE,IF(G233='Refined Compare'!$D$3,TRUE,FALSE)))</f>
        <v>0</v>
      </c>
      <c r="AZ233" s="174" t="b">
        <f t="shared" si="81"/>
        <v>1</v>
      </c>
    </row>
    <row r="234" spans="1:52" x14ac:dyDescent="0.35">
      <c r="A234">
        <f t="shared" si="82"/>
        <v>233</v>
      </c>
      <c r="B234" s="18">
        <v>199</v>
      </c>
      <c r="C234" s="61">
        <v>2</v>
      </c>
      <c r="D234" s="118" t="b">
        <v>1</v>
      </c>
      <c r="E234" s="61"/>
      <c r="F234" s="66" t="s">
        <v>810</v>
      </c>
      <c r="G234" s="66" t="s">
        <v>817</v>
      </c>
      <c r="H234" s="2" t="s">
        <v>63</v>
      </c>
      <c r="I234" s="39">
        <f t="shared" si="93"/>
        <v>95</v>
      </c>
      <c r="J234" s="40">
        <f t="shared" si="94"/>
        <v>75</v>
      </c>
      <c r="K234" s="41">
        <f t="shared" si="95"/>
        <v>80</v>
      </c>
      <c r="L234" s="42">
        <f t="shared" si="96"/>
        <v>100</v>
      </c>
      <c r="M234" s="43">
        <f t="shared" si="97"/>
        <v>110</v>
      </c>
      <c r="N234" s="44">
        <f t="shared" si="98"/>
        <v>30</v>
      </c>
      <c r="O234" s="45">
        <f t="shared" si="99"/>
        <v>490</v>
      </c>
      <c r="P234" s="19">
        <f t="shared" si="100"/>
        <v>81.67</v>
      </c>
      <c r="Q234" s="177">
        <v>95</v>
      </c>
      <c r="R234" s="40">
        <v>75</v>
      </c>
      <c r="S234" s="41">
        <v>80</v>
      </c>
      <c r="T234" s="42">
        <v>100</v>
      </c>
      <c r="U234" s="43">
        <v>110</v>
      </c>
      <c r="V234" s="44">
        <v>30</v>
      </c>
      <c r="W234" s="45">
        <f t="shared" si="83"/>
        <v>490</v>
      </c>
      <c r="X234" s="19">
        <f t="shared" si="84"/>
        <v>81.67</v>
      </c>
      <c r="Y234" s="3">
        <v>95</v>
      </c>
      <c r="Z234" s="4">
        <v>75</v>
      </c>
      <c r="AA234" s="5">
        <v>80</v>
      </c>
      <c r="AB234" s="6">
        <v>100</v>
      </c>
      <c r="AC234" s="7">
        <v>110</v>
      </c>
      <c r="AD234" s="8">
        <v>30</v>
      </c>
      <c r="AE234" s="1">
        <v>490</v>
      </c>
      <c r="AF234" s="19">
        <v>81.67</v>
      </c>
      <c r="AG234" s="139">
        <v>95</v>
      </c>
      <c r="AH234" s="140">
        <v>75</v>
      </c>
      <c r="AI234" s="141">
        <v>80</v>
      </c>
      <c r="AJ234" s="142">
        <v>100</v>
      </c>
      <c r="AK234" s="143">
        <v>110</v>
      </c>
      <c r="AL234" s="144">
        <v>30</v>
      </c>
      <c r="AM234" s="138">
        <v>490</v>
      </c>
      <c r="AN234" s="153">
        <v>81.67</v>
      </c>
      <c r="AW234" s="45"/>
      <c r="AX234" s="174" t="b">
        <f>IF('Refined Compare'!$D$2="All",TRUE,IF(F234='Refined Compare'!$D$2,TRUE,IF(G234='Refined Compare'!$D$2,TRUE,FALSE)))</f>
        <v>0</v>
      </c>
      <c r="AY234" s="174" t="b">
        <f>IF('Refined Compare'!$D$3="All",TRUE,IF(F234='Refined Compare'!$D$3,TRUE,IF(G234='Refined Compare'!$D$3,TRUE,FALSE)))</f>
        <v>0</v>
      </c>
      <c r="AZ234" s="174" t="b">
        <f t="shared" si="81"/>
        <v>1</v>
      </c>
    </row>
    <row r="235" spans="1:52" x14ac:dyDescent="0.35">
      <c r="A235">
        <f t="shared" si="82"/>
        <v>234</v>
      </c>
      <c r="B235" s="18">
        <v>200</v>
      </c>
      <c r="C235" s="61">
        <v>2</v>
      </c>
      <c r="D235" s="118" t="b">
        <f>IF($AW$2&lt;4,TRUE,FALSE)</f>
        <v>0</v>
      </c>
      <c r="E235" s="61"/>
      <c r="F235" s="66" t="s">
        <v>821</v>
      </c>
      <c r="G235" s="66" t="s">
        <v>827</v>
      </c>
      <c r="H235" s="2" t="s">
        <v>547</v>
      </c>
      <c r="I235" s="39">
        <f t="shared" si="93"/>
        <v>60</v>
      </c>
      <c r="J235" s="40">
        <f t="shared" si="94"/>
        <v>60</v>
      </c>
      <c r="K235" s="41">
        <f t="shared" si="95"/>
        <v>60</v>
      </c>
      <c r="L235" s="42">
        <f t="shared" si="96"/>
        <v>85</v>
      </c>
      <c r="M235" s="43">
        <f t="shared" si="97"/>
        <v>85</v>
      </c>
      <c r="N235" s="44">
        <f t="shared" si="98"/>
        <v>85</v>
      </c>
      <c r="O235" s="45">
        <f t="shared" si="99"/>
        <v>435</v>
      </c>
      <c r="P235" s="19">
        <f t="shared" si="100"/>
        <v>72.5</v>
      </c>
      <c r="Q235" s="177">
        <v>60</v>
      </c>
      <c r="R235" s="40">
        <v>60</v>
      </c>
      <c r="S235" s="41">
        <v>60</v>
      </c>
      <c r="T235" s="42">
        <v>85</v>
      </c>
      <c r="U235" s="43">
        <v>85</v>
      </c>
      <c r="V235" s="44">
        <v>85</v>
      </c>
      <c r="W235" s="45">
        <f t="shared" si="83"/>
        <v>435</v>
      </c>
      <c r="X235" s="19">
        <f t="shared" si="84"/>
        <v>72.5</v>
      </c>
      <c r="Y235" s="3">
        <v>60</v>
      </c>
      <c r="Z235" s="4">
        <v>60</v>
      </c>
      <c r="AA235" s="5">
        <v>60</v>
      </c>
      <c r="AB235" s="6">
        <v>85</v>
      </c>
      <c r="AC235" s="7">
        <v>85</v>
      </c>
      <c r="AD235" s="8">
        <v>85</v>
      </c>
      <c r="AE235" s="1">
        <v>435</v>
      </c>
      <c r="AF235" s="19">
        <v>72.5</v>
      </c>
      <c r="AG235" s="139">
        <v>60</v>
      </c>
      <c r="AH235" s="140">
        <v>60</v>
      </c>
      <c r="AI235" s="141">
        <v>60</v>
      </c>
      <c r="AJ235" s="142">
        <v>85</v>
      </c>
      <c r="AK235" s="143">
        <v>85</v>
      </c>
      <c r="AL235" s="144">
        <v>85</v>
      </c>
      <c r="AM235" s="138">
        <v>435</v>
      </c>
      <c r="AN235" s="153">
        <v>72.5</v>
      </c>
      <c r="AW235" s="45"/>
      <c r="AX235" s="174" t="b">
        <f>IF('Refined Compare'!$D$2="All",TRUE,IF(F235='Refined Compare'!$D$2,TRUE,IF(G235='Refined Compare'!$D$2,TRUE,FALSE)))</f>
        <v>0</v>
      </c>
      <c r="AY235" s="174" t="b">
        <f>IF('Refined Compare'!$D$3="All",TRUE,IF(F235='Refined Compare'!$D$3,TRUE,IF(G235='Refined Compare'!$D$3,TRUE,FALSE)))</f>
        <v>1</v>
      </c>
      <c r="AZ235" s="174" t="b">
        <f t="shared" si="81"/>
        <v>1</v>
      </c>
    </row>
    <row r="236" spans="1:52" x14ac:dyDescent="0.35">
      <c r="A236">
        <f t="shared" si="82"/>
        <v>235</v>
      </c>
      <c r="B236" s="18">
        <v>201</v>
      </c>
      <c r="C236" s="61">
        <v>2</v>
      </c>
      <c r="D236" s="118" t="b">
        <v>1</v>
      </c>
      <c r="E236" s="61"/>
      <c r="F236" s="66" t="s">
        <v>817</v>
      </c>
      <c r="G236" s="66" t="s">
        <v>827</v>
      </c>
      <c r="H236" s="2" t="s">
        <v>205</v>
      </c>
      <c r="I236" s="39">
        <f t="shared" si="93"/>
        <v>48</v>
      </c>
      <c r="J236" s="40">
        <f t="shared" si="94"/>
        <v>72</v>
      </c>
      <c r="K236" s="41">
        <f t="shared" si="95"/>
        <v>48</v>
      </c>
      <c r="L236" s="42">
        <f t="shared" si="96"/>
        <v>72</v>
      </c>
      <c r="M236" s="43">
        <f t="shared" si="97"/>
        <v>48</v>
      </c>
      <c r="N236" s="44">
        <f t="shared" si="98"/>
        <v>48</v>
      </c>
      <c r="O236" s="45">
        <f t="shared" si="99"/>
        <v>336</v>
      </c>
      <c r="P236" s="19">
        <f t="shared" si="100"/>
        <v>56</v>
      </c>
      <c r="Q236" s="177">
        <v>48</v>
      </c>
      <c r="R236" s="40">
        <v>72</v>
      </c>
      <c r="S236" s="41">
        <v>48</v>
      </c>
      <c r="T236" s="42">
        <v>72</v>
      </c>
      <c r="U236" s="43">
        <v>48</v>
      </c>
      <c r="V236" s="44">
        <v>48</v>
      </c>
      <c r="W236" s="45">
        <f t="shared" si="83"/>
        <v>336</v>
      </c>
      <c r="X236" s="19">
        <f t="shared" si="84"/>
        <v>56</v>
      </c>
      <c r="Y236" s="3">
        <v>48</v>
      </c>
      <c r="Z236" s="4">
        <v>72</v>
      </c>
      <c r="AA236" s="5">
        <v>48</v>
      </c>
      <c r="AB236" s="6">
        <v>72</v>
      </c>
      <c r="AC236" s="7">
        <v>48</v>
      </c>
      <c r="AD236" s="8">
        <v>48</v>
      </c>
      <c r="AE236" s="1">
        <v>336</v>
      </c>
      <c r="AF236" s="19">
        <v>56</v>
      </c>
      <c r="AG236" s="139">
        <v>48</v>
      </c>
      <c r="AH236" s="140">
        <v>72</v>
      </c>
      <c r="AI236" s="141">
        <v>48</v>
      </c>
      <c r="AJ236" s="142">
        <v>72</v>
      </c>
      <c r="AK236" s="143">
        <v>48</v>
      </c>
      <c r="AL236" s="144">
        <v>48</v>
      </c>
      <c r="AM236" s="138">
        <v>336</v>
      </c>
      <c r="AN236" s="153">
        <v>56</v>
      </c>
      <c r="AW236" s="45"/>
      <c r="AX236" s="174" t="b">
        <f>IF('Refined Compare'!$D$2="All",TRUE,IF(F236='Refined Compare'!$D$2,TRUE,IF(G236='Refined Compare'!$D$2,TRUE,FALSE)))</f>
        <v>0</v>
      </c>
      <c r="AY236" s="174" t="b">
        <f>IF('Refined Compare'!$D$3="All",TRUE,IF(F236='Refined Compare'!$D$3,TRUE,IF(G236='Refined Compare'!$D$3,TRUE,FALSE)))</f>
        <v>1</v>
      </c>
      <c r="AZ236" s="174" t="b">
        <f t="shared" si="81"/>
        <v>1</v>
      </c>
    </row>
    <row r="237" spans="1:52" x14ac:dyDescent="0.35">
      <c r="A237">
        <f t="shared" si="82"/>
        <v>236</v>
      </c>
      <c r="B237" s="18">
        <v>202</v>
      </c>
      <c r="C237" s="61">
        <v>2</v>
      </c>
      <c r="D237" s="118" t="b">
        <v>1</v>
      </c>
      <c r="E237" s="61"/>
      <c r="F237" s="66" t="s">
        <v>817</v>
      </c>
      <c r="G237" s="66" t="s">
        <v>827</v>
      </c>
      <c r="H237" s="2" t="s">
        <v>92</v>
      </c>
      <c r="I237" s="39">
        <f t="shared" si="93"/>
        <v>190</v>
      </c>
      <c r="J237" s="40">
        <f t="shared" si="94"/>
        <v>33</v>
      </c>
      <c r="K237" s="41">
        <f t="shared" si="95"/>
        <v>58</v>
      </c>
      <c r="L237" s="42">
        <f t="shared" si="96"/>
        <v>33</v>
      </c>
      <c r="M237" s="43">
        <f t="shared" si="97"/>
        <v>58</v>
      </c>
      <c r="N237" s="44">
        <f t="shared" si="98"/>
        <v>33</v>
      </c>
      <c r="O237" s="45">
        <f t="shared" si="99"/>
        <v>405</v>
      </c>
      <c r="P237" s="19">
        <f t="shared" si="100"/>
        <v>67.5</v>
      </c>
      <c r="Q237" s="177">
        <v>190</v>
      </c>
      <c r="R237" s="40">
        <v>33</v>
      </c>
      <c r="S237" s="41">
        <v>58</v>
      </c>
      <c r="T237" s="42">
        <v>33</v>
      </c>
      <c r="U237" s="43">
        <v>58</v>
      </c>
      <c r="V237" s="44">
        <v>33</v>
      </c>
      <c r="W237" s="45">
        <f t="shared" si="83"/>
        <v>405</v>
      </c>
      <c r="X237" s="19">
        <f t="shared" si="84"/>
        <v>67.5</v>
      </c>
      <c r="Y237" s="3">
        <v>190</v>
      </c>
      <c r="Z237" s="4">
        <v>33</v>
      </c>
      <c r="AA237" s="5">
        <v>58</v>
      </c>
      <c r="AB237" s="6">
        <v>33</v>
      </c>
      <c r="AC237" s="7">
        <v>58</v>
      </c>
      <c r="AD237" s="8">
        <v>33</v>
      </c>
      <c r="AE237" s="1">
        <v>405</v>
      </c>
      <c r="AF237" s="19">
        <v>67.5</v>
      </c>
      <c r="AG237" s="139">
        <v>190</v>
      </c>
      <c r="AH237" s="140">
        <v>33</v>
      </c>
      <c r="AI237" s="141">
        <v>58</v>
      </c>
      <c r="AJ237" s="142">
        <v>33</v>
      </c>
      <c r="AK237" s="143">
        <v>58</v>
      </c>
      <c r="AL237" s="144">
        <v>33</v>
      </c>
      <c r="AM237" s="138">
        <v>405</v>
      </c>
      <c r="AN237" s="153">
        <v>67.5</v>
      </c>
      <c r="AW237" s="45"/>
      <c r="AX237" s="174" t="b">
        <f>IF('Refined Compare'!$D$2="All",TRUE,IF(F237='Refined Compare'!$D$2,TRUE,IF(G237='Refined Compare'!$D$2,TRUE,FALSE)))</f>
        <v>0</v>
      </c>
      <c r="AY237" s="174" t="b">
        <f>IF('Refined Compare'!$D$3="All",TRUE,IF(F237='Refined Compare'!$D$3,TRUE,IF(G237='Refined Compare'!$D$3,TRUE,FALSE)))</f>
        <v>1</v>
      </c>
      <c r="AZ237" s="174" t="b">
        <f t="shared" si="81"/>
        <v>1</v>
      </c>
    </row>
    <row r="238" spans="1:52" x14ac:dyDescent="0.35">
      <c r="A238">
        <f t="shared" si="82"/>
        <v>237</v>
      </c>
      <c r="B238" s="18">
        <v>203</v>
      </c>
      <c r="C238" s="61">
        <v>2</v>
      </c>
      <c r="D238" s="118" t="b">
        <v>1</v>
      </c>
      <c r="E238" s="61"/>
      <c r="F238" s="66" t="s">
        <v>812</v>
      </c>
      <c r="G238" s="66" t="s">
        <v>817</v>
      </c>
      <c r="H238" s="2" t="s">
        <v>548</v>
      </c>
      <c r="I238" s="39">
        <f t="shared" si="93"/>
        <v>70</v>
      </c>
      <c r="J238" s="40">
        <f t="shared" si="94"/>
        <v>80</v>
      </c>
      <c r="K238" s="41">
        <f t="shared" si="95"/>
        <v>65</v>
      </c>
      <c r="L238" s="42">
        <f t="shared" si="96"/>
        <v>90</v>
      </c>
      <c r="M238" s="43">
        <f t="shared" si="97"/>
        <v>65</v>
      </c>
      <c r="N238" s="44">
        <f t="shared" si="98"/>
        <v>85</v>
      </c>
      <c r="O238" s="45">
        <f t="shared" si="99"/>
        <v>455</v>
      </c>
      <c r="P238" s="19">
        <f t="shared" si="100"/>
        <v>75.83</v>
      </c>
      <c r="Q238" s="177">
        <v>70</v>
      </c>
      <c r="R238" s="40">
        <v>80</v>
      </c>
      <c r="S238" s="41">
        <v>65</v>
      </c>
      <c r="T238" s="42">
        <v>90</v>
      </c>
      <c r="U238" s="43">
        <v>65</v>
      </c>
      <c r="V238" s="44">
        <v>85</v>
      </c>
      <c r="W238" s="45">
        <f t="shared" si="83"/>
        <v>455</v>
      </c>
      <c r="X238" s="19">
        <f t="shared" si="84"/>
        <v>75.83</v>
      </c>
      <c r="Y238" s="3">
        <v>70</v>
      </c>
      <c r="Z238" s="4">
        <v>80</v>
      </c>
      <c r="AA238" s="5">
        <v>65</v>
      </c>
      <c r="AB238" s="6">
        <v>90</v>
      </c>
      <c r="AC238" s="7">
        <v>65</v>
      </c>
      <c r="AD238" s="8">
        <v>85</v>
      </c>
      <c r="AE238" s="1">
        <v>455</v>
      </c>
      <c r="AF238" s="19">
        <v>75.83</v>
      </c>
      <c r="AG238" s="139">
        <v>70</v>
      </c>
      <c r="AH238" s="140">
        <v>80</v>
      </c>
      <c r="AI238" s="141">
        <v>65</v>
      </c>
      <c r="AJ238" s="142">
        <v>90</v>
      </c>
      <c r="AK238" s="143">
        <v>65</v>
      </c>
      <c r="AL238" s="144">
        <v>85</v>
      </c>
      <c r="AM238" s="138">
        <v>455</v>
      </c>
      <c r="AN238" s="153">
        <v>75.83</v>
      </c>
      <c r="AW238" s="45"/>
      <c r="AX238" s="174" t="b">
        <f>IF('Refined Compare'!$D$2="All",TRUE,IF(F238='Refined Compare'!$D$2,TRUE,IF(G238='Refined Compare'!$D$2,TRUE,FALSE)))</f>
        <v>0</v>
      </c>
      <c r="AY238" s="174" t="b">
        <f>IF('Refined Compare'!$D$3="All",TRUE,IF(F238='Refined Compare'!$D$3,TRUE,IF(G238='Refined Compare'!$D$3,TRUE,FALSE)))</f>
        <v>0</v>
      </c>
      <c r="AZ238" s="174" t="b">
        <f t="shared" si="81"/>
        <v>1</v>
      </c>
    </row>
    <row r="239" spans="1:52" x14ac:dyDescent="0.35">
      <c r="A239">
        <f t="shared" si="82"/>
        <v>238</v>
      </c>
      <c r="B239" s="18">
        <v>204</v>
      </c>
      <c r="C239" s="61">
        <v>2</v>
      </c>
      <c r="D239" s="61" t="b">
        <v>0</v>
      </c>
      <c r="E239" s="61"/>
      <c r="F239" s="66" t="s">
        <v>811</v>
      </c>
      <c r="G239" s="66" t="s">
        <v>827</v>
      </c>
      <c r="H239" s="2" t="s">
        <v>9</v>
      </c>
      <c r="I239" s="39">
        <f t="shared" si="93"/>
        <v>50</v>
      </c>
      <c r="J239" s="40">
        <f t="shared" si="94"/>
        <v>65</v>
      </c>
      <c r="K239" s="41">
        <f t="shared" si="95"/>
        <v>90</v>
      </c>
      <c r="L239" s="42">
        <f t="shared" si="96"/>
        <v>35</v>
      </c>
      <c r="M239" s="43">
        <f t="shared" si="97"/>
        <v>35</v>
      </c>
      <c r="N239" s="44">
        <f t="shared" si="98"/>
        <v>15</v>
      </c>
      <c r="O239" s="45">
        <f t="shared" si="99"/>
        <v>290</v>
      </c>
      <c r="P239" s="19">
        <f t="shared" si="100"/>
        <v>48.33</v>
      </c>
      <c r="Q239" s="177">
        <v>50</v>
      </c>
      <c r="R239" s="40">
        <v>65</v>
      </c>
      <c r="S239" s="41">
        <v>90</v>
      </c>
      <c r="T239" s="42">
        <v>35</v>
      </c>
      <c r="U239" s="43">
        <v>35</v>
      </c>
      <c r="V239" s="44">
        <v>15</v>
      </c>
      <c r="W239" s="45">
        <f t="shared" si="83"/>
        <v>290</v>
      </c>
      <c r="X239" s="19">
        <f t="shared" si="84"/>
        <v>48.33</v>
      </c>
      <c r="Y239" s="3">
        <v>50</v>
      </c>
      <c r="Z239" s="4">
        <v>65</v>
      </c>
      <c r="AA239" s="5">
        <v>90</v>
      </c>
      <c r="AB239" s="6">
        <v>35</v>
      </c>
      <c r="AC239" s="7">
        <v>35</v>
      </c>
      <c r="AD239" s="8">
        <v>15</v>
      </c>
      <c r="AE239" s="1">
        <v>290</v>
      </c>
      <c r="AF239" s="19">
        <v>48.33</v>
      </c>
      <c r="AG239" s="139">
        <v>50</v>
      </c>
      <c r="AH239" s="140">
        <v>65</v>
      </c>
      <c r="AI239" s="141">
        <v>90</v>
      </c>
      <c r="AJ239" s="142">
        <v>35</v>
      </c>
      <c r="AK239" s="143">
        <v>35</v>
      </c>
      <c r="AL239" s="144">
        <v>15</v>
      </c>
      <c r="AM239" s="138">
        <v>290</v>
      </c>
      <c r="AN239" s="153">
        <v>48.33</v>
      </c>
      <c r="AW239" s="45"/>
      <c r="AX239" s="174" t="b">
        <f>IF('Refined Compare'!$D$2="All",TRUE,IF(F239='Refined Compare'!$D$2,TRUE,IF(G239='Refined Compare'!$D$2,TRUE,FALSE)))</f>
        <v>0</v>
      </c>
      <c r="AY239" s="174" t="b">
        <f>IF('Refined Compare'!$D$3="All",TRUE,IF(F239='Refined Compare'!$D$3,TRUE,IF(G239='Refined Compare'!$D$3,TRUE,FALSE)))</f>
        <v>1</v>
      </c>
      <c r="AZ239" s="174" t="b">
        <f t="shared" si="81"/>
        <v>1</v>
      </c>
    </row>
    <row r="240" spans="1:52" x14ac:dyDescent="0.35">
      <c r="A240">
        <f t="shared" si="82"/>
        <v>239</v>
      </c>
      <c r="B240" s="18">
        <v>205</v>
      </c>
      <c r="C240" s="61">
        <v>2</v>
      </c>
      <c r="D240" s="118" t="b">
        <v>1</v>
      </c>
      <c r="E240" s="61"/>
      <c r="F240" s="66" t="s">
        <v>811</v>
      </c>
      <c r="G240" s="66" t="s">
        <v>819</v>
      </c>
      <c r="H240" s="2" t="s">
        <v>133</v>
      </c>
      <c r="I240" s="39">
        <f t="shared" si="93"/>
        <v>75</v>
      </c>
      <c r="J240" s="40">
        <f t="shared" si="94"/>
        <v>90</v>
      </c>
      <c r="K240" s="41">
        <f t="shared" si="95"/>
        <v>140</v>
      </c>
      <c r="L240" s="42">
        <f t="shared" si="96"/>
        <v>60</v>
      </c>
      <c r="M240" s="43">
        <f t="shared" si="97"/>
        <v>60</v>
      </c>
      <c r="N240" s="44">
        <f t="shared" si="98"/>
        <v>40</v>
      </c>
      <c r="O240" s="45">
        <f t="shared" si="99"/>
        <v>465</v>
      </c>
      <c r="P240" s="19">
        <f t="shared" si="100"/>
        <v>77.5</v>
      </c>
      <c r="Q240" s="177">
        <v>75</v>
      </c>
      <c r="R240" s="40">
        <v>90</v>
      </c>
      <c r="S240" s="41">
        <v>140</v>
      </c>
      <c r="T240" s="42">
        <v>60</v>
      </c>
      <c r="U240" s="43">
        <v>60</v>
      </c>
      <c r="V240" s="44">
        <v>40</v>
      </c>
      <c r="W240" s="45">
        <f t="shared" si="83"/>
        <v>465</v>
      </c>
      <c r="X240" s="19">
        <f t="shared" si="84"/>
        <v>77.5</v>
      </c>
      <c r="Y240" s="3">
        <v>75</v>
      </c>
      <c r="Z240" s="4">
        <v>90</v>
      </c>
      <c r="AA240" s="5">
        <v>140</v>
      </c>
      <c r="AB240" s="6">
        <v>60</v>
      </c>
      <c r="AC240" s="7">
        <v>60</v>
      </c>
      <c r="AD240" s="8">
        <v>40</v>
      </c>
      <c r="AE240" s="1">
        <v>465</v>
      </c>
      <c r="AF240" s="19">
        <v>77.5</v>
      </c>
      <c r="AG240" s="139">
        <v>75</v>
      </c>
      <c r="AH240" s="140">
        <v>90</v>
      </c>
      <c r="AI240" s="141">
        <v>140</v>
      </c>
      <c r="AJ240" s="142">
        <v>60</v>
      </c>
      <c r="AK240" s="143">
        <v>60</v>
      </c>
      <c r="AL240" s="144">
        <v>40</v>
      </c>
      <c r="AM240" s="138">
        <v>465</v>
      </c>
      <c r="AN240" s="153">
        <v>77.5</v>
      </c>
      <c r="AW240" s="45"/>
      <c r="AX240" s="174" t="b">
        <f>IF('Refined Compare'!$D$2="All",TRUE,IF(F240='Refined Compare'!$D$2,TRUE,IF(G240='Refined Compare'!$D$2,TRUE,FALSE)))</f>
        <v>0</v>
      </c>
      <c r="AY240" s="174" t="b">
        <f>IF('Refined Compare'!$D$3="All",TRUE,IF(F240='Refined Compare'!$D$3,TRUE,IF(G240='Refined Compare'!$D$3,TRUE,FALSE)))</f>
        <v>0</v>
      </c>
      <c r="AZ240" s="174" t="b">
        <f t="shared" si="81"/>
        <v>1</v>
      </c>
    </row>
    <row r="241" spans="1:52" x14ac:dyDescent="0.35">
      <c r="A241">
        <f t="shared" si="82"/>
        <v>240</v>
      </c>
      <c r="B241" s="18">
        <v>206</v>
      </c>
      <c r="C241" s="61">
        <v>2</v>
      </c>
      <c r="D241" s="118" t="b">
        <v>1</v>
      </c>
      <c r="E241" s="61"/>
      <c r="F241" s="66" t="s">
        <v>812</v>
      </c>
      <c r="G241" s="66" t="s">
        <v>827</v>
      </c>
      <c r="H241" s="2" t="s">
        <v>183</v>
      </c>
      <c r="I241" s="39">
        <f t="shared" si="93"/>
        <v>100</v>
      </c>
      <c r="J241" s="40">
        <f t="shared" si="94"/>
        <v>70</v>
      </c>
      <c r="K241" s="41">
        <f t="shared" si="95"/>
        <v>70</v>
      </c>
      <c r="L241" s="42">
        <f t="shared" si="96"/>
        <v>65</v>
      </c>
      <c r="M241" s="43">
        <f t="shared" si="97"/>
        <v>65</v>
      </c>
      <c r="N241" s="44">
        <f t="shared" si="98"/>
        <v>45</v>
      </c>
      <c r="O241" s="45">
        <f t="shared" si="99"/>
        <v>415</v>
      </c>
      <c r="P241" s="19">
        <f t="shared" si="100"/>
        <v>69.17</v>
      </c>
      <c r="Q241" s="177">
        <v>100</v>
      </c>
      <c r="R241" s="40">
        <v>70</v>
      </c>
      <c r="S241" s="41">
        <v>70</v>
      </c>
      <c r="T241" s="42">
        <v>65</v>
      </c>
      <c r="U241" s="43">
        <v>65</v>
      </c>
      <c r="V241" s="44">
        <v>45</v>
      </c>
      <c r="W241" s="45">
        <f t="shared" si="83"/>
        <v>415</v>
      </c>
      <c r="X241" s="19">
        <f t="shared" si="84"/>
        <v>69.17</v>
      </c>
      <c r="Y241" s="3">
        <v>100</v>
      </c>
      <c r="Z241" s="4">
        <v>70</v>
      </c>
      <c r="AA241" s="5">
        <v>70</v>
      </c>
      <c r="AB241" s="6">
        <v>65</v>
      </c>
      <c r="AC241" s="7">
        <v>65</v>
      </c>
      <c r="AD241" s="8">
        <v>45</v>
      </c>
      <c r="AE241" s="1">
        <v>415</v>
      </c>
      <c r="AF241" s="19">
        <v>69.17</v>
      </c>
      <c r="AG241" s="139">
        <v>100</v>
      </c>
      <c r="AH241" s="140">
        <v>70</v>
      </c>
      <c r="AI241" s="141">
        <v>70</v>
      </c>
      <c r="AJ241" s="142">
        <v>65</v>
      </c>
      <c r="AK241" s="143">
        <v>65</v>
      </c>
      <c r="AL241" s="144">
        <v>45</v>
      </c>
      <c r="AM241" s="138">
        <v>415</v>
      </c>
      <c r="AN241" s="153">
        <v>69.17</v>
      </c>
      <c r="AW241" s="45"/>
      <c r="AX241" s="174" t="b">
        <f>IF('Refined Compare'!$D$2="All",TRUE,IF(F241='Refined Compare'!$D$2,TRUE,IF(G241='Refined Compare'!$D$2,TRUE,FALSE)))</f>
        <v>0</v>
      </c>
      <c r="AY241" s="174" t="b">
        <f>IF('Refined Compare'!$D$3="All",TRUE,IF(F241='Refined Compare'!$D$3,TRUE,IF(G241='Refined Compare'!$D$3,TRUE,FALSE)))</f>
        <v>1</v>
      </c>
      <c r="AZ241" s="174" t="b">
        <f t="shared" si="81"/>
        <v>1</v>
      </c>
    </row>
    <row r="242" spans="1:52" x14ac:dyDescent="0.35">
      <c r="A242">
        <f t="shared" si="82"/>
        <v>241</v>
      </c>
      <c r="B242" s="18">
        <v>207</v>
      </c>
      <c r="C242" s="61">
        <v>2</v>
      </c>
      <c r="D242" s="118" t="b">
        <f>IF($AW$2&lt;4,TRUE,FALSE)</f>
        <v>0</v>
      </c>
      <c r="E242" s="61"/>
      <c r="F242" s="66" t="s">
        <v>814</v>
      </c>
      <c r="G242" s="66" t="s">
        <v>809</v>
      </c>
      <c r="H242" s="2" t="s">
        <v>549</v>
      </c>
      <c r="I242" s="39">
        <f t="shared" si="93"/>
        <v>65</v>
      </c>
      <c r="J242" s="40">
        <f t="shared" si="94"/>
        <v>75</v>
      </c>
      <c r="K242" s="41">
        <f t="shared" si="95"/>
        <v>105</v>
      </c>
      <c r="L242" s="42">
        <f t="shared" si="96"/>
        <v>35</v>
      </c>
      <c r="M242" s="43">
        <f t="shared" si="97"/>
        <v>65</v>
      </c>
      <c r="N242" s="44">
        <f t="shared" si="98"/>
        <v>85</v>
      </c>
      <c r="O242" s="45">
        <f t="shared" si="99"/>
        <v>430</v>
      </c>
      <c r="P242" s="19">
        <f t="shared" si="100"/>
        <v>71.67</v>
      </c>
      <c r="Q242" s="177">
        <v>65</v>
      </c>
      <c r="R242" s="40">
        <v>75</v>
      </c>
      <c r="S242" s="41">
        <v>105</v>
      </c>
      <c r="T242" s="42">
        <v>35</v>
      </c>
      <c r="U242" s="43">
        <v>65</v>
      </c>
      <c r="V242" s="44">
        <v>85</v>
      </c>
      <c r="W242" s="45">
        <f t="shared" si="83"/>
        <v>430</v>
      </c>
      <c r="X242" s="19">
        <f t="shared" si="84"/>
        <v>71.67</v>
      </c>
      <c r="Y242" s="3">
        <v>65</v>
      </c>
      <c r="Z242" s="4">
        <v>75</v>
      </c>
      <c r="AA242" s="5">
        <v>105</v>
      </c>
      <c r="AB242" s="6">
        <v>35</v>
      </c>
      <c r="AC242" s="7">
        <v>65</v>
      </c>
      <c r="AD242" s="8">
        <v>85</v>
      </c>
      <c r="AE242" s="1">
        <v>430</v>
      </c>
      <c r="AF242" s="19">
        <v>71.67</v>
      </c>
      <c r="AG242" s="139">
        <v>65</v>
      </c>
      <c r="AH242" s="140">
        <v>75</v>
      </c>
      <c r="AI242" s="141">
        <v>105</v>
      </c>
      <c r="AJ242" s="142">
        <v>35</v>
      </c>
      <c r="AK242" s="143">
        <v>65</v>
      </c>
      <c r="AL242" s="144">
        <v>85</v>
      </c>
      <c r="AM242" s="138">
        <v>430</v>
      </c>
      <c r="AN242" s="153">
        <v>71.67</v>
      </c>
      <c r="AW242" s="45"/>
      <c r="AX242" s="174" t="b">
        <f>IF('Refined Compare'!$D$2="All",TRUE,IF(F242='Refined Compare'!$D$2,TRUE,IF(G242='Refined Compare'!$D$2,TRUE,FALSE)))</f>
        <v>0</v>
      </c>
      <c r="AY242" s="174" t="b">
        <f>IF('Refined Compare'!$D$3="All",TRUE,IF(F242='Refined Compare'!$D$3,TRUE,IF(G242='Refined Compare'!$D$3,TRUE,FALSE)))</f>
        <v>0</v>
      </c>
      <c r="AZ242" s="174" t="b">
        <f t="shared" si="81"/>
        <v>1</v>
      </c>
    </row>
    <row r="243" spans="1:52" x14ac:dyDescent="0.35">
      <c r="A243">
        <f t="shared" si="82"/>
        <v>242</v>
      </c>
      <c r="B243" s="18">
        <v>208</v>
      </c>
      <c r="C243" s="61">
        <v>2</v>
      </c>
      <c r="D243" s="61" t="b">
        <f>IF($AW$2&lt;6,TRUE,FALSE)</f>
        <v>1</v>
      </c>
      <c r="E243" s="61"/>
      <c r="F243" s="66" t="s">
        <v>819</v>
      </c>
      <c r="G243" s="66" t="s">
        <v>814</v>
      </c>
      <c r="H243" s="2" t="s">
        <v>64</v>
      </c>
      <c r="I243" s="39">
        <f t="shared" si="93"/>
        <v>75</v>
      </c>
      <c r="J243" s="40">
        <f t="shared" si="94"/>
        <v>85</v>
      </c>
      <c r="K243" s="41">
        <f t="shared" si="95"/>
        <v>200</v>
      </c>
      <c r="L243" s="42">
        <f t="shared" si="96"/>
        <v>55</v>
      </c>
      <c r="M243" s="43">
        <f t="shared" si="97"/>
        <v>65</v>
      </c>
      <c r="N243" s="44">
        <f t="shared" si="98"/>
        <v>30</v>
      </c>
      <c r="O243" s="45">
        <f t="shared" si="99"/>
        <v>510</v>
      </c>
      <c r="P243" s="19">
        <f t="shared" si="100"/>
        <v>85</v>
      </c>
      <c r="Q243" s="177">
        <v>75</v>
      </c>
      <c r="R243" s="40">
        <v>85</v>
      </c>
      <c r="S243" s="41">
        <v>200</v>
      </c>
      <c r="T243" s="42">
        <v>55</v>
      </c>
      <c r="U243" s="43">
        <v>65</v>
      </c>
      <c r="V243" s="44">
        <v>30</v>
      </c>
      <c r="W243" s="45">
        <f t="shared" si="83"/>
        <v>510</v>
      </c>
      <c r="X243" s="19">
        <f t="shared" si="84"/>
        <v>85</v>
      </c>
      <c r="Y243" s="3">
        <v>75</v>
      </c>
      <c r="Z243" s="4">
        <v>85</v>
      </c>
      <c r="AA243" s="5">
        <v>200</v>
      </c>
      <c r="AB243" s="6">
        <v>55</v>
      </c>
      <c r="AC243" s="7">
        <v>65</v>
      </c>
      <c r="AD243" s="8">
        <v>30</v>
      </c>
      <c r="AE243" s="1">
        <v>510</v>
      </c>
      <c r="AF243" s="19">
        <v>85</v>
      </c>
      <c r="AG243" s="139">
        <v>75</v>
      </c>
      <c r="AH243" s="140">
        <v>85</v>
      </c>
      <c r="AI243" s="141">
        <v>200</v>
      </c>
      <c r="AJ243" s="142">
        <v>55</v>
      </c>
      <c r="AK243" s="143">
        <v>65</v>
      </c>
      <c r="AL243" s="144">
        <v>30</v>
      </c>
      <c r="AM243" s="138">
        <v>510</v>
      </c>
      <c r="AN243" s="153">
        <v>85</v>
      </c>
      <c r="AW243" s="45"/>
      <c r="AX243" s="174" t="b">
        <f>IF('Refined Compare'!$D$2="All",TRUE,IF(F243='Refined Compare'!$D$2,TRUE,IF(G243='Refined Compare'!$D$2,TRUE,FALSE)))</f>
        <v>0</v>
      </c>
      <c r="AY243" s="174" t="b">
        <f>IF('Refined Compare'!$D$3="All",TRUE,IF(F243='Refined Compare'!$D$3,TRUE,IF(G243='Refined Compare'!$D$3,TRUE,FALSE)))</f>
        <v>0</v>
      </c>
      <c r="AZ243" s="174" t="b">
        <f t="shared" si="81"/>
        <v>1</v>
      </c>
    </row>
    <row r="244" spans="1:52" x14ac:dyDescent="0.35">
      <c r="A244">
        <f t="shared" si="82"/>
        <v>243</v>
      </c>
      <c r="B244" s="62">
        <v>208</v>
      </c>
      <c r="C244" s="61">
        <v>6</v>
      </c>
      <c r="D244" s="118" t="b">
        <f>IF(AZ244,TRUE,FALSE)</f>
        <v>0</v>
      </c>
      <c r="E244" s="61" t="s">
        <v>801</v>
      </c>
      <c r="F244" s="66" t="s">
        <v>819</v>
      </c>
      <c r="G244" s="66" t="s">
        <v>814</v>
      </c>
      <c r="H244" s="2" t="s">
        <v>65</v>
      </c>
      <c r="I244" s="39">
        <f t="shared" si="93"/>
        <v>0</v>
      </c>
      <c r="J244" s="40">
        <f t="shared" si="94"/>
        <v>0</v>
      </c>
      <c r="K244" s="41">
        <f t="shared" si="95"/>
        <v>0</v>
      </c>
      <c r="L244" s="42">
        <f t="shared" si="96"/>
        <v>0</v>
      </c>
      <c r="M244" s="43">
        <f t="shared" si="97"/>
        <v>0</v>
      </c>
      <c r="N244" s="44">
        <f t="shared" si="98"/>
        <v>0</v>
      </c>
      <c r="O244" s="45">
        <f t="shared" si="99"/>
        <v>0</v>
      </c>
      <c r="P244" s="19">
        <f t="shared" si="100"/>
        <v>0</v>
      </c>
      <c r="Q244" s="177">
        <v>75</v>
      </c>
      <c r="R244" s="40">
        <v>125</v>
      </c>
      <c r="S244" s="41">
        <v>230</v>
      </c>
      <c r="T244" s="42">
        <v>55</v>
      </c>
      <c r="U244" s="43">
        <v>95</v>
      </c>
      <c r="V244" s="44">
        <v>30</v>
      </c>
      <c r="W244" s="45">
        <f t="shared" si="83"/>
        <v>610</v>
      </c>
      <c r="X244" s="19">
        <f t="shared" si="84"/>
        <v>101.67</v>
      </c>
      <c r="Y244" s="3">
        <v>75</v>
      </c>
      <c r="Z244" s="4">
        <v>125</v>
      </c>
      <c r="AA244" s="5">
        <v>230</v>
      </c>
      <c r="AB244" s="6">
        <v>55</v>
      </c>
      <c r="AC244" s="7">
        <v>95</v>
      </c>
      <c r="AD244" s="8">
        <v>30</v>
      </c>
      <c r="AE244" s="1">
        <v>610</v>
      </c>
      <c r="AF244" s="19">
        <v>101.67</v>
      </c>
      <c r="AN244" s="172"/>
      <c r="AV244" s="174"/>
      <c r="AW244" s="45"/>
      <c r="AX244" s="174" t="b">
        <f>IF('Refined Compare'!$D$2="All",TRUE,IF(F244='Refined Compare'!$D$2,TRUE,IF(G244='Refined Compare'!$D$2,TRUE,FALSE)))</f>
        <v>0</v>
      </c>
      <c r="AY244" s="174" t="b">
        <f>IF('Refined Compare'!$D$3="All",TRUE,IF(F244='Refined Compare'!$D$3,TRUE,IF(G244='Refined Compare'!$D$3,TRUE,FALSE)))</f>
        <v>0</v>
      </c>
      <c r="AZ244" s="174" t="b">
        <f t="shared" si="81"/>
        <v>0</v>
      </c>
    </row>
    <row r="245" spans="1:52" x14ac:dyDescent="0.35">
      <c r="A245">
        <f t="shared" si="82"/>
        <v>244</v>
      </c>
      <c r="B245" s="18">
        <v>209</v>
      </c>
      <c r="C245" s="61">
        <v>2</v>
      </c>
      <c r="D245" s="61" t="b">
        <v>0</v>
      </c>
      <c r="E245" s="61"/>
      <c r="F245" s="66" t="str">
        <f>IF($AW$2&lt;6,"Normal","Fairy")</f>
        <v>Normal</v>
      </c>
      <c r="G245" s="66" t="s">
        <v>827</v>
      </c>
      <c r="H245" s="2" t="s">
        <v>66</v>
      </c>
      <c r="I245" s="39">
        <f t="shared" si="93"/>
        <v>60</v>
      </c>
      <c r="J245" s="40">
        <f t="shared" si="94"/>
        <v>80</v>
      </c>
      <c r="K245" s="41">
        <f t="shared" si="95"/>
        <v>50</v>
      </c>
      <c r="L245" s="42">
        <f t="shared" si="96"/>
        <v>40</v>
      </c>
      <c r="M245" s="43">
        <f t="shared" si="97"/>
        <v>40</v>
      </c>
      <c r="N245" s="44">
        <f t="shared" si="98"/>
        <v>30</v>
      </c>
      <c r="O245" s="45">
        <f t="shared" si="99"/>
        <v>300</v>
      </c>
      <c r="P245" s="19">
        <f t="shared" si="100"/>
        <v>50</v>
      </c>
      <c r="Q245" s="177">
        <v>60</v>
      </c>
      <c r="R245" s="40">
        <v>80</v>
      </c>
      <c r="S245" s="41">
        <v>50</v>
      </c>
      <c r="T245" s="42">
        <v>40</v>
      </c>
      <c r="U245" s="43">
        <v>40</v>
      </c>
      <c r="V245" s="44">
        <v>30</v>
      </c>
      <c r="W245" s="45">
        <f t="shared" si="83"/>
        <v>300</v>
      </c>
      <c r="X245" s="19">
        <f t="shared" si="84"/>
        <v>50</v>
      </c>
      <c r="Y245" s="3">
        <v>60</v>
      </c>
      <c r="Z245" s="4">
        <v>80</v>
      </c>
      <c r="AA245" s="5">
        <v>50</v>
      </c>
      <c r="AB245" s="6">
        <v>40</v>
      </c>
      <c r="AC245" s="7">
        <v>40</v>
      </c>
      <c r="AD245" s="8">
        <v>30</v>
      </c>
      <c r="AE245" s="1">
        <v>300</v>
      </c>
      <c r="AF245" s="19">
        <v>50</v>
      </c>
      <c r="AG245" s="139">
        <v>60</v>
      </c>
      <c r="AH245" s="140">
        <v>80</v>
      </c>
      <c r="AI245" s="141">
        <v>50</v>
      </c>
      <c r="AJ245" s="142">
        <v>40</v>
      </c>
      <c r="AK245" s="143">
        <v>40</v>
      </c>
      <c r="AL245" s="144">
        <v>30</v>
      </c>
      <c r="AM245" s="138">
        <v>300</v>
      </c>
      <c r="AN245" s="153">
        <v>50</v>
      </c>
      <c r="AW245" s="45"/>
      <c r="AX245" s="174" t="b">
        <f>IF('Refined Compare'!$D$2="All",TRUE,IF(F245='Refined Compare'!$D$2,TRUE,IF(G245='Refined Compare'!$D$2,TRUE,FALSE)))</f>
        <v>0</v>
      </c>
      <c r="AY245" s="174" t="b">
        <f>IF('Refined Compare'!$D$3="All",TRUE,IF(F245='Refined Compare'!$D$3,TRUE,IF(G245='Refined Compare'!$D$3,TRUE,FALSE)))</f>
        <v>1</v>
      </c>
      <c r="AZ245" s="174" t="b">
        <f t="shared" si="81"/>
        <v>1</v>
      </c>
    </row>
    <row r="246" spans="1:52" x14ac:dyDescent="0.35">
      <c r="A246">
        <f t="shared" si="82"/>
        <v>245</v>
      </c>
      <c r="B246" s="18">
        <v>210</v>
      </c>
      <c r="C246" s="61">
        <v>2</v>
      </c>
      <c r="D246" s="118" t="b">
        <v>1</v>
      </c>
      <c r="E246" s="61"/>
      <c r="F246" s="66" t="str">
        <f>IF($AW$2&lt;6,"Normal","Fairy")</f>
        <v>Normal</v>
      </c>
      <c r="G246" s="66" t="s">
        <v>827</v>
      </c>
      <c r="H246" s="2" t="s">
        <v>184</v>
      </c>
      <c r="I246" s="39">
        <f t="shared" si="93"/>
        <v>90</v>
      </c>
      <c r="J246" s="40">
        <f t="shared" si="94"/>
        <v>120</v>
      </c>
      <c r="K246" s="41">
        <f t="shared" si="95"/>
        <v>75</v>
      </c>
      <c r="L246" s="42">
        <f t="shared" si="96"/>
        <v>60</v>
      </c>
      <c r="M246" s="43">
        <f t="shared" si="97"/>
        <v>60</v>
      </c>
      <c r="N246" s="44">
        <f t="shared" si="98"/>
        <v>45</v>
      </c>
      <c r="O246" s="45">
        <f t="shared" si="99"/>
        <v>450</v>
      </c>
      <c r="P246" s="19">
        <f t="shared" si="100"/>
        <v>75</v>
      </c>
      <c r="Q246" s="177">
        <v>90</v>
      </c>
      <c r="R246" s="40">
        <v>120</v>
      </c>
      <c r="S246" s="41">
        <v>75</v>
      </c>
      <c r="T246" s="42">
        <v>60</v>
      </c>
      <c r="U246" s="43">
        <v>60</v>
      </c>
      <c r="V246" s="44">
        <v>45</v>
      </c>
      <c r="W246" s="45">
        <f t="shared" si="83"/>
        <v>450</v>
      </c>
      <c r="X246" s="19">
        <f t="shared" si="84"/>
        <v>75</v>
      </c>
      <c r="Y246" s="3">
        <v>90</v>
      </c>
      <c r="Z246" s="4">
        <v>120</v>
      </c>
      <c r="AA246" s="5">
        <v>75</v>
      </c>
      <c r="AB246" s="6">
        <v>60</v>
      </c>
      <c r="AC246" s="7">
        <v>60</v>
      </c>
      <c r="AD246" s="8">
        <v>45</v>
      </c>
      <c r="AE246" s="1">
        <v>450</v>
      </c>
      <c r="AF246" s="19">
        <v>75</v>
      </c>
      <c r="AG246" s="139">
        <v>90</v>
      </c>
      <c r="AH246" s="140">
        <v>120</v>
      </c>
      <c r="AI246" s="141">
        <v>75</v>
      </c>
      <c r="AJ246" s="142">
        <v>60</v>
      </c>
      <c r="AK246" s="143">
        <v>60</v>
      </c>
      <c r="AL246" s="144">
        <v>45</v>
      </c>
      <c r="AM246" s="138">
        <v>450</v>
      </c>
      <c r="AN246" s="153">
        <v>75</v>
      </c>
      <c r="AW246" s="45"/>
      <c r="AX246" s="174" t="b">
        <f>IF('Refined Compare'!$D$2="All",TRUE,IF(F246='Refined Compare'!$D$2,TRUE,IF(G246='Refined Compare'!$D$2,TRUE,FALSE)))</f>
        <v>0</v>
      </c>
      <c r="AY246" s="174" t="b">
        <f>IF('Refined Compare'!$D$3="All",TRUE,IF(F246='Refined Compare'!$D$3,TRUE,IF(G246='Refined Compare'!$D$3,TRUE,FALSE)))</f>
        <v>1</v>
      </c>
      <c r="AZ246" s="174" t="b">
        <f t="shared" si="81"/>
        <v>1</v>
      </c>
    </row>
    <row r="247" spans="1:52" x14ac:dyDescent="0.35">
      <c r="A247">
        <f t="shared" si="82"/>
        <v>246</v>
      </c>
      <c r="B247" s="18">
        <v>211</v>
      </c>
      <c r="C247" s="61">
        <v>2</v>
      </c>
      <c r="D247" s="118" t="b">
        <v>1</v>
      </c>
      <c r="E247" s="61"/>
      <c r="F247" s="66" t="s">
        <v>810</v>
      </c>
      <c r="G247" s="66" t="s">
        <v>807</v>
      </c>
      <c r="H247" s="2" t="s">
        <v>550</v>
      </c>
      <c r="I247" s="39">
        <f t="shared" si="93"/>
        <v>65</v>
      </c>
      <c r="J247" s="40">
        <f t="shared" si="94"/>
        <v>95</v>
      </c>
      <c r="K247" s="41">
        <f t="shared" si="95"/>
        <v>75</v>
      </c>
      <c r="L247" s="42">
        <f t="shared" si="96"/>
        <v>55</v>
      </c>
      <c r="M247" s="43">
        <f t="shared" si="97"/>
        <v>55</v>
      </c>
      <c r="N247" s="44">
        <f t="shared" si="98"/>
        <v>85</v>
      </c>
      <c r="O247" s="45">
        <f t="shared" si="99"/>
        <v>430</v>
      </c>
      <c r="P247" s="19">
        <f t="shared" si="100"/>
        <v>71.67</v>
      </c>
      <c r="Q247" s="177">
        <v>65</v>
      </c>
      <c r="R247" s="40">
        <v>95</v>
      </c>
      <c r="S247" s="41">
        <v>85</v>
      </c>
      <c r="T247" s="42">
        <v>55</v>
      </c>
      <c r="U247" s="43">
        <v>55</v>
      </c>
      <c r="V247" s="44">
        <v>85</v>
      </c>
      <c r="W247" s="45">
        <f t="shared" si="83"/>
        <v>440</v>
      </c>
      <c r="X247" s="19">
        <f t="shared" si="84"/>
        <v>73.33</v>
      </c>
      <c r="Y247" s="3">
        <v>65</v>
      </c>
      <c r="Z247" s="4">
        <v>95</v>
      </c>
      <c r="AA247" s="5">
        <v>75</v>
      </c>
      <c r="AB247" s="6">
        <v>55</v>
      </c>
      <c r="AC247" s="7">
        <v>55</v>
      </c>
      <c r="AD247" s="8">
        <v>85</v>
      </c>
      <c r="AE247" s="1">
        <v>430</v>
      </c>
      <c r="AF247" s="19">
        <v>71.67</v>
      </c>
      <c r="AG247" s="139">
        <v>65</v>
      </c>
      <c r="AH247" s="140">
        <v>95</v>
      </c>
      <c r="AI247" s="141">
        <v>75</v>
      </c>
      <c r="AJ247" s="142">
        <v>55</v>
      </c>
      <c r="AK247" s="143">
        <v>55</v>
      </c>
      <c r="AL247" s="144">
        <v>85</v>
      </c>
      <c r="AM247" s="138">
        <v>430</v>
      </c>
      <c r="AN247" s="153">
        <v>71.67</v>
      </c>
      <c r="AW247" s="45"/>
      <c r="AX247" s="174" t="b">
        <f>IF('Refined Compare'!$D$2="All",TRUE,IF(F247='Refined Compare'!$D$2,TRUE,IF(G247='Refined Compare'!$D$2,TRUE,FALSE)))</f>
        <v>0</v>
      </c>
      <c r="AY247" s="174" t="b">
        <f>IF('Refined Compare'!$D$3="All",TRUE,IF(F247='Refined Compare'!$D$3,TRUE,IF(G247='Refined Compare'!$D$3,TRUE,FALSE)))</f>
        <v>0</v>
      </c>
      <c r="AZ247" s="174" t="b">
        <f t="shared" si="81"/>
        <v>1</v>
      </c>
    </row>
    <row r="248" spans="1:52" x14ac:dyDescent="0.35">
      <c r="A248">
        <f t="shared" si="82"/>
        <v>247</v>
      </c>
      <c r="B248" s="18">
        <v>212</v>
      </c>
      <c r="C248" s="61">
        <v>2</v>
      </c>
      <c r="D248" s="61" t="b">
        <f>IF($AW$2&lt;6,TRUE,FALSE)</f>
        <v>1</v>
      </c>
      <c r="E248" s="61"/>
      <c r="F248" s="66" t="s">
        <v>811</v>
      </c>
      <c r="G248" s="66" t="s">
        <v>819</v>
      </c>
      <c r="H248" s="2" t="s">
        <v>374</v>
      </c>
      <c r="I248" s="39">
        <f t="shared" si="93"/>
        <v>70</v>
      </c>
      <c r="J248" s="40">
        <f t="shared" si="94"/>
        <v>130</v>
      </c>
      <c r="K248" s="41">
        <f t="shared" si="95"/>
        <v>100</v>
      </c>
      <c r="L248" s="42">
        <f t="shared" si="96"/>
        <v>55</v>
      </c>
      <c r="M248" s="43">
        <f t="shared" si="97"/>
        <v>80</v>
      </c>
      <c r="N248" s="44">
        <f t="shared" si="98"/>
        <v>65</v>
      </c>
      <c r="O248" s="45">
        <f t="shared" si="99"/>
        <v>500</v>
      </c>
      <c r="P248" s="19">
        <f t="shared" si="100"/>
        <v>83.33</v>
      </c>
      <c r="Q248" s="177">
        <v>70</v>
      </c>
      <c r="R248" s="40">
        <v>130</v>
      </c>
      <c r="S248" s="41">
        <v>100</v>
      </c>
      <c r="T248" s="42">
        <v>55</v>
      </c>
      <c r="U248" s="43">
        <v>80</v>
      </c>
      <c r="V248" s="44">
        <v>65</v>
      </c>
      <c r="W248" s="45">
        <f t="shared" si="83"/>
        <v>500</v>
      </c>
      <c r="X248" s="19">
        <f t="shared" si="84"/>
        <v>83.33</v>
      </c>
      <c r="Y248" s="3">
        <v>70</v>
      </c>
      <c r="Z248" s="4">
        <v>130</v>
      </c>
      <c r="AA248" s="5">
        <v>100</v>
      </c>
      <c r="AB248" s="6">
        <v>55</v>
      </c>
      <c r="AC248" s="7">
        <v>80</v>
      </c>
      <c r="AD248" s="8">
        <v>65</v>
      </c>
      <c r="AE248" s="1">
        <v>500</v>
      </c>
      <c r="AF248" s="19">
        <v>83.33</v>
      </c>
      <c r="AG248" s="139">
        <v>70</v>
      </c>
      <c r="AH248" s="140">
        <v>130</v>
      </c>
      <c r="AI248" s="141">
        <v>100</v>
      </c>
      <c r="AJ248" s="142">
        <v>55</v>
      </c>
      <c r="AK248" s="143">
        <v>80</v>
      </c>
      <c r="AL248" s="144">
        <v>65</v>
      </c>
      <c r="AM248" s="138">
        <v>500</v>
      </c>
      <c r="AN248" s="153">
        <v>83.33</v>
      </c>
      <c r="AW248" s="45"/>
      <c r="AX248" s="174" t="b">
        <f>IF('Refined Compare'!$D$2="All",TRUE,IF(F248='Refined Compare'!$D$2,TRUE,IF(G248='Refined Compare'!$D$2,TRUE,FALSE)))</f>
        <v>0</v>
      </c>
      <c r="AY248" s="174" t="b">
        <f>IF('Refined Compare'!$D$3="All",TRUE,IF(F248='Refined Compare'!$D$3,TRUE,IF(G248='Refined Compare'!$D$3,TRUE,FALSE)))</f>
        <v>0</v>
      </c>
      <c r="AZ248" s="174" t="b">
        <f t="shared" si="81"/>
        <v>1</v>
      </c>
    </row>
    <row r="249" spans="1:52" x14ac:dyDescent="0.35">
      <c r="A249">
        <f t="shared" si="82"/>
        <v>248</v>
      </c>
      <c r="B249" s="62">
        <v>212</v>
      </c>
      <c r="C249" s="61">
        <v>6</v>
      </c>
      <c r="D249" s="118" t="b">
        <f>IF(AZ249,TRUE,FALSE)</f>
        <v>0</v>
      </c>
      <c r="E249" s="61" t="s">
        <v>801</v>
      </c>
      <c r="F249" s="66" t="s">
        <v>811</v>
      </c>
      <c r="G249" s="66" t="s">
        <v>819</v>
      </c>
      <c r="H249" s="2" t="s">
        <v>473</v>
      </c>
      <c r="I249" s="39">
        <f t="shared" si="93"/>
        <v>0</v>
      </c>
      <c r="J249" s="40">
        <f t="shared" si="94"/>
        <v>0</v>
      </c>
      <c r="K249" s="41">
        <f t="shared" si="95"/>
        <v>0</v>
      </c>
      <c r="L249" s="42">
        <f t="shared" si="96"/>
        <v>0</v>
      </c>
      <c r="M249" s="43">
        <f t="shared" si="97"/>
        <v>0</v>
      </c>
      <c r="N249" s="44">
        <f t="shared" si="98"/>
        <v>0</v>
      </c>
      <c r="O249" s="45">
        <f t="shared" si="99"/>
        <v>0</v>
      </c>
      <c r="P249" s="19">
        <f t="shared" si="100"/>
        <v>0</v>
      </c>
      <c r="Q249" s="177">
        <v>70</v>
      </c>
      <c r="R249" s="40">
        <v>150</v>
      </c>
      <c r="S249" s="41">
        <v>140</v>
      </c>
      <c r="T249" s="42">
        <v>65</v>
      </c>
      <c r="U249" s="43">
        <v>100</v>
      </c>
      <c r="V249" s="44">
        <v>75</v>
      </c>
      <c r="W249" s="45">
        <f t="shared" si="83"/>
        <v>600</v>
      </c>
      <c r="X249" s="19">
        <f t="shared" si="84"/>
        <v>100</v>
      </c>
      <c r="Y249" s="3">
        <v>70</v>
      </c>
      <c r="Z249" s="4">
        <v>150</v>
      </c>
      <c r="AA249" s="5">
        <v>140</v>
      </c>
      <c r="AB249" s="6">
        <v>65</v>
      </c>
      <c r="AC249" s="7">
        <v>100</v>
      </c>
      <c r="AD249" s="8">
        <v>75</v>
      </c>
      <c r="AE249" s="1">
        <v>600</v>
      </c>
      <c r="AF249" s="19">
        <v>100</v>
      </c>
      <c r="AN249" s="172"/>
      <c r="AV249" s="174"/>
      <c r="AW249" s="45"/>
      <c r="AX249" s="174" t="b">
        <f>IF('Refined Compare'!$D$2="All",TRUE,IF(F249='Refined Compare'!$D$2,TRUE,IF(G249='Refined Compare'!$D$2,TRUE,FALSE)))</f>
        <v>0</v>
      </c>
      <c r="AY249" s="174" t="b">
        <f>IF('Refined Compare'!$D$3="All",TRUE,IF(F249='Refined Compare'!$D$3,TRUE,IF(G249='Refined Compare'!$D$3,TRUE,FALSE)))</f>
        <v>0</v>
      </c>
      <c r="AZ249" s="174" t="b">
        <f t="shared" si="81"/>
        <v>0</v>
      </c>
    </row>
    <row r="250" spans="1:52" x14ac:dyDescent="0.35">
      <c r="A250">
        <f t="shared" si="82"/>
        <v>249</v>
      </c>
      <c r="B250" s="18">
        <v>213</v>
      </c>
      <c r="C250" s="61">
        <v>2</v>
      </c>
      <c r="D250" s="118" t="b">
        <v>1</v>
      </c>
      <c r="E250" s="61"/>
      <c r="F250" s="66" t="s">
        <v>811</v>
      </c>
      <c r="G250" s="66" t="s">
        <v>818</v>
      </c>
      <c r="H250" s="38" t="s">
        <v>0</v>
      </c>
      <c r="I250" s="39">
        <f t="shared" si="93"/>
        <v>20</v>
      </c>
      <c r="J250" s="40">
        <f t="shared" si="94"/>
        <v>10</v>
      </c>
      <c r="K250" s="41">
        <f t="shared" si="95"/>
        <v>230</v>
      </c>
      <c r="L250" s="42">
        <f t="shared" si="96"/>
        <v>10</v>
      </c>
      <c r="M250" s="43">
        <f t="shared" si="97"/>
        <v>230</v>
      </c>
      <c r="N250" s="44">
        <f t="shared" si="98"/>
        <v>5</v>
      </c>
      <c r="O250" s="45">
        <f t="shared" si="99"/>
        <v>505</v>
      </c>
      <c r="P250" s="19">
        <f t="shared" si="100"/>
        <v>84.17</v>
      </c>
      <c r="Q250" s="177">
        <v>20</v>
      </c>
      <c r="R250" s="40">
        <v>10</v>
      </c>
      <c r="S250" s="41">
        <v>230</v>
      </c>
      <c r="T250" s="42">
        <v>10</v>
      </c>
      <c r="U250" s="43">
        <v>230</v>
      </c>
      <c r="V250" s="44">
        <v>5</v>
      </c>
      <c r="W250" s="45">
        <f t="shared" si="83"/>
        <v>505</v>
      </c>
      <c r="X250" s="19">
        <f t="shared" si="84"/>
        <v>84.17</v>
      </c>
      <c r="Y250" s="39">
        <v>20</v>
      </c>
      <c r="Z250" s="40">
        <v>10</v>
      </c>
      <c r="AA250" s="41">
        <v>230</v>
      </c>
      <c r="AB250" s="42">
        <v>10</v>
      </c>
      <c r="AC250" s="43">
        <v>230</v>
      </c>
      <c r="AD250" s="44">
        <v>5</v>
      </c>
      <c r="AE250" s="45">
        <v>505</v>
      </c>
      <c r="AF250" s="19">
        <v>84.17</v>
      </c>
      <c r="AG250" s="139">
        <v>20</v>
      </c>
      <c r="AH250" s="140">
        <v>10</v>
      </c>
      <c r="AI250" s="141">
        <v>230</v>
      </c>
      <c r="AJ250" s="142">
        <v>10</v>
      </c>
      <c r="AK250" s="143">
        <v>230</v>
      </c>
      <c r="AL250" s="144">
        <v>5</v>
      </c>
      <c r="AM250" s="138">
        <v>505</v>
      </c>
      <c r="AN250" s="153">
        <v>84.17</v>
      </c>
      <c r="AW250" s="45"/>
      <c r="AX250" s="174" t="b">
        <f>IF('Refined Compare'!$D$2="All",TRUE,IF(F250='Refined Compare'!$D$2,TRUE,IF(G250='Refined Compare'!$D$2,TRUE,FALSE)))</f>
        <v>0</v>
      </c>
      <c r="AY250" s="174" t="b">
        <f>IF('Refined Compare'!$D$3="All",TRUE,IF(F250='Refined Compare'!$D$3,TRUE,IF(G250='Refined Compare'!$D$3,TRUE,FALSE)))</f>
        <v>0</v>
      </c>
      <c r="AZ250" s="174" t="b">
        <f t="shared" si="81"/>
        <v>1</v>
      </c>
    </row>
    <row r="251" spans="1:52" x14ac:dyDescent="0.35">
      <c r="A251">
        <f t="shared" si="82"/>
        <v>250</v>
      </c>
      <c r="B251" s="18">
        <v>214</v>
      </c>
      <c r="C251" s="61">
        <v>2</v>
      </c>
      <c r="D251" s="61" t="b">
        <f>IF($AW$2&lt;6,TRUE,FALSE)</f>
        <v>1</v>
      </c>
      <c r="E251" s="61"/>
      <c r="F251" s="66" t="s">
        <v>811</v>
      </c>
      <c r="G251" s="66" t="s">
        <v>816</v>
      </c>
      <c r="H251" s="2" t="s">
        <v>551</v>
      </c>
      <c r="I251" s="39">
        <f t="shared" si="93"/>
        <v>80</v>
      </c>
      <c r="J251" s="40">
        <f t="shared" si="94"/>
        <v>125</v>
      </c>
      <c r="K251" s="41">
        <f t="shared" si="95"/>
        <v>75</v>
      </c>
      <c r="L251" s="42">
        <f t="shared" si="96"/>
        <v>40</v>
      </c>
      <c r="M251" s="43">
        <f t="shared" si="97"/>
        <v>95</v>
      </c>
      <c r="N251" s="44">
        <f t="shared" si="98"/>
        <v>85</v>
      </c>
      <c r="O251" s="45">
        <f t="shared" si="99"/>
        <v>500</v>
      </c>
      <c r="P251" s="19">
        <f t="shared" si="100"/>
        <v>83.33</v>
      </c>
      <c r="Q251" s="177">
        <v>80</v>
      </c>
      <c r="R251" s="40">
        <v>125</v>
      </c>
      <c r="S251" s="41">
        <v>75</v>
      </c>
      <c r="T251" s="42">
        <v>40</v>
      </c>
      <c r="U251" s="43">
        <v>95</v>
      </c>
      <c r="V251" s="44">
        <v>85</v>
      </c>
      <c r="W251" s="45">
        <f t="shared" si="83"/>
        <v>500</v>
      </c>
      <c r="X251" s="19">
        <f t="shared" si="84"/>
        <v>83.33</v>
      </c>
      <c r="Y251" s="3">
        <v>80</v>
      </c>
      <c r="Z251" s="4">
        <v>125</v>
      </c>
      <c r="AA251" s="5">
        <v>75</v>
      </c>
      <c r="AB251" s="6">
        <v>40</v>
      </c>
      <c r="AC251" s="7">
        <v>95</v>
      </c>
      <c r="AD251" s="8">
        <v>85</v>
      </c>
      <c r="AE251" s="1">
        <v>500</v>
      </c>
      <c r="AF251" s="19">
        <v>83.33</v>
      </c>
      <c r="AG251" s="139">
        <v>80</v>
      </c>
      <c r="AH251" s="140">
        <v>125</v>
      </c>
      <c r="AI251" s="141">
        <v>75</v>
      </c>
      <c r="AJ251" s="142">
        <v>40</v>
      </c>
      <c r="AK251" s="143">
        <v>95</v>
      </c>
      <c r="AL251" s="144">
        <v>85</v>
      </c>
      <c r="AM251" s="138">
        <v>500</v>
      </c>
      <c r="AN251" s="153">
        <v>83.33</v>
      </c>
      <c r="AW251" s="45"/>
      <c r="AX251" s="174" t="b">
        <f>IF('Refined Compare'!$D$2="All",TRUE,IF(F251='Refined Compare'!$D$2,TRUE,IF(G251='Refined Compare'!$D$2,TRUE,FALSE)))</f>
        <v>0</v>
      </c>
      <c r="AY251" s="174" t="b">
        <f>IF('Refined Compare'!$D$3="All",TRUE,IF(F251='Refined Compare'!$D$3,TRUE,IF(G251='Refined Compare'!$D$3,TRUE,FALSE)))</f>
        <v>0</v>
      </c>
      <c r="AZ251" s="174" t="b">
        <f t="shared" si="81"/>
        <v>1</v>
      </c>
    </row>
    <row r="252" spans="1:52" x14ac:dyDescent="0.35">
      <c r="A252">
        <f t="shared" si="82"/>
        <v>251</v>
      </c>
      <c r="B252" s="62">
        <v>214</v>
      </c>
      <c r="C252" s="61">
        <v>6</v>
      </c>
      <c r="D252" s="118" t="b">
        <f>IF(AZ252,TRUE,FALSE)</f>
        <v>0</v>
      </c>
      <c r="E252" s="61" t="s">
        <v>801</v>
      </c>
      <c r="F252" s="66" t="s">
        <v>811</v>
      </c>
      <c r="G252" s="66" t="s">
        <v>816</v>
      </c>
      <c r="H252" s="2" t="s">
        <v>474</v>
      </c>
      <c r="I252" s="39">
        <f t="shared" si="93"/>
        <v>0</v>
      </c>
      <c r="J252" s="40">
        <f t="shared" si="94"/>
        <v>0</v>
      </c>
      <c r="K252" s="41">
        <f t="shared" si="95"/>
        <v>0</v>
      </c>
      <c r="L252" s="42">
        <f t="shared" si="96"/>
        <v>0</v>
      </c>
      <c r="M252" s="43">
        <f t="shared" si="97"/>
        <v>0</v>
      </c>
      <c r="N252" s="44">
        <f t="shared" si="98"/>
        <v>0</v>
      </c>
      <c r="O252" s="45">
        <f t="shared" si="99"/>
        <v>0</v>
      </c>
      <c r="P252" s="19">
        <f t="shared" si="100"/>
        <v>0</v>
      </c>
      <c r="Q252" s="177">
        <v>80</v>
      </c>
      <c r="R252" s="40">
        <v>185</v>
      </c>
      <c r="S252" s="41">
        <v>115</v>
      </c>
      <c r="T252" s="42">
        <v>40</v>
      </c>
      <c r="U252" s="43">
        <v>105</v>
      </c>
      <c r="V252" s="44">
        <v>75</v>
      </c>
      <c r="W252" s="45">
        <f t="shared" si="83"/>
        <v>600</v>
      </c>
      <c r="X252" s="19">
        <f t="shared" si="84"/>
        <v>100</v>
      </c>
      <c r="Y252" s="3">
        <v>80</v>
      </c>
      <c r="Z252" s="4">
        <v>185</v>
      </c>
      <c r="AA252" s="5">
        <v>115</v>
      </c>
      <c r="AB252" s="6">
        <v>40</v>
      </c>
      <c r="AC252" s="7">
        <v>105</v>
      </c>
      <c r="AD252" s="8">
        <v>75</v>
      </c>
      <c r="AE252" s="1">
        <v>600</v>
      </c>
      <c r="AF252" s="19">
        <v>100</v>
      </c>
      <c r="AN252" s="172"/>
      <c r="AV252" s="174"/>
      <c r="AW252" s="45"/>
      <c r="AX252" s="174" t="b">
        <f>IF('Refined Compare'!$D$2="All",TRUE,IF(F252='Refined Compare'!$D$2,TRUE,IF(G252='Refined Compare'!$D$2,TRUE,FALSE)))</f>
        <v>0</v>
      </c>
      <c r="AY252" s="174" t="b">
        <f>IF('Refined Compare'!$D$3="All",TRUE,IF(F252='Refined Compare'!$D$3,TRUE,IF(G252='Refined Compare'!$D$3,TRUE,FALSE)))</f>
        <v>0</v>
      </c>
      <c r="AZ252" s="174" t="b">
        <f t="shared" si="81"/>
        <v>0</v>
      </c>
    </row>
    <row r="253" spans="1:52" x14ac:dyDescent="0.35">
      <c r="A253">
        <f t="shared" si="82"/>
        <v>252</v>
      </c>
      <c r="B253" s="18">
        <v>215</v>
      </c>
      <c r="C253" s="61">
        <v>2</v>
      </c>
      <c r="D253" s="118" t="b">
        <f>IF($AW$2&lt;4,TRUE,FALSE)</f>
        <v>0</v>
      </c>
      <c r="E253" s="61"/>
      <c r="F253" s="66" t="s">
        <v>823</v>
      </c>
      <c r="G253" s="66" t="s">
        <v>820</v>
      </c>
      <c r="H253" s="2" t="s">
        <v>737</v>
      </c>
      <c r="I253" s="39">
        <f t="shared" si="93"/>
        <v>55</v>
      </c>
      <c r="J253" s="40">
        <f t="shared" si="94"/>
        <v>95</v>
      </c>
      <c r="K253" s="41">
        <f t="shared" si="95"/>
        <v>55</v>
      </c>
      <c r="L253" s="42">
        <f t="shared" si="96"/>
        <v>35</v>
      </c>
      <c r="M253" s="43">
        <f t="shared" si="97"/>
        <v>75</v>
      </c>
      <c r="N253" s="44">
        <f t="shared" si="98"/>
        <v>115</v>
      </c>
      <c r="O253" s="45">
        <f t="shared" si="99"/>
        <v>430</v>
      </c>
      <c r="P253" s="19">
        <f t="shared" si="100"/>
        <v>71.67</v>
      </c>
      <c r="Q253" s="177">
        <v>55</v>
      </c>
      <c r="R253" s="40">
        <v>95</v>
      </c>
      <c r="S253" s="41">
        <v>55</v>
      </c>
      <c r="T253" s="42">
        <v>35</v>
      </c>
      <c r="U253" s="43">
        <v>75</v>
      </c>
      <c r="V253" s="44">
        <v>115</v>
      </c>
      <c r="W253" s="45">
        <f t="shared" si="83"/>
        <v>430</v>
      </c>
      <c r="X253" s="19">
        <f t="shared" si="84"/>
        <v>71.67</v>
      </c>
      <c r="Y253" s="3">
        <v>55</v>
      </c>
      <c r="Z253" s="4">
        <v>95</v>
      </c>
      <c r="AA253" s="5">
        <v>55</v>
      </c>
      <c r="AB253" s="6">
        <v>35</v>
      </c>
      <c r="AC253" s="7">
        <v>75</v>
      </c>
      <c r="AD253" s="8">
        <v>115</v>
      </c>
      <c r="AE253" s="1">
        <v>430</v>
      </c>
      <c r="AF253" s="19">
        <v>71.67</v>
      </c>
      <c r="AG253" s="139">
        <v>55</v>
      </c>
      <c r="AH253" s="140">
        <v>95</v>
      </c>
      <c r="AI253" s="141">
        <v>55</v>
      </c>
      <c r="AJ253" s="142">
        <v>35</v>
      </c>
      <c r="AK253" s="143">
        <v>75</v>
      </c>
      <c r="AL253" s="144">
        <v>115</v>
      </c>
      <c r="AM253" s="138">
        <v>430</v>
      </c>
      <c r="AN253" s="153">
        <v>71.67</v>
      </c>
      <c r="AW253" s="45"/>
      <c r="AX253" s="174" t="b">
        <f>IF('Refined Compare'!$D$2="All",TRUE,IF(F253='Refined Compare'!$D$2,TRUE,IF(G253='Refined Compare'!$D$2,TRUE,FALSE)))</f>
        <v>1</v>
      </c>
      <c r="AY253" s="174" t="b">
        <f>IF('Refined Compare'!$D$3="All",TRUE,IF(F253='Refined Compare'!$D$3,TRUE,IF(G253='Refined Compare'!$D$3,TRUE,FALSE)))</f>
        <v>0</v>
      </c>
      <c r="AZ253" s="174" t="b">
        <f t="shared" si="81"/>
        <v>1</v>
      </c>
    </row>
    <row r="254" spans="1:52" x14ac:dyDescent="0.35">
      <c r="A254">
        <f t="shared" si="82"/>
        <v>253</v>
      </c>
      <c r="B254" s="18">
        <v>216</v>
      </c>
      <c r="C254" s="61">
        <v>2</v>
      </c>
      <c r="D254" s="61" t="b">
        <v>0</v>
      </c>
      <c r="E254" s="61"/>
      <c r="F254" s="66" t="s">
        <v>812</v>
      </c>
      <c r="G254" s="66" t="s">
        <v>827</v>
      </c>
      <c r="H254" s="2" t="s">
        <v>134</v>
      </c>
      <c r="I254" s="39">
        <f t="shared" si="93"/>
        <v>60</v>
      </c>
      <c r="J254" s="40">
        <f t="shared" si="94"/>
        <v>80</v>
      </c>
      <c r="K254" s="41">
        <f t="shared" si="95"/>
        <v>50</v>
      </c>
      <c r="L254" s="42">
        <f t="shared" si="96"/>
        <v>50</v>
      </c>
      <c r="M254" s="43">
        <f t="shared" si="97"/>
        <v>50</v>
      </c>
      <c r="N254" s="44">
        <f t="shared" si="98"/>
        <v>40</v>
      </c>
      <c r="O254" s="45">
        <f t="shared" si="99"/>
        <v>330</v>
      </c>
      <c r="P254" s="19">
        <f t="shared" si="100"/>
        <v>55</v>
      </c>
      <c r="Q254" s="177">
        <v>60</v>
      </c>
      <c r="R254" s="40">
        <v>80</v>
      </c>
      <c r="S254" s="41">
        <v>50</v>
      </c>
      <c r="T254" s="42">
        <v>50</v>
      </c>
      <c r="U254" s="43">
        <v>50</v>
      </c>
      <c r="V254" s="44">
        <v>40</v>
      </c>
      <c r="W254" s="45">
        <f t="shared" si="83"/>
        <v>330</v>
      </c>
      <c r="X254" s="19">
        <f t="shared" si="84"/>
        <v>55</v>
      </c>
      <c r="Y254" s="3">
        <v>60</v>
      </c>
      <c r="Z254" s="4">
        <v>80</v>
      </c>
      <c r="AA254" s="5">
        <v>50</v>
      </c>
      <c r="AB254" s="6">
        <v>50</v>
      </c>
      <c r="AC254" s="7">
        <v>50</v>
      </c>
      <c r="AD254" s="8">
        <v>40</v>
      </c>
      <c r="AE254" s="1">
        <v>330</v>
      </c>
      <c r="AF254" s="19">
        <v>55</v>
      </c>
      <c r="AG254" s="139">
        <v>60</v>
      </c>
      <c r="AH254" s="140">
        <v>80</v>
      </c>
      <c r="AI254" s="141">
        <v>50</v>
      </c>
      <c r="AJ254" s="142">
        <v>50</v>
      </c>
      <c r="AK254" s="143">
        <v>50</v>
      </c>
      <c r="AL254" s="144">
        <v>40</v>
      </c>
      <c r="AM254" s="138">
        <v>330</v>
      </c>
      <c r="AN254" s="153">
        <v>55</v>
      </c>
      <c r="AW254" s="45"/>
      <c r="AX254" s="174" t="b">
        <f>IF('Refined Compare'!$D$2="All",TRUE,IF(F254='Refined Compare'!$D$2,TRUE,IF(G254='Refined Compare'!$D$2,TRUE,FALSE)))</f>
        <v>0</v>
      </c>
      <c r="AY254" s="174" t="b">
        <f>IF('Refined Compare'!$D$3="All",TRUE,IF(F254='Refined Compare'!$D$3,TRUE,IF(G254='Refined Compare'!$D$3,TRUE,FALSE)))</f>
        <v>1</v>
      </c>
      <c r="AZ254" s="174" t="b">
        <f t="shared" si="81"/>
        <v>1</v>
      </c>
    </row>
    <row r="255" spans="1:52" x14ac:dyDescent="0.35">
      <c r="A255">
        <f t="shared" si="82"/>
        <v>254</v>
      </c>
      <c r="B255" s="18">
        <v>217</v>
      </c>
      <c r="C255" s="61">
        <v>2</v>
      </c>
      <c r="D255" s="118" t="b">
        <v>1</v>
      </c>
      <c r="E255" s="61"/>
      <c r="F255" s="66" t="s">
        <v>812</v>
      </c>
      <c r="G255" s="66" t="s">
        <v>827</v>
      </c>
      <c r="H255" s="2" t="s">
        <v>275</v>
      </c>
      <c r="I255" s="39">
        <f t="shared" si="93"/>
        <v>90</v>
      </c>
      <c r="J255" s="40">
        <f t="shared" si="94"/>
        <v>130</v>
      </c>
      <c r="K255" s="41">
        <f t="shared" si="95"/>
        <v>75</v>
      </c>
      <c r="L255" s="42">
        <f t="shared" si="96"/>
        <v>75</v>
      </c>
      <c r="M255" s="43">
        <f t="shared" si="97"/>
        <v>75</v>
      </c>
      <c r="N255" s="44">
        <f t="shared" si="98"/>
        <v>55</v>
      </c>
      <c r="O255" s="45">
        <f t="shared" si="99"/>
        <v>500</v>
      </c>
      <c r="P255" s="19">
        <f t="shared" si="100"/>
        <v>83.33</v>
      </c>
      <c r="Q255" s="177">
        <v>90</v>
      </c>
      <c r="R255" s="40">
        <v>130</v>
      </c>
      <c r="S255" s="41">
        <v>75</v>
      </c>
      <c r="T255" s="42">
        <v>75</v>
      </c>
      <c r="U255" s="43">
        <v>75</v>
      </c>
      <c r="V255" s="44">
        <v>55</v>
      </c>
      <c r="W255" s="45">
        <f t="shared" si="83"/>
        <v>500</v>
      </c>
      <c r="X255" s="19">
        <f t="shared" si="84"/>
        <v>83.33</v>
      </c>
      <c r="Y255" s="3">
        <v>90</v>
      </c>
      <c r="Z255" s="4">
        <v>130</v>
      </c>
      <c r="AA255" s="5">
        <v>75</v>
      </c>
      <c r="AB255" s="6">
        <v>75</v>
      </c>
      <c r="AC255" s="7">
        <v>75</v>
      </c>
      <c r="AD255" s="8">
        <v>55</v>
      </c>
      <c r="AE255" s="1">
        <v>500</v>
      </c>
      <c r="AF255" s="19">
        <v>83.33</v>
      </c>
      <c r="AG255" s="139">
        <v>90</v>
      </c>
      <c r="AH255" s="140">
        <v>130</v>
      </c>
      <c r="AI255" s="141">
        <v>75</v>
      </c>
      <c r="AJ255" s="142">
        <v>75</v>
      </c>
      <c r="AK255" s="143">
        <v>75</v>
      </c>
      <c r="AL255" s="144">
        <v>55</v>
      </c>
      <c r="AM255" s="138">
        <v>500</v>
      </c>
      <c r="AN255" s="153">
        <v>83.33</v>
      </c>
      <c r="AW255" s="45"/>
      <c r="AX255" s="174" t="b">
        <f>IF('Refined Compare'!$D$2="All",TRUE,IF(F255='Refined Compare'!$D$2,TRUE,IF(G255='Refined Compare'!$D$2,TRUE,FALSE)))</f>
        <v>0</v>
      </c>
      <c r="AY255" s="174" t="b">
        <f>IF('Refined Compare'!$D$3="All",TRUE,IF(F255='Refined Compare'!$D$3,TRUE,IF(G255='Refined Compare'!$D$3,TRUE,FALSE)))</f>
        <v>1</v>
      </c>
      <c r="AZ255" s="174" t="b">
        <f t="shared" si="81"/>
        <v>1</v>
      </c>
    </row>
    <row r="256" spans="1:52" x14ac:dyDescent="0.35">
      <c r="A256">
        <f t="shared" si="82"/>
        <v>255</v>
      </c>
      <c r="B256" s="18">
        <v>218</v>
      </c>
      <c r="C256" s="61">
        <v>2</v>
      </c>
      <c r="D256" s="61" t="b">
        <v>0</v>
      </c>
      <c r="E256" s="61"/>
      <c r="F256" s="66" t="s">
        <v>808</v>
      </c>
      <c r="G256" s="66" t="s">
        <v>827</v>
      </c>
      <c r="H256" s="2" t="s">
        <v>18</v>
      </c>
      <c r="I256" s="39">
        <f t="shared" si="93"/>
        <v>40</v>
      </c>
      <c r="J256" s="40">
        <f t="shared" si="94"/>
        <v>40</v>
      </c>
      <c r="K256" s="41">
        <f t="shared" si="95"/>
        <v>40</v>
      </c>
      <c r="L256" s="42">
        <f t="shared" si="96"/>
        <v>70</v>
      </c>
      <c r="M256" s="43">
        <f t="shared" si="97"/>
        <v>40</v>
      </c>
      <c r="N256" s="44">
        <f t="shared" si="98"/>
        <v>20</v>
      </c>
      <c r="O256" s="45">
        <f t="shared" si="99"/>
        <v>250</v>
      </c>
      <c r="P256" s="19">
        <f t="shared" si="100"/>
        <v>41.67</v>
      </c>
      <c r="Q256" s="177">
        <v>40</v>
      </c>
      <c r="R256" s="40">
        <v>40</v>
      </c>
      <c r="S256" s="41">
        <v>40</v>
      </c>
      <c r="T256" s="42">
        <v>70</v>
      </c>
      <c r="U256" s="43">
        <v>40</v>
      </c>
      <c r="V256" s="44">
        <v>20</v>
      </c>
      <c r="W256" s="45">
        <f t="shared" si="83"/>
        <v>250</v>
      </c>
      <c r="X256" s="19">
        <f t="shared" si="84"/>
        <v>41.67</v>
      </c>
      <c r="Y256" s="3">
        <v>40</v>
      </c>
      <c r="Z256" s="4">
        <v>40</v>
      </c>
      <c r="AA256" s="5">
        <v>40</v>
      </c>
      <c r="AB256" s="6">
        <v>70</v>
      </c>
      <c r="AC256" s="7">
        <v>40</v>
      </c>
      <c r="AD256" s="8">
        <v>20</v>
      </c>
      <c r="AE256" s="1">
        <v>250</v>
      </c>
      <c r="AF256" s="19">
        <v>41.67</v>
      </c>
      <c r="AG256" s="139">
        <v>40</v>
      </c>
      <c r="AH256" s="140">
        <v>40</v>
      </c>
      <c r="AI256" s="141">
        <v>40</v>
      </c>
      <c r="AJ256" s="142">
        <v>70</v>
      </c>
      <c r="AK256" s="143">
        <v>40</v>
      </c>
      <c r="AL256" s="144">
        <v>20</v>
      </c>
      <c r="AM256" s="138">
        <v>250</v>
      </c>
      <c r="AN256" s="153">
        <v>41.67</v>
      </c>
      <c r="AW256" s="45"/>
      <c r="AX256" s="174" t="b">
        <f>IF('Refined Compare'!$D$2="All",TRUE,IF(F256='Refined Compare'!$D$2,TRUE,IF(G256='Refined Compare'!$D$2,TRUE,FALSE)))</f>
        <v>0</v>
      </c>
      <c r="AY256" s="174" t="b">
        <f>IF('Refined Compare'!$D$3="All",TRUE,IF(F256='Refined Compare'!$D$3,TRUE,IF(G256='Refined Compare'!$D$3,TRUE,FALSE)))</f>
        <v>1</v>
      </c>
      <c r="AZ256" s="174" t="b">
        <f t="shared" si="81"/>
        <v>1</v>
      </c>
    </row>
    <row r="257" spans="1:52" x14ac:dyDescent="0.35">
      <c r="A257">
        <f t="shared" si="82"/>
        <v>256</v>
      </c>
      <c r="B257" s="18">
        <v>219</v>
      </c>
      <c r="C257" s="61">
        <v>2</v>
      </c>
      <c r="D257" s="118" t="b">
        <v>1</v>
      </c>
      <c r="E257" s="61"/>
      <c r="F257" s="66" t="s">
        <v>808</v>
      </c>
      <c r="G257" s="66" t="s">
        <v>818</v>
      </c>
      <c r="H257" s="2" t="s">
        <v>67</v>
      </c>
      <c r="I257" s="39">
        <f t="shared" si="93"/>
        <v>50</v>
      </c>
      <c r="J257" s="40">
        <f t="shared" si="94"/>
        <v>50</v>
      </c>
      <c r="K257" s="41">
        <f t="shared" si="95"/>
        <v>120</v>
      </c>
      <c r="L257" s="42">
        <f t="shared" si="96"/>
        <v>80</v>
      </c>
      <c r="M257" s="43">
        <f t="shared" si="97"/>
        <v>80</v>
      </c>
      <c r="N257" s="44">
        <f t="shared" si="98"/>
        <v>30</v>
      </c>
      <c r="O257" s="45">
        <f t="shared" si="99"/>
        <v>410</v>
      </c>
      <c r="P257" s="19">
        <f t="shared" si="100"/>
        <v>68.33</v>
      </c>
      <c r="Q257" s="177">
        <v>60</v>
      </c>
      <c r="R257" s="40">
        <v>50</v>
      </c>
      <c r="S257" s="41">
        <v>120</v>
      </c>
      <c r="T257" s="42">
        <v>90</v>
      </c>
      <c r="U257" s="43">
        <v>80</v>
      </c>
      <c r="V257" s="44">
        <v>30</v>
      </c>
      <c r="W257" s="45">
        <f t="shared" si="83"/>
        <v>430</v>
      </c>
      <c r="X257" s="19">
        <f t="shared" si="84"/>
        <v>71.67</v>
      </c>
      <c r="Y257" s="3">
        <v>50</v>
      </c>
      <c r="Z257" s="4">
        <v>50</v>
      </c>
      <c r="AA257" s="5">
        <v>120</v>
      </c>
      <c r="AB257" s="6">
        <v>80</v>
      </c>
      <c r="AC257" s="7">
        <v>80</v>
      </c>
      <c r="AD257" s="8">
        <v>30</v>
      </c>
      <c r="AE257" s="1">
        <v>410</v>
      </c>
      <c r="AF257" s="19">
        <v>68.33</v>
      </c>
      <c r="AG257" s="139">
        <v>50</v>
      </c>
      <c r="AH257" s="140">
        <v>50</v>
      </c>
      <c r="AI257" s="141">
        <v>120</v>
      </c>
      <c r="AJ257" s="142">
        <v>80</v>
      </c>
      <c r="AK257" s="143">
        <v>80</v>
      </c>
      <c r="AL257" s="144">
        <v>30</v>
      </c>
      <c r="AM257" s="138">
        <v>410</v>
      </c>
      <c r="AN257" s="153">
        <v>68.33</v>
      </c>
      <c r="AW257" s="45"/>
      <c r="AX257" s="174" t="b">
        <f>IF('Refined Compare'!$D$2="All",TRUE,IF(F257='Refined Compare'!$D$2,TRUE,IF(G257='Refined Compare'!$D$2,TRUE,FALSE)))</f>
        <v>0</v>
      </c>
      <c r="AY257" s="174" t="b">
        <f>IF('Refined Compare'!$D$3="All",TRUE,IF(F257='Refined Compare'!$D$3,TRUE,IF(G257='Refined Compare'!$D$3,TRUE,FALSE)))</f>
        <v>0</v>
      </c>
      <c r="AZ257" s="174" t="b">
        <f t="shared" si="81"/>
        <v>1</v>
      </c>
    </row>
    <row r="258" spans="1:52" x14ac:dyDescent="0.35">
      <c r="A258">
        <f t="shared" si="82"/>
        <v>257</v>
      </c>
      <c r="B258" s="18">
        <v>220</v>
      </c>
      <c r="C258" s="61">
        <v>2</v>
      </c>
      <c r="D258" s="61" t="b">
        <v>0</v>
      </c>
      <c r="E258" s="61"/>
      <c r="F258" s="66" t="s">
        <v>820</v>
      </c>
      <c r="G258" s="66" t="s">
        <v>814</v>
      </c>
      <c r="H258" s="2" t="s">
        <v>222</v>
      </c>
      <c r="I258" s="39">
        <f t="shared" si="93"/>
        <v>50</v>
      </c>
      <c r="J258" s="40">
        <f t="shared" si="94"/>
        <v>50</v>
      </c>
      <c r="K258" s="41">
        <f t="shared" si="95"/>
        <v>40</v>
      </c>
      <c r="L258" s="42">
        <f t="shared" si="96"/>
        <v>30</v>
      </c>
      <c r="M258" s="43">
        <f t="shared" si="97"/>
        <v>30</v>
      </c>
      <c r="N258" s="44">
        <f t="shared" si="98"/>
        <v>50</v>
      </c>
      <c r="O258" s="45">
        <f t="shared" si="99"/>
        <v>250</v>
      </c>
      <c r="P258" s="19">
        <f t="shared" si="100"/>
        <v>41.67</v>
      </c>
      <c r="Q258" s="177">
        <v>50</v>
      </c>
      <c r="R258" s="40">
        <v>50</v>
      </c>
      <c r="S258" s="41">
        <v>40</v>
      </c>
      <c r="T258" s="42">
        <v>30</v>
      </c>
      <c r="U258" s="43">
        <v>30</v>
      </c>
      <c r="V258" s="44">
        <v>50</v>
      </c>
      <c r="W258" s="45">
        <f t="shared" si="83"/>
        <v>250</v>
      </c>
      <c r="X258" s="19">
        <f t="shared" si="84"/>
        <v>41.67</v>
      </c>
      <c r="Y258" s="3">
        <v>50</v>
      </c>
      <c r="Z258" s="4">
        <v>50</v>
      </c>
      <c r="AA258" s="5">
        <v>40</v>
      </c>
      <c r="AB258" s="6">
        <v>30</v>
      </c>
      <c r="AC258" s="7">
        <v>30</v>
      </c>
      <c r="AD258" s="8">
        <v>50</v>
      </c>
      <c r="AE258" s="1">
        <v>250</v>
      </c>
      <c r="AF258" s="19">
        <v>41.67</v>
      </c>
      <c r="AG258" s="139">
        <v>50</v>
      </c>
      <c r="AH258" s="140">
        <v>50</v>
      </c>
      <c r="AI258" s="141">
        <v>40</v>
      </c>
      <c r="AJ258" s="142">
        <v>30</v>
      </c>
      <c r="AK258" s="143">
        <v>30</v>
      </c>
      <c r="AL258" s="144">
        <v>50</v>
      </c>
      <c r="AM258" s="138">
        <v>250</v>
      </c>
      <c r="AN258" s="153">
        <v>41.67</v>
      </c>
      <c r="AW258" s="45"/>
      <c r="AX258" s="174" t="b">
        <f>IF('Refined Compare'!$D$2="All",TRUE,IF(F258='Refined Compare'!$D$2,TRUE,IF(G258='Refined Compare'!$D$2,TRUE,FALSE)))</f>
        <v>0</v>
      </c>
      <c r="AY258" s="174" t="b">
        <f>IF('Refined Compare'!$D$3="All",TRUE,IF(F258='Refined Compare'!$D$3,TRUE,IF(G258='Refined Compare'!$D$3,TRUE,FALSE)))</f>
        <v>0</v>
      </c>
      <c r="AZ258" s="174" t="b">
        <f t="shared" ref="AZ258:AZ321" si="101">IF(C258&lt;=$AW$2,TRUE,FALSE)</f>
        <v>1</v>
      </c>
    </row>
    <row r="259" spans="1:52" x14ac:dyDescent="0.35">
      <c r="A259">
        <f t="shared" si="82"/>
        <v>258</v>
      </c>
      <c r="B259" s="18">
        <v>221</v>
      </c>
      <c r="C259" s="61">
        <v>2</v>
      </c>
      <c r="D259" s="118" t="b">
        <f>IF($AW$2&lt;4,TRUE,FALSE)</f>
        <v>0</v>
      </c>
      <c r="E259" s="61"/>
      <c r="F259" s="66" t="s">
        <v>820</v>
      </c>
      <c r="G259" s="66" t="s">
        <v>814</v>
      </c>
      <c r="H259" s="2" t="s">
        <v>223</v>
      </c>
      <c r="I259" s="39">
        <f t="shared" si="93"/>
        <v>100</v>
      </c>
      <c r="J259" s="40">
        <f t="shared" si="94"/>
        <v>100</v>
      </c>
      <c r="K259" s="41">
        <f t="shared" si="95"/>
        <v>80</v>
      </c>
      <c r="L259" s="42">
        <f t="shared" si="96"/>
        <v>60</v>
      </c>
      <c r="M259" s="43">
        <f t="shared" si="97"/>
        <v>60</v>
      </c>
      <c r="N259" s="44">
        <f t="shared" si="98"/>
        <v>50</v>
      </c>
      <c r="O259" s="45">
        <f t="shared" si="99"/>
        <v>450</v>
      </c>
      <c r="P259" s="19">
        <f t="shared" si="100"/>
        <v>75</v>
      </c>
      <c r="Q259" s="177">
        <v>100</v>
      </c>
      <c r="R259" s="40">
        <v>100</v>
      </c>
      <c r="S259" s="41">
        <v>80</v>
      </c>
      <c r="T259" s="42">
        <v>60</v>
      </c>
      <c r="U259" s="43">
        <v>60</v>
      </c>
      <c r="V259" s="44">
        <v>50</v>
      </c>
      <c r="W259" s="45">
        <f t="shared" si="83"/>
        <v>450</v>
      </c>
      <c r="X259" s="19">
        <f t="shared" si="84"/>
        <v>75</v>
      </c>
      <c r="Y259" s="3">
        <v>100</v>
      </c>
      <c r="Z259" s="4">
        <v>100</v>
      </c>
      <c r="AA259" s="5">
        <v>80</v>
      </c>
      <c r="AB259" s="6">
        <v>60</v>
      </c>
      <c r="AC259" s="7">
        <v>60</v>
      </c>
      <c r="AD259" s="8">
        <v>50</v>
      </c>
      <c r="AE259" s="1">
        <v>450</v>
      </c>
      <c r="AF259" s="19">
        <v>75</v>
      </c>
      <c r="AG259" s="139">
        <v>100</v>
      </c>
      <c r="AH259" s="140">
        <v>100</v>
      </c>
      <c r="AI259" s="141">
        <v>80</v>
      </c>
      <c r="AJ259" s="142">
        <v>60</v>
      </c>
      <c r="AK259" s="143">
        <v>60</v>
      </c>
      <c r="AL259" s="144">
        <v>50</v>
      </c>
      <c r="AM259" s="138">
        <v>450</v>
      </c>
      <c r="AN259" s="153">
        <v>75</v>
      </c>
      <c r="AW259" s="45"/>
      <c r="AX259" s="174" t="b">
        <f>IF('Refined Compare'!$D$2="All",TRUE,IF(F259='Refined Compare'!$D$2,TRUE,IF(G259='Refined Compare'!$D$2,TRUE,FALSE)))</f>
        <v>0</v>
      </c>
      <c r="AY259" s="174" t="b">
        <f>IF('Refined Compare'!$D$3="All",TRUE,IF(F259='Refined Compare'!$D$3,TRUE,IF(G259='Refined Compare'!$D$3,TRUE,FALSE)))</f>
        <v>0</v>
      </c>
      <c r="AZ259" s="174" t="b">
        <f t="shared" si="101"/>
        <v>1</v>
      </c>
    </row>
    <row r="260" spans="1:52" x14ac:dyDescent="0.35">
      <c r="A260">
        <f t="shared" si="82"/>
        <v>259</v>
      </c>
      <c r="B260" s="18">
        <v>222</v>
      </c>
      <c r="C260" s="61">
        <v>2</v>
      </c>
      <c r="D260" s="118" t="b">
        <v>1</v>
      </c>
      <c r="E260" s="61"/>
      <c r="F260" s="66" t="s">
        <v>810</v>
      </c>
      <c r="G260" s="66" t="s">
        <v>818</v>
      </c>
      <c r="H260" s="2" t="s">
        <v>104</v>
      </c>
      <c r="I260" s="39">
        <f t="shared" si="93"/>
        <v>55</v>
      </c>
      <c r="J260" s="40">
        <f t="shared" si="94"/>
        <v>55</v>
      </c>
      <c r="K260" s="41">
        <f t="shared" si="95"/>
        <v>85</v>
      </c>
      <c r="L260" s="42">
        <f t="shared" si="96"/>
        <v>65</v>
      </c>
      <c r="M260" s="43">
        <f t="shared" si="97"/>
        <v>85</v>
      </c>
      <c r="N260" s="44">
        <f t="shared" si="98"/>
        <v>35</v>
      </c>
      <c r="O260" s="45">
        <f t="shared" si="99"/>
        <v>380</v>
      </c>
      <c r="P260" s="19">
        <f t="shared" si="100"/>
        <v>63.33</v>
      </c>
      <c r="Q260" s="177">
        <v>65</v>
      </c>
      <c r="R260" s="40">
        <v>55</v>
      </c>
      <c r="S260" s="41">
        <v>95</v>
      </c>
      <c r="T260" s="42">
        <v>65</v>
      </c>
      <c r="U260" s="43">
        <v>95</v>
      </c>
      <c r="V260" s="44">
        <v>35</v>
      </c>
      <c r="W260" s="45">
        <f t="shared" si="83"/>
        <v>410</v>
      </c>
      <c r="X260" s="19">
        <f t="shared" si="84"/>
        <v>68.33</v>
      </c>
      <c r="Y260" s="3">
        <v>55</v>
      </c>
      <c r="Z260" s="4">
        <v>55</v>
      </c>
      <c r="AA260" s="5">
        <v>85</v>
      </c>
      <c r="AB260" s="6">
        <v>65</v>
      </c>
      <c r="AC260" s="7">
        <v>85</v>
      </c>
      <c r="AD260" s="8">
        <v>35</v>
      </c>
      <c r="AE260" s="1">
        <v>380</v>
      </c>
      <c r="AF260" s="19">
        <v>63.33</v>
      </c>
      <c r="AG260" s="139">
        <v>55</v>
      </c>
      <c r="AH260" s="140">
        <v>55</v>
      </c>
      <c r="AI260" s="141">
        <v>85</v>
      </c>
      <c r="AJ260" s="142">
        <v>65</v>
      </c>
      <c r="AK260" s="143">
        <v>85</v>
      </c>
      <c r="AL260" s="144">
        <v>35</v>
      </c>
      <c r="AM260" s="138">
        <v>380</v>
      </c>
      <c r="AN260" s="153">
        <v>63.33</v>
      </c>
      <c r="AW260" s="45"/>
      <c r="AX260" s="174" t="b">
        <f>IF('Refined Compare'!$D$2="All",TRUE,IF(F260='Refined Compare'!$D$2,TRUE,IF(G260='Refined Compare'!$D$2,TRUE,FALSE)))</f>
        <v>0</v>
      </c>
      <c r="AY260" s="174" t="b">
        <f>IF('Refined Compare'!$D$3="All",TRUE,IF(F260='Refined Compare'!$D$3,TRUE,IF(G260='Refined Compare'!$D$3,TRUE,FALSE)))</f>
        <v>0</v>
      </c>
      <c r="AZ260" s="174" t="b">
        <f t="shared" si="101"/>
        <v>1</v>
      </c>
    </row>
    <row r="261" spans="1:52" x14ac:dyDescent="0.35">
      <c r="A261">
        <f t="shared" si="82"/>
        <v>260</v>
      </c>
      <c r="B261" s="18">
        <v>223</v>
      </c>
      <c r="C261" s="61">
        <v>2</v>
      </c>
      <c r="D261" s="61" t="b">
        <v>0</v>
      </c>
      <c r="E261" s="61"/>
      <c r="F261" s="66" t="s">
        <v>810</v>
      </c>
      <c r="G261" s="66" t="s">
        <v>827</v>
      </c>
      <c r="H261" s="2" t="s">
        <v>375</v>
      </c>
      <c r="I261" s="39">
        <f t="shared" si="93"/>
        <v>35</v>
      </c>
      <c r="J261" s="40">
        <f t="shared" si="94"/>
        <v>65</v>
      </c>
      <c r="K261" s="41">
        <f t="shared" si="95"/>
        <v>35</v>
      </c>
      <c r="L261" s="42">
        <f t="shared" si="96"/>
        <v>65</v>
      </c>
      <c r="M261" s="43">
        <f t="shared" si="97"/>
        <v>35</v>
      </c>
      <c r="N261" s="44">
        <f t="shared" si="98"/>
        <v>65</v>
      </c>
      <c r="O261" s="45">
        <f t="shared" si="99"/>
        <v>300</v>
      </c>
      <c r="P261" s="19">
        <f t="shared" si="100"/>
        <v>50</v>
      </c>
      <c r="Q261" s="177">
        <v>35</v>
      </c>
      <c r="R261" s="40">
        <v>65</v>
      </c>
      <c r="S261" s="41">
        <v>35</v>
      </c>
      <c r="T261" s="42">
        <v>65</v>
      </c>
      <c r="U261" s="43">
        <v>35</v>
      </c>
      <c r="V261" s="44">
        <v>65</v>
      </c>
      <c r="W261" s="45">
        <f t="shared" si="83"/>
        <v>300</v>
      </c>
      <c r="X261" s="19">
        <f t="shared" si="84"/>
        <v>50</v>
      </c>
      <c r="Y261" s="3">
        <v>35</v>
      </c>
      <c r="Z261" s="4">
        <v>65</v>
      </c>
      <c r="AA261" s="5">
        <v>35</v>
      </c>
      <c r="AB261" s="6">
        <v>65</v>
      </c>
      <c r="AC261" s="7">
        <v>35</v>
      </c>
      <c r="AD261" s="8">
        <v>65</v>
      </c>
      <c r="AE261" s="1">
        <v>300</v>
      </c>
      <c r="AF261" s="19">
        <v>50</v>
      </c>
      <c r="AG261" s="139">
        <v>35</v>
      </c>
      <c r="AH261" s="140">
        <v>65</v>
      </c>
      <c r="AI261" s="141">
        <v>35</v>
      </c>
      <c r="AJ261" s="142">
        <v>65</v>
      </c>
      <c r="AK261" s="143">
        <v>35</v>
      </c>
      <c r="AL261" s="144">
        <v>65</v>
      </c>
      <c r="AM261" s="138">
        <v>300</v>
      </c>
      <c r="AN261" s="153">
        <v>50</v>
      </c>
      <c r="AW261" s="45"/>
      <c r="AX261" s="174" t="b">
        <f>IF('Refined Compare'!$D$2="All",TRUE,IF(F261='Refined Compare'!$D$2,TRUE,IF(G261='Refined Compare'!$D$2,TRUE,FALSE)))</f>
        <v>0</v>
      </c>
      <c r="AY261" s="174" t="b">
        <f>IF('Refined Compare'!$D$3="All",TRUE,IF(F261='Refined Compare'!$D$3,TRUE,IF(G261='Refined Compare'!$D$3,TRUE,FALSE)))</f>
        <v>1</v>
      </c>
      <c r="AZ261" s="174" t="b">
        <f t="shared" si="101"/>
        <v>1</v>
      </c>
    </row>
    <row r="262" spans="1:52" x14ac:dyDescent="0.35">
      <c r="A262">
        <f t="shared" si="82"/>
        <v>261</v>
      </c>
      <c r="B262" s="18">
        <v>224</v>
      </c>
      <c r="C262" s="61">
        <v>2</v>
      </c>
      <c r="D262" s="118" t="b">
        <v>1</v>
      </c>
      <c r="E262" s="61"/>
      <c r="F262" s="66" t="s">
        <v>810</v>
      </c>
      <c r="G262" s="66" t="s">
        <v>827</v>
      </c>
      <c r="H262" s="2" t="s">
        <v>185</v>
      </c>
      <c r="I262" s="39">
        <f t="shared" si="93"/>
        <v>75</v>
      </c>
      <c r="J262" s="40">
        <f t="shared" si="94"/>
        <v>105</v>
      </c>
      <c r="K262" s="41">
        <f t="shared" si="95"/>
        <v>75</v>
      </c>
      <c r="L262" s="42">
        <f t="shared" si="96"/>
        <v>105</v>
      </c>
      <c r="M262" s="43">
        <f t="shared" si="97"/>
        <v>75</v>
      </c>
      <c r="N262" s="44">
        <f t="shared" si="98"/>
        <v>45</v>
      </c>
      <c r="O262" s="45">
        <f t="shared" si="99"/>
        <v>480</v>
      </c>
      <c r="P262" s="19">
        <f t="shared" si="100"/>
        <v>80</v>
      </c>
      <c r="Q262" s="177">
        <v>75</v>
      </c>
      <c r="R262" s="40">
        <v>105</v>
      </c>
      <c r="S262" s="41">
        <v>75</v>
      </c>
      <c r="T262" s="42">
        <v>105</v>
      </c>
      <c r="U262" s="43">
        <v>75</v>
      </c>
      <c r="V262" s="44">
        <v>45</v>
      </c>
      <c r="W262" s="45">
        <f t="shared" si="83"/>
        <v>480</v>
      </c>
      <c r="X262" s="19">
        <f t="shared" si="84"/>
        <v>80</v>
      </c>
      <c r="Y262" s="3">
        <v>75</v>
      </c>
      <c r="Z262" s="4">
        <v>105</v>
      </c>
      <c r="AA262" s="5">
        <v>75</v>
      </c>
      <c r="AB262" s="6">
        <v>105</v>
      </c>
      <c r="AC262" s="7">
        <v>75</v>
      </c>
      <c r="AD262" s="8">
        <v>45</v>
      </c>
      <c r="AE262" s="1">
        <v>480</v>
      </c>
      <c r="AF262" s="19">
        <v>80</v>
      </c>
      <c r="AG262" s="139">
        <v>75</v>
      </c>
      <c r="AH262" s="140">
        <v>105</v>
      </c>
      <c r="AI262" s="141">
        <v>75</v>
      </c>
      <c r="AJ262" s="142">
        <v>105</v>
      </c>
      <c r="AK262" s="143">
        <v>75</v>
      </c>
      <c r="AL262" s="144">
        <v>45</v>
      </c>
      <c r="AM262" s="138">
        <v>480</v>
      </c>
      <c r="AN262" s="153">
        <v>80</v>
      </c>
      <c r="AW262" s="45"/>
      <c r="AX262" s="174" t="b">
        <f>IF('Refined Compare'!$D$2="All",TRUE,IF(F262='Refined Compare'!$D$2,TRUE,IF(G262='Refined Compare'!$D$2,TRUE,FALSE)))</f>
        <v>0</v>
      </c>
      <c r="AY262" s="174" t="b">
        <f>IF('Refined Compare'!$D$3="All",TRUE,IF(F262='Refined Compare'!$D$3,TRUE,IF(G262='Refined Compare'!$D$3,TRUE,FALSE)))</f>
        <v>1</v>
      </c>
      <c r="AZ262" s="174" t="b">
        <f t="shared" si="101"/>
        <v>1</v>
      </c>
    </row>
    <row r="263" spans="1:52" x14ac:dyDescent="0.35">
      <c r="A263">
        <f t="shared" si="82"/>
        <v>262</v>
      </c>
      <c r="B263" s="18">
        <v>225</v>
      </c>
      <c r="C263" s="61">
        <v>2</v>
      </c>
      <c r="D263" s="118" t="b">
        <v>1</v>
      </c>
      <c r="E263" s="61"/>
      <c r="F263" s="66" t="s">
        <v>820</v>
      </c>
      <c r="G263" s="66" t="s">
        <v>809</v>
      </c>
      <c r="H263" s="2" t="s">
        <v>475</v>
      </c>
      <c r="I263" s="39">
        <f t="shared" si="93"/>
        <v>45</v>
      </c>
      <c r="J263" s="40">
        <f t="shared" si="94"/>
        <v>55</v>
      </c>
      <c r="K263" s="41">
        <f t="shared" si="95"/>
        <v>45</v>
      </c>
      <c r="L263" s="42">
        <f t="shared" si="96"/>
        <v>65</v>
      </c>
      <c r="M263" s="43">
        <f t="shared" si="97"/>
        <v>45</v>
      </c>
      <c r="N263" s="44">
        <f t="shared" si="98"/>
        <v>75</v>
      </c>
      <c r="O263" s="45">
        <f t="shared" si="99"/>
        <v>330</v>
      </c>
      <c r="P263" s="19">
        <f t="shared" si="100"/>
        <v>55</v>
      </c>
      <c r="Q263" s="177">
        <v>45</v>
      </c>
      <c r="R263" s="40">
        <v>55</v>
      </c>
      <c r="S263" s="41">
        <v>45</v>
      </c>
      <c r="T263" s="42">
        <v>65</v>
      </c>
      <c r="U263" s="43">
        <v>45</v>
      </c>
      <c r="V263" s="44">
        <v>75</v>
      </c>
      <c r="W263" s="45">
        <f t="shared" si="83"/>
        <v>330</v>
      </c>
      <c r="X263" s="19">
        <f t="shared" si="84"/>
        <v>55</v>
      </c>
      <c r="Y263" s="3">
        <v>45</v>
      </c>
      <c r="Z263" s="4">
        <v>55</v>
      </c>
      <c r="AA263" s="5">
        <v>45</v>
      </c>
      <c r="AB263" s="6">
        <v>65</v>
      </c>
      <c r="AC263" s="7">
        <v>45</v>
      </c>
      <c r="AD263" s="8">
        <v>75</v>
      </c>
      <c r="AE263" s="1">
        <v>330</v>
      </c>
      <c r="AF263" s="19">
        <v>55</v>
      </c>
      <c r="AG263" s="139">
        <v>45</v>
      </c>
      <c r="AH263" s="140">
        <v>55</v>
      </c>
      <c r="AI263" s="141">
        <v>45</v>
      </c>
      <c r="AJ263" s="142">
        <v>65</v>
      </c>
      <c r="AK263" s="143">
        <v>45</v>
      </c>
      <c r="AL263" s="144">
        <v>75</v>
      </c>
      <c r="AM263" s="138">
        <v>330</v>
      </c>
      <c r="AN263" s="153">
        <v>55</v>
      </c>
      <c r="AW263" s="45"/>
      <c r="AX263" s="174" t="b">
        <f>IF('Refined Compare'!$D$2="All",TRUE,IF(F263='Refined Compare'!$D$2,TRUE,IF(G263='Refined Compare'!$D$2,TRUE,FALSE)))</f>
        <v>0</v>
      </c>
      <c r="AY263" s="174" t="b">
        <f>IF('Refined Compare'!$D$3="All",TRUE,IF(F263='Refined Compare'!$D$3,TRUE,IF(G263='Refined Compare'!$D$3,TRUE,FALSE)))</f>
        <v>0</v>
      </c>
      <c r="AZ263" s="174" t="b">
        <f t="shared" si="101"/>
        <v>1</v>
      </c>
    </row>
    <row r="264" spans="1:52" x14ac:dyDescent="0.35">
      <c r="A264">
        <f t="shared" si="82"/>
        <v>263</v>
      </c>
      <c r="B264" s="18">
        <v>226</v>
      </c>
      <c r="C264" s="61">
        <v>2</v>
      </c>
      <c r="D264" s="118" t="b">
        <v>1</v>
      </c>
      <c r="E264" s="61"/>
      <c r="F264" s="66" t="s">
        <v>810</v>
      </c>
      <c r="G264" s="66" t="s">
        <v>809</v>
      </c>
      <c r="H264" s="2" t="s">
        <v>432</v>
      </c>
      <c r="I264" s="39">
        <f t="shared" si="93"/>
        <v>65</v>
      </c>
      <c r="J264" s="40">
        <f t="shared" si="94"/>
        <v>40</v>
      </c>
      <c r="K264" s="41">
        <f t="shared" si="95"/>
        <v>70</v>
      </c>
      <c r="L264" s="42">
        <f t="shared" si="96"/>
        <v>80</v>
      </c>
      <c r="M264" s="43">
        <f t="shared" si="97"/>
        <v>140</v>
      </c>
      <c r="N264" s="44">
        <f t="shared" si="98"/>
        <v>70</v>
      </c>
      <c r="O264" s="45">
        <f t="shared" si="99"/>
        <v>465</v>
      </c>
      <c r="P264" s="19">
        <f t="shared" si="100"/>
        <v>77.5</v>
      </c>
      <c r="Q264" s="177">
        <v>85</v>
      </c>
      <c r="R264" s="40">
        <v>40</v>
      </c>
      <c r="S264" s="41">
        <v>70</v>
      </c>
      <c r="T264" s="42">
        <v>80</v>
      </c>
      <c r="U264" s="43">
        <v>140</v>
      </c>
      <c r="V264" s="44">
        <v>70</v>
      </c>
      <c r="W264" s="45">
        <f t="shared" si="83"/>
        <v>485</v>
      </c>
      <c r="X264" s="19">
        <f t="shared" si="84"/>
        <v>80.83</v>
      </c>
      <c r="Y264" s="3">
        <v>65</v>
      </c>
      <c r="Z264" s="4">
        <v>40</v>
      </c>
      <c r="AA264" s="5">
        <v>70</v>
      </c>
      <c r="AB264" s="6">
        <v>80</v>
      </c>
      <c r="AC264" s="7">
        <v>140</v>
      </c>
      <c r="AD264" s="8">
        <v>70</v>
      </c>
      <c r="AE264" s="1">
        <v>465</v>
      </c>
      <c r="AF264" s="19">
        <v>77.5</v>
      </c>
      <c r="AG264" s="139">
        <v>65</v>
      </c>
      <c r="AH264" s="140">
        <v>40</v>
      </c>
      <c r="AI264" s="141">
        <v>70</v>
      </c>
      <c r="AJ264" s="142">
        <v>80</v>
      </c>
      <c r="AK264" s="143">
        <v>140</v>
      </c>
      <c r="AL264" s="144">
        <v>70</v>
      </c>
      <c r="AM264" s="138">
        <v>465</v>
      </c>
      <c r="AN264" s="153">
        <v>77.5</v>
      </c>
      <c r="AW264" s="45"/>
      <c r="AX264" s="174" t="b">
        <f>IF('Refined Compare'!$D$2="All",TRUE,IF(F264='Refined Compare'!$D$2,TRUE,IF(G264='Refined Compare'!$D$2,TRUE,FALSE)))</f>
        <v>0</v>
      </c>
      <c r="AY264" s="174" t="b">
        <f>IF('Refined Compare'!$D$3="All",TRUE,IF(F264='Refined Compare'!$D$3,TRUE,IF(G264='Refined Compare'!$D$3,TRUE,FALSE)))</f>
        <v>0</v>
      </c>
      <c r="AZ264" s="174" t="b">
        <f t="shared" si="101"/>
        <v>1</v>
      </c>
    </row>
    <row r="265" spans="1:52" x14ac:dyDescent="0.35">
      <c r="A265">
        <f t="shared" si="82"/>
        <v>264</v>
      </c>
      <c r="B265" s="18">
        <v>227</v>
      </c>
      <c r="C265" s="61">
        <v>2</v>
      </c>
      <c r="D265" s="118" t="b">
        <v>1</v>
      </c>
      <c r="E265" s="61"/>
      <c r="F265" s="66" t="s">
        <v>819</v>
      </c>
      <c r="G265" s="66" t="s">
        <v>809</v>
      </c>
      <c r="H265" s="2" t="s">
        <v>433</v>
      </c>
      <c r="I265" s="39">
        <f t="shared" si="93"/>
        <v>65</v>
      </c>
      <c r="J265" s="40">
        <f t="shared" si="94"/>
        <v>80</v>
      </c>
      <c r="K265" s="41">
        <f t="shared" si="95"/>
        <v>140</v>
      </c>
      <c r="L265" s="42">
        <f t="shared" si="96"/>
        <v>40</v>
      </c>
      <c r="M265" s="43">
        <f t="shared" si="97"/>
        <v>70</v>
      </c>
      <c r="N265" s="44">
        <f t="shared" si="98"/>
        <v>70</v>
      </c>
      <c r="O265" s="45">
        <f t="shared" si="99"/>
        <v>465</v>
      </c>
      <c r="P265" s="19">
        <f t="shared" si="100"/>
        <v>77.5</v>
      </c>
      <c r="Q265" s="177">
        <v>65</v>
      </c>
      <c r="R265" s="40">
        <v>80</v>
      </c>
      <c r="S265" s="41">
        <v>140</v>
      </c>
      <c r="T265" s="42">
        <v>40</v>
      </c>
      <c r="U265" s="43">
        <v>70</v>
      </c>
      <c r="V265" s="44">
        <v>70</v>
      </c>
      <c r="W265" s="45">
        <f t="shared" si="83"/>
        <v>465</v>
      </c>
      <c r="X265" s="19">
        <f t="shared" si="84"/>
        <v>77.5</v>
      </c>
      <c r="Y265" s="3">
        <v>65</v>
      </c>
      <c r="Z265" s="4">
        <v>80</v>
      </c>
      <c r="AA265" s="5">
        <v>140</v>
      </c>
      <c r="AB265" s="6">
        <v>40</v>
      </c>
      <c r="AC265" s="7">
        <v>70</v>
      </c>
      <c r="AD265" s="8">
        <v>70</v>
      </c>
      <c r="AE265" s="1">
        <v>465</v>
      </c>
      <c r="AF265" s="19">
        <v>77.5</v>
      </c>
      <c r="AG265" s="139">
        <v>65</v>
      </c>
      <c r="AH265" s="140">
        <v>80</v>
      </c>
      <c r="AI265" s="141">
        <v>140</v>
      </c>
      <c r="AJ265" s="142">
        <v>40</v>
      </c>
      <c r="AK265" s="143">
        <v>70</v>
      </c>
      <c r="AL265" s="144">
        <v>70</v>
      </c>
      <c r="AM265" s="138">
        <v>465</v>
      </c>
      <c r="AN265" s="153">
        <v>77.5</v>
      </c>
      <c r="AW265" s="45"/>
      <c r="AX265" s="174" t="b">
        <f>IF('Refined Compare'!$D$2="All",TRUE,IF(F265='Refined Compare'!$D$2,TRUE,IF(G265='Refined Compare'!$D$2,TRUE,FALSE)))</f>
        <v>0</v>
      </c>
      <c r="AY265" s="174" t="b">
        <f>IF('Refined Compare'!$D$3="All",TRUE,IF(F265='Refined Compare'!$D$3,TRUE,IF(G265='Refined Compare'!$D$3,TRUE,FALSE)))</f>
        <v>0</v>
      </c>
      <c r="AZ265" s="174" t="b">
        <f t="shared" si="101"/>
        <v>1</v>
      </c>
    </row>
    <row r="266" spans="1:52" x14ac:dyDescent="0.35">
      <c r="A266">
        <f t="shared" si="82"/>
        <v>265</v>
      </c>
      <c r="B266" s="18">
        <v>228</v>
      </c>
      <c r="C266" s="61">
        <v>2</v>
      </c>
      <c r="D266" s="61" t="b">
        <v>0</v>
      </c>
      <c r="E266" s="61"/>
      <c r="F266" s="66" t="s">
        <v>823</v>
      </c>
      <c r="G266" s="66" t="s">
        <v>808</v>
      </c>
      <c r="H266" s="2" t="s">
        <v>376</v>
      </c>
      <c r="I266" s="39">
        <f t="shared" si="93"/>
        <v>45</v>
      </c>
      <c r="J266" s="40">
        <f t="shared" si="94"/>
        <v>60</v>
      </c>
      <c r="K266" s="41">
        <f t="shared" si="95"/>
        <v>30</v>
      </c>
      <c r="L266" s="42">
        <f t="shared" si="96"/>
        <v>80</v>
      </c>
      <c r="M266" s="43">
        <f t="shared" si="97"/>
        <v>50</v>
      </c>
      <c r="N266" s="44">
        <f t="shared" si="98"/>
        <v>65</v>
      </c>
      <c r="O266" s="45">
        <f t="shared" si="99"/>
        <v>330</v>
      </c>
      <c r="P266" s="19">
        <f t="shared" si="100"/>
        <v>55</v>
      </c>
      <c r="Q266" s="177">
        <v>45</v>
      </c>
      <c r="R266" s="40">
        <v>60</v>
      </c>
      <c r="S266" s="41">
        <v>30</v>
      </c>
      <c r="T266" s="42">
        <v>80</v>
      </c>
      <c r="U266" s="43">
        <v>50</v>
      </c>
      <c r="V266" s="44">
        <v>65</v>
      </c>
      <c r="W266" s="45">
        <f t="shared" si="83"/>
        <v>330</v>
      </c>
      <c r="X266" s="19">
        <f t="shared" si="84"/>
        <v>55</v>
      </c>
      <c r="Y266" s="3">
        <v>45</v>
      </c>
      <c r="Z266" s="4">
        <v>60</v>
      </c>
      <c r="AA266" s="5">
        <v>30</v>
      </c>
      <c r="AB266" s="6">
        <v>80</v>
      </c>
      <c r="AC266" s="7">
        <v>50</v>
      </c>
      <c r="AD266" s="8">
        <v>65</v>
      </c>
      <c r="AE266" s="1">
        <v>330</v>
      </c>
      <c r="AF266" s="19">
        <v>55</v>
      </c>
      <c r="AG266" s="139">
        <v>45</v>
      </c>
      <c r="AH266" s="140">
        <v>60</v>
      </c>
      <c r="AI266" s="141">
        <v>30</v>
      </c>
      <c r="AJ266" s="142">
        <v>80</v>
      </c>
      <c r="AK266" s="143">
        <v>50</v>
      </c>
      <c r="AL266" s="144">
        <v>65</v>
      </c>
      <c r="AM266" s="138">
        <v>330</v>
      </c>
      <c r="AN266" s="153">
        <v>55</v>
      </c>
      <c r="AW266" s="45"/>
      <c r="AX266" s="174" t="b">
        <f>IF('Refined Compare'!$D$2="All",TRUE,IF(F266='Refined Compare'!$D$2,TRUE,IF(G266='Refined Compare'!$D$2,TRUE,FALSE)))</f>
        <v>1</v>
      </c>
      <c r="AY266" s="174" t="b">
        <f>IF('Refined Compare'!$D$3="All",TRUE,IF(F266='Refined Compare'!$D$3,TRUE,IF(G266='Refined Compare'!$D$3,TRUE,FALSE)))</f>
        <v>0</v>
      </c>
      <c r="AZ266" s="174" t="b">
        <f t="shared" si="101"/>
        <v>1</v>
      </c>
    </row>
    <row r="267" spans="1:52" x14ac:dyDescent="0.35">
      <c r="A267">
        <f t="shared" si="82"/>
        <v>266</v>
      </c>
      <c r="B267" s="18">
        <v>229</v>
      </c>
      <c r="C267" s="61">
        <v>2</v>
      </c>
      <c r="D267" s="61" t="b">
        <f>IF($AW$2&lt;6,TRUE,FALSE)</f>
        <v>1</v>
      </c>
      <c r="E267" s="61"/>
      <c r="F267" s="66" t="s">
        <v>823</v>
      </c>
      <c r="G267" s="66" t="s">
        <v>808</v>
      </c>
      <c r="H267" s="2" t="s">
        <v>622</v>
      </c>
      <c r="I267" s="39">
        <f t="shared" si="93"/>
        <v>75</v>
      </c>
      <c r="J267" s="40">
        <f t="shared" si="94"/>
        <v>90</v>
      </c>
      <c r="K267" s="41">
        <f t="shared" si="95"/>
        <v>50</v>
      </c>
      <c r="L267" s="42">
        <f t="shared" si="96"/>
        <v>110</v>
      </c>
      <c r="M267" s="43">
        <f t="shared" si="97"/>
        <v>80</v>
      </c>
      <c r="N267" s="44">
        <f t="shared" si="98"/>
        <v>95</v>
      </c>
      <c r="O267" s="45">
        <f t="shared" si="99"/>
        <v>500</v>
      </c>
      <c r="P267" s="19">
        <f t="shared" si="100"/>
        <v>83.33</v>
      </c>
      <c r="Q267" s="177">
        <v>75</v>
      </c>
      <c r="R267" s="40">
        <v>90</v>
      </c>
      <c r="S267" s="41">
        <v>50</v>
      </c>
      <c r="T267" s="42">
        <v>110</v>
      </c>
      <c r="U267" s="43">
        <v>80</v>
      </c>
      <c r="V267" s="44">
        <v>95</v>
      </c>
      <c r="W267" s="45">
        <f t="shared" si="83"/>
        <v>500</v>
      </c>
      <c r="X267" s="19">
        <f t="shared" si="84"/>
        <v>83.33</v>
      </c>
      <c r="Y267" s="3">
        <v>75</v>
      </c>
      <c r="Z267" s="4">
        <v>90</v>
      </c>
      <c r="AA267" s="5">
        <v>50</v>
      </c>
      <c r="AB267" s="6">
        <v>110</v>
      </c>
      <c r="AC267" s="7">
        <v>80</v>
      </c>
      <c r="AD267" s="8">
        <v>95</v>
      </c>
      <c r="AE267" s="1">
        <v>500</v>
      </c>
      <c r="AF267" s="19">
        <v>83.33</v>
      </c>
      <c r="AG267" s="139">
        <v>75</v>
      </c>
      <c r="AH267" s="140">
        <v>90</v>
      </c>
      <c r="AI267" s="141">
        <v>50</v>
      </c>
      <c r="AJ267" s="142">
        <v>110</v>
      </c>
      <c r="AK267" s="143">
        <v>80</v>
      </c>
      <c r="AL267" s="144">
        <v>95</v>
      </c>
      <c r="AM267" s="138">
        <v>500</v>
      </c>
      <c r="AN267" s="153">
        <v>83.33</v>
      </c>
      <c r="AW267" s="45"/>
      <c r="AX267" s="174" t="b">
        <f>IF('Refined Compare'!$D$2="All",TRUE,IF(F267='Refined Compare'!$D$2,TRUE,IF(G267='Refined Compare'!$D$2,TRUE,FALSE)))</f>
        <v>1</v>
      </c>
      <c r="AY267" s="174" t="b">
        <f>IF('Refined Compare'!$D$3="All",TRUE,IF(F267='Refined Compare'!$D$3,TRUE,IF(G267='Refined Compare'!$D$3,TRUE,FALSE)))</f>
        <v>0</v>
      </c>
      <c r="AZ267" s="174" t="b">
        <f t="shared" si="101"/>
        <v>1</v>
      </c>
    </row>
    <row r="268" spans="1:52" x14ac:dyDescent="0.35">
      <c r="A268">
        <f t="shared" si="82"/>
        <v>267</v>
      </c>
      <c r="B268" s="62">
        <v>229</v>
      </c>
      <c r="C268" s="61">
        <v>6</v>
      </c>
      <c r="D268" s="118" t="b">
        <f>IF(AZ268,TRUE,FALSE)</f>
        <v>0</v>
      </c>
      <c r="E268" s="61" t="s">
        <v>801</v>
      </c>
      <c r="F268" s="66" t="s">
        <v>823</v>
      </c>
      <c r="G268" s="66" t="s">
        <v>808</v>
      </c>
      <c r="H268" s="2" t="s">
        <v>738</v>
      </c>
      <c r="I268" s="39">
        <f t="shared" si="93"/>
        <v>0</v>
      </c>
      <c r="J268" s="40">
        <f t="shared" si="94"/>
        <v>0</v>
      </c>
      <c r="K268" s="41">
        <f t="shared" si="95"/>
        <v>0</v>
      </c>
      <c r="L268" s="42">
        <f t="shared" si="96"/>
        <v>0</v>
      </c>
      <c r="M268" s="43">
        <f t="shared" si="97"/>
        <v>0</v>
      </c>
      <c r="N268" s="44">
        <f t="shared" si="98"/>
        <v>0</v>
      </c>
      <c r="O268" s="45">
        <f t="shared" si="99"/>
        <v>0</v>
      </c>
      <c r="P268" s="19">
        <f t="shared" si="100"/>
        <v>0</v>
      </c>
      <c r="Q268" s="177">
        <v>75</v>
      </c>
      <c r="R268" s="40">
        <v>90</v>
      </c>
      <c r="S268" s="41">
        <v>90</v>
      </c>
      <c r="T268" s="42">
        <v>140</v>
      </c>
      <c r="U268" s="43">
        <v>90</v>
      </c>
      <c r="V268" s="44">
        <v>115</v>
      </c>
      <c r="W268" s="45">
        <f t="shared" si="83"/>
        <v>600</v>
      </c>
      <c r="X268" s="19">
        <f t="shared" si="84"/>
        <v>100</v>
      </c>
      <c r="Y268" s="3">
        <v>75</v>
      </c>
      <c r="Z268" s="4">
        <v>90</v>
      </c>
      <c r="AA268" s="5">
        <v>90</v>
      </c>
      <c r="AB268" s="6">
        <v>140</v>
      </c>
      <c r="AC268" s="7">
        <v>90</v>
      </c>
      <c r="AD268" s="8">
        <v>115</v>
      </c>
      <c r="AE268" s="1">
        <v>600</v>
      </c>
      <c r="AF268" s="19">
        <v>100</v>
      </c>
      <c r="AN268" s="172"/>
      <c r="AV268" s="174"/>
      <c r="AW268" s="45"/>
      <c r="AX268" s="174" t="b">
        <f>IF('Refined Compare'!$D$2="All",TRUE,IF(F268='Refined Compare'!$D$2,TRUE,IF(G268='Refined Compare'!$D$2,TRUE,FALSE)))</f>
        <v>1</v>
      </c>
      <c r="AY268" s="174" t="b">
        <f>IF('Refined Compare'!$D$3="All",TRUE,IF(F268='Refined Compare'!$D$3,TRUE,IF(G268='Refined Compare'!$D$3,TRUE,FALSE)))</f>
        <v>0</v>
      </c>
      <c r="AZ268" s="174" t="b">
        <f t="shared" si="101"/>
        <v>0</v>
      </c>
    </row>
    <row r="269" spans="1:52" x14ac:dyDescent="0.35">
      <c r="A269">
        <f t="shared" si="82"/>
        <v>268</v>
      </c>
      <c r="B269" s="18">
        <v>230</v>
      </c>
      <c r="C269" s="61">
        <v>2</v>
      </c>
      <c r="D269" s="118" t="b">
        <v>1</v>
      </c>
      <c r="E269" s="61"/>
      <c r="F269" s="66" t="s">
        <v>810</v>
      </c>
      <c r="G269" s="66" t="s">
        <v>822</v>
      </c>
      <c r="H269" s="2" t="s">
        <v>552</v>
      </c>
      <c r="I269" s="39">
        <f t="shared" si="93"/>
        <v>75</v>
      </c>
      <c r="J269" s="40">
        <f t="shared" si="94"/>
        <v>95</v>
      </c>
      <c r="K269" s="41">
        <f t="shared" si="95"/>
        <v>95</v>
      </c>
      <c r="L269" s="42">
        <f t="shared" si="96"/>
        <v>95</v>
      </c>
      <c r="M269" s="43">
        <f t="shared" si="97"/>
        <v>95</v>
      </c>
      <c r="N269" s="44">
        <f t="shared" si="98"/>
        <v>85</v>
      </c>
      <c r="O269" s="45">
        <f t="shared" si="99"/>
        <v>540</v>
      </c>
      <c r="P269" s="19">
        <f t="shared" si="100"/>
        <v>90</v>
      </c>
      <c r="Q269" s="177">
        <v>75</v>
      </c>
      <c r="R269" s="40">
        <v>95</v>
      </c>
      <c r="S269" s="41">
        <v>95</v>
      </c>
      <c r="T269" s="42">
        <v>95</v>
      </c>
      <c r="U269" s="43">
        <v>95</v>
      </c>
      <c r="V269" s="44">
        <v>85</v>
      </c>
      <c r="W269" s="45">
        <f t="shared" si="83"/>
        <v>540</v>
      </c>
      <c r="X269" s="19">
        <f t="shared" si="84"/>
        <v>90</v>
      </c>
      <c r="Y269" s="3">
        <v>75</v>
      </c>
      <c r="Z269" s="4">
        <v>95</v>
      </c>
      <c r="AA269" s="5">
        <v>95</v>
      </c>
      <c r="AB269" s="6">
        <v>95</v>
      </c>
      <c r="AC269" s="7">
        <v>95</v>
      </c>
      <c r="AD269" s="8">
        <v>85</v>
      </c>
      <c r="AE269" s="1">
        <v>540</v>
      </c>
      <c r="AF269" s="19">
        <v>90</v>
      </c>
      <c r="AG269" s="139">
        <v>75</v>
      </c>
      <c r="AH269" s="140">
        <v>95</v>
      </c>
      <c r="AI269" s="141">
        <v>95</v>
      </c>
      <c r="AJ269" s="142">
        <v>95</v>
      </c>
      <c r="AK269" s="143">
        <v>95</v>
      </c>
      <c r="AL269" s="144">
        <v>85</v>
      </c>
      <c r="AM269" s="138">
        <v>540</v>
      </c>
      <c r="AN269" s="153">
        <v>90</v>
      </c>
      <c r="AW269" s="45"/>
      <c r="AX269" s="174" t="b">
        <f>IF('Refined Compare'!$D$2="All",TRUE,IF(F269='Refined Compare'!$D$2,TRUE,IF(G269='Refined Compare'!$D$2,TRUE,FALSE)))</f>
        <v>0</v>
      </c>
      <c r="AY269" s="174" t="b">
        <f>IF('Refined Compare'!$D$3="All",TRUE,IF(F269='Refined Compare'!$D$3,TRUE,IF(G269='Refined Compare'!$D$3,TRUE,FALSE)))</f>
        <v>0</v>
      </c>
      <c r="AZ269" s="174" t="b">
        <f t="shared" si="101"/>
        <v>1</v>
      </c>
    </row>
    <row r="270" spans="1:52" x14ac:dyDescent="0.35">
      <c r="A270">
        <f t="shared" si="82"/>
        <v>269</v>
      </c>
      <c r="B270" s="18">
        <v>231</v>
      </c>
      <c r="C270" s="61">
        <v>2</v>
      </c>
      <c r="D270" s="61" t="b">
        <v>0</v>
      </c>
      <c r="E270" s="61"/>
      <c r="F270" s="66" t="s">
        <v>814</v>
      </c>
      <c r="G270" s="66" t="s">
        <v>827</v>
      </c>
      <c r="H270" s="2" t="s">
        <v>135</v>
      </c>
      <c r="I270" s="39">
        <f t="shared" si="93"/>
        <v>90</v>
      </c>
      <c r="J270" s="40">
        <f t="shared" si="94"/>
        <v>60</v>
      </c>
      <c r="K270" s="41">
        <f t="shared" si="95"/>
        <v>60</v>
      </c>
      <c r="L270" s="42">
        <f t="shared" si="96"/>
        <v>40</v>
      </c>
      <c r="M270" s="43">
        <f t="shared" si="97"/>
        <v>40</v>
      </c>
      <c r="N270" s="44">
        <f t="shared" si="98"/>
        <v>40</v>
      </c>
      <c r="O270" s="45">
        <f t="shared" si="99"/>
        <v>330</v>
      </c>
      <c r="P270" s="19">
        <f t="shared" si="100"/>
        <v>55</v>
      </c>
      <c r="Q270" s="177">
        <v>90</v>
      </c>
      <c r="R270" s="40">
        <v>60</v>
      </c>
      <c r="S270" s="41">
        <v>60</v>
      </c>
      <c r="T270" s="42">
        <v>40</v>
      </c>
      <c r="U270" s="43">
        <v>40</v>
      </c>
      <c r="V270" s="44">
        <v>40</v>
      </c>
      <c r="W270" s="45">
        <f t="shared" si="83"/>
        <v>330</v>
      </c>
      <c r="X270" s="19">
        <f t="shared" si="84"/>
        <v>55</v>
      </c>
      <c r="Y270" s="3">
        <v>90</v>
      </c>
      <c r="Z270" s="4">
        <v>60</v>
      </c>
      <c r="AA270" s="5">
        <v>60</v>
      </c>
      <c r="AB270" s="6">
        <v>40</v>
      </c>
      <c r="AC270" s="7">
        <v>40</v>
      </c>
      <c r="AD270" s="8">
        <v>40</v>
      </c>
      <c r="AE270" s="1">
        <v>330</v>
      </c>
      <c r="AF270" s="19">
        <v>55</v>
      </c>
      <c r="AG270" s="139">
        <v>90</v>
      </c>
      <c r="AH270" s="140">
        <v>60</v>
      </c>
      <c r="AI270" s="141">
        <v>60</v>
      </c>
      <c r="AJ270" s="142">
        <v>40</v>
      </c>
      <c r="AK270" s="143">
        <v>40</v>
      </c>
      <c r="AL270" s="144">
        <v>40</v>
      </c>
      <c r="AM270" s="138">
        <v>330</v>
      </c>
      <c r="AN270" s="153">
        <v>55</v>
      </c>
      <c r="AW270" s="45"/>
      <c r="AX270" s="174" t="b">
        <f>IF('Refined Compare'!$D$2="All",TRUE,IF(F270='Refined Compare'!$D$2,TRUE,IF(G270='Refined Compare'!$D$2,TRUE,FALSE)))</f>
        <v>0</v>
      </c>
      <c r="AY270" s="174" t="b">
        <f>IF('Refined Compare'!$D$3="All",TRUE,IF(F270='Refined Compare'!$D$3,TRUE,IF(G270='Refined Compare'!$D$3,TRUE,FALSE)))</f>
        <v>1</v>
      </c>
      <c r="AZ270" s="174" t="b">
        <f t="shared" si="101"/>
        <v>1</v>
      </c>
    </row>
    <row r="271" spans="1:52" x14ac:dyDescent="0.35">
      <c r="A271">
        <f t="shared" ref="A271:A334" si="102">A270+1</f>
        <v>270</v>
      </c>
      <c r="B271" s="18">
        <v>232</v>
      </c>
      <c r="C271" s="61">
        <v>2</v>
      </c>
      <c r="D271" s="118" t="b">
        <v>1</v>
      </c>
      <c r="E271" s="61"/>
      <c r="F271" s="66" t="s">
        <v>814</v>
      </c>
      <c r="G271" s="66" t="s">
        <v>827</v>
      </c>
      <c r="H271" s="2" t="s">
        <v>224</v>
      </c>
      <c r="I271" s="39">
        <f t="shared" si="93"/>
        <v>90</v>
      </c>
      <c r="J271" s="40">
        <f t="shared" si="94"/>
        <v>120</v>
      </c>
      <c r="K271" s="41">
        <f t="shared" si="95"/>
        <v>120</v>
      </c>
      <c r="L271" s="42">
        <f t="shared" si="96"/>
        <v>60</v>
      </c>
      <c r="M271" s="43">
        <f t="shared" si="97"/>
        <v>60</v>
      </c>
      <c r="N271" s="44">
        <f t="shared" si="98"/>
        <v>50</v>
      </c>
      <c r="O271" s="45">
        <f t="shared" si="99"/>
        <v>500</v>
      </c>
      <c r="P271" s="19">
        <f t="shared" si="100"/>
        <v>83.33</v>
      </c>
      <c r="Q271" s="177">
        <v>90</v>
      </c>
      <c r="R271" s="40">
        <v>120</v>
      </c>
      <c r="S271" s="41">
        <v>120</v>
      </c>
      <c r="T271" s="42">
        <v>60</v>
      </c>
      <c r="U271" s="43">
        <v>60</v>
      </c>
      <c r="V271" s="44">
        <v>50</v>
      </c>
      <c r="W271" s="45">
        <f t="shared" si="83"/>
        <v>500</v>
      </c>
      <c r="X271" s="19">
        <f t="shared" si="84"/>
        <v>83.33</v>
      </c>
      <c r="Y271" s="3">
        <v>90</v>
      </c>
      <c r="Z271" s="4">
        <v>120</v>
      </c>
      <c r="AA271" s="5">
        <v>120</v>
      </c>
      <c r="AB271" s="6">
        <v>60</v>
      </c>
      <c r="AC271" s="7">
        <v>60</v>
      </c>
      <c r="AD271" s="8">
        <v>50</v>
      </c>
      <c r="AE271" s="1">
        <v>500</v>
      </c>
      <c r="AF271" s="19">
        <v>83.33</v>
      </c>
      <c r="AG271" s="139">
        <v>90</v>
      </c>
      <c r="AH271" s="140">
        <v>120</v>
      </c>
      <c r="AI271" s="141">
        <v>120</v>
      </c>
      <c r="AJ271" s="142">
        <v>60</v>
      </c>
      <c r="AK271" s="143">
        <v>60</v>
      </c>
      <c r="AL271" s="144">
        <v>50</v>
      </c>
      <c r="AM271" s="138">
        <v>500</v>
      </c>
      <c r="AN271" s="153">
        <v>83.33</v>
      </c>
      <c r="AW271" s="45"/>
      <c r="AX271" s="174" t="b">
        <f>IF('Refined Compare'!$D$2="All",TRUE,IF(F271='Refined Compare'!$D$2,TRUE,IF(G271='Refined Compare'!$D$2,TRUE,FALSE)))</f>
        <v>0</v>
      </c>
      <c r="AY271" s="174" t="b">
        <f>IF('Refined Compare'!$D$3="All",TRUE,IF(F271='Refined Compare'!$D$3,TRUE,IF(G271='Refined Compare'!$D$3,TRUE,FALSE)))</f>
        <v>1</v>
      </c>
      <c r="AZ271" s="174" t="b">
        <f t="shared" si="101"/>
        <v>1</v>
      </c>
    </row>
    <row r="272" spans="1:52" x14ac:dyDescent="0.35">
      <c r="A272">
        <f t="shared" si="102"/>
        <v>271</v>
      </c>
      <c r="B272" s="18">
        <v>233</v>
      </c>
      <c r="C272" s="61">
        <v>2</v>
      </c>
      <c r="D272" s="61" t="b">
        <v>0</v>
      </c>
      <c r="E272" s="61"/>
      <c r="F272" s="66" t="s">
        <v>812</v>
      </c>
      <c r="G272" s="66" t="s">
        <v>827</v>
      </c>
      <c r="H272" s="2" t="s">
        <v>322</v>
      </c>
      <c r="I272" s="39">
        <f t="shared" si="93"/>
        <v>85</v>
      </c>
      <c r="J272" s="40">
        <f t="shared" si="94"/>
        <v>80</v>
      </c>
      <c r="K272" s="41">
        <f t="shared" si="95"/>
        <v>90</v>
      </c>
      <c r="L272" s="42">
        <f t="shared" si="96"/>
        <v>105</v>
      </c>
      <c r="M272" s="43">
        <f t="shared" si="97"/>
        <v>95</v>
      </c>
      <c r="N272" s="44">
        <f t="shared" si="98"/>
        <v>60</v>
      </c>
      <c r="O272" s="45">
        <f t="shared" si="99"/>
        <v>515</v>
      </c>
      <c r="P272" s="19">
        <f t="shared" si="100"/>
        <v>85.83</v>
      </c>
      <c r="Q272" s="177">
        <v>85</v>
      </c>
      <c r="R272" s="40">
        <v>80</v>
      </c>
      <c r="S272" s="41">
        <v>90</v>
      </c>
      <c r="T272" s="42">
        <v>105</v>
      </c>
      <c r="U272" s="43">
        <v>95</v>
      </c>
      <c r="V272" s="44">
        <v>60</v>
      </c>
      <c r="W272" s="45">
        <f t="shared" si="83"/>
        <v>515</v>
      </c>
      <c r="X272" s="19">
        <f t="shared" si="84"/>
        <v>85.83</v>
      </c>
      <c r="Y272" s="3">
        <v>85</v>
      </c>
      <c r="Z272" s="4">
        <v>80</v>
      </c>
      <c r="AA272" s="5">
        <v>90</v>
      </c>
      <c r="AB272" s="6">
        <v>105</v>
      </c>
      <c r="AC272" s="7">
        <v>95</v>
      </c>
      <c r="AD272" s="8">
        <v>60</v>
      </c>
      <c r="AE272" s="1">
        <v>515</v>
      </c>
      <c r="AF272" s="19">
        <v>85.83</v>
      </c>
      <c r="AG272" s="139">
        <v>85</v>
      </c>
      <c r="AH272" s="140">
        <v>80</v>
      </c>
      <c r="AI272" s="141">
        <v>90</v>
      </c>
      <c r="AJ272" s="142">
        <v>105</v>
      </c>
      <c r="AK272" s="143">
        <v>95</v>
      </c>
      <c r="AL272" s="144">
        <v>60</v>
      </c>
      <c r="AM272" s="138">
        <v>515</v>
      </c>
      <c r="AN272" s="153">
        <v>85.83</v>
      </c>
      <c r="AW272" s="45"/>
      <c r="AX272" s="174" t="b">
        <f>IF('Refined Compare'!$D$2="All",TRUE,IF(F272='Refined Compare'!$D$2,TRUE,IF(G272='Refined Compare'!$D$2,TRUE,FALSE)))</f>
        <v>0</v>
      </c>
      <c r="AY272" s="174" t="b">
        <f>IF('Refined Compare'!$D$3="All",TRUE,IF(F272='Refined Compare'!$D$3,TRUE,IF(G272='Refined Compare'!$D$3,TRUE,FALSE)))</f>
        <v>1</v>
      </c>
      <c r="AZ272" s="174" t="b">
        <f t="shared" si="101"/>
        <v>1</v>
      </c>
    </row>
    <row r="273" spans="1:52" x14ac:dyDescent="0.35">
      <c r="A273">
        <f t="shared" si="102"/>
        <v>272</v>
      </c>
      <c r="B273" s="18">
        <v>234</v>
      </c>
      <c r="C273" s="61">
        <v>2</v>
      </c>
      <c r="D273" s="118" t="b">
        <v>1</v>
      </c>
      <c r="E273" s="61"/>
      <c r="F273" s="66" t="s">
        <v>812</v>
      </c>
      <c r="G273" s="66" t="s">
        <v>827</v>
      </c>
      <c r="H273" s="2" t="s">
        <v>553</v>
      </c>
      <c r="I273" s="39">
        <f t="shared" si="93"/>
        <v>73</v>
      </c>
      <c r="J273" s="40">
        <f t="shared" si="94"/>
        <v>95</v>
      </c>
      <c r="K273" s="41">
        <f t="shared" si="95"/>
        <v>62</v>
      </c>
      <c r="L273" s="42">
        <f t="shared" si="96"/>
        <v>85</v>
      </c>
      <c r="M273" s="43">
        <f t="shared" si="97"/>
        <v>65</v>
      </c>
      <c r="N273" s="44">
        <f t="shared" si="98"/>
        <v>85</v>
      </c>
      <c r="O273" s="45">
        <f t="shared" si="99"/>
        <v>465</v>
      </c>
      <c r="P273" s="19">
        <f t="shared" si="100"/>
        <v>77.5</v>
      </c>
      <c r="Q273" s="177">
        <v>73</v>
      </c>
      <c r="R273" s="40">
        <v>95</v>
      </c>
      <c r="S273" s="41">
        <v>62</v>
      </c>
      <c r="T273" s="42">
        <v>85</v>
      </c>
      <c r="U273" s="43">
        <v>65</v>
      </c>
      <c r="V273" s="44">
        <v>85</v>
      </c>
      <c r="W273" s="45">
        <f t="shared" si="83"/>
        <v>465</v>
      </c>
      <c r="X273" s="19">
        <f t="shared" si="84"/>
        <v>77.5</v>
      </c>
      <c r="Y273" s="3">
        <v>73</v>
      </c>
      <c r="Z273" s="4">
        <v>95</v>
      </c>
      <c r="AA273" s="5">
        <v>62</v>
      </c>
      <c r="AB273" s="6">
        <v>85</v>
      </c>
      <c r="AC273" s="7">
        <v>65</v>
      </c>
      <c r="AD273" s="8">
        <v>85</v>
      </c>
      <c r="AE273" s="1">
        <v>465</v>
      </c>
      <c r="AF273" s="19">
        <v>77.5</v>
      </c>
      <c r="AG273" s="139">
        <v>73</v>
      </c>
      <c r="AH273" s="140">
        <v>95</v>
      </c>
      <c r="AI273" s="141">
        <v>62</v>
      </c>
      <c r="AJ273" s="142">
        <v>85</v>
      </c>
      <c r="AK273" s="143">
        <v>65</v>
      </c>
      <c r="AL273" s="144">
        <v>85</v>
      </c>
      <c r="AM273" s="138">
        <v>465</v>
      </c>
      <c r="AN273" s="153">
        <v>77.5</v>
      </c>
      <c r="AW273" s="45"/>
      <c r="AX273" s="174" t="b">
        <f>IF('Refined Compare'!$D$2="All",TRUE,IF(F273='Refined Compare'!$D$2,TRUE,IF(G273='Refined Compare'!$D$2,TRUE,FALSE)))</f>
        <v>0</v>
      </c>
      <c r="AY273" s="174" t="b">
        <f>IF('Refined Compare'!$D$3="All",TRUE,IF(F273='Refined Compare'!$D$3,TRUE,IF(G273='Refined Compare'!$D$3,TRUE,FALSE)))</f>
        <v>1</v>
      </c>
      <c r="AZ273" s="174" t="b">
        <f t="shared" si="101"/>
        <v>1</v>
      </c>
    </row>
    <row r="274" spans="1:52" x14ac:dyDescent="0.35">
      <c r="A274">
        <f t="shared" si="102"/>
        <v>273</v>
      </c>
      <c r="B274" s="18">
        <v>235</v>
      </c>
      <c r="C274" s="61">
        <v>2</v>
      </c>
      <c r="D274" s="118" t="b">
        <v>1</v>
      </c>
      <c r="E274" s="61"/>
      <c r="F274" s="66" t="s">
        <v>812</v>
      </c>
      <c r="G274" s="66" t="s">
        <v>827</v>
      </c>
      <c r="H274" s="2" t="s">
        <v>476</v>
      </c>
      <c r="I274" s="39">
        <f t="shared" si="93"/>
        <v>55</v>
      </c>
      <c r="J274" s="40">
        <f t="shared" si="94"/>
        <v>20</v>
      </c>
      <c r="K274" s="41">
        <f t="shared" si="95"/>
        <v>35</v>
      </c>
      <c r="L274" s="42">
        <f t="shared" si="96"/>
        <v>20</v>
      </c>
      <c r="M274" s="43">
        <f t="shared" si="97"/>
        <v>45</v>
      </c>
      <c r="N274" s="44">
        <f t="shared" si="98"/>
        <v>75</v>
      </c>
      <c r="O274" s="45">
        <f t="shared" si="99"/>
        <v>250</v>
      </c>
      <c r="P274" s="19">
        <f t="shared" si="100"/>
        <v>41.67</v>
      </c>
      <c r="Q274" s="177">
        <v>55</v>
      </c>
      <c r="R274" s="40">
        <v>20</v>
      </c>
      <c r="S274" s="41">
        <v>35</v>
      </c>
      <c r="T274" s="42">
        <v>20</v>
      </c>
      <c r="U274" s="43">
        <v>45</v>
      </c>
      <c r="V274" s="44">
        <v>75</v>
      </c>
      <c r="W274" s="45">
        <f t="shared" si="83"/>
        <v>250</v>
      </c>
      <c r="X274" s="19">
        <f t="shared" si="84"/>
        <v>41.67</v>
      </c>
      <c r="Y274" s="3">
        <v>55</v>
      </c>
      <c r="Z274" s="4">
        <v>20</v>
      </c>
      <c r="AA274" s="5">
        <v>35</v>
      </c>
      <c r="AB274" s="6">
        <v>20</v>
      </c>
      <c r="AC274" s="7">
        <v>45</v>
      </c>
      <c r="AD274" s="8">
        <v>75</v>
      </c>
      <c r="AE274" s="1">
        <v>250</v>
      </c>
      <c r="AF274" s="19">
        <v>41.67</v>
      </c>
      <c r="AG274" s="139">
        <v>55</v>
      </c>
      <c r="AH274" s="140">
        <v>20</v>
      </c>
      <c r="AI274" s="141">
        <v>35</v>
      </c>
      <c r="AJ274" s="142">
        <v>20</v>
      </c>
      <c r="AK274" s="143">
        <v>45</v>
      </c>
      <c r="AL274" s="144">
        <v>75</v>
      </c>
      <c r="AM274" s="138">
        <v>250</v>
      </c>
      <c r="AN274" s="153">
        <v>41.67</v>
      </c>
      <c r="AW274" s="45"/>
      <c r="AX274" s="174" t="b">
        <f>IF('Refined Compare'!$D$2="All",TRUE,IF(F274='Refined Compare'!$D$2,TRUE,IF(G274='Refined Compare'!$D$2,TRUE,FALSE)))</f>
        <v>0</v>
      </c>
      <c r="AY274" s="174" t="b">
        <f>IF('Refined Compare'!$D$3="All",TRUE,IF(F274='Refined Compare'!$D$3,TRUE,IF(G274='Refined Compare'!$D$3,TRUE,FALSE)))</f>
        <v>1</v>
      </c>
      <c r="AZ274" s="174" t="b">
        <f t="shared" si="101"/>
        <v>1</v>
      </c>
    </row>
    <row r="275" spans="1:52" x14ac:dyDescent="0.35">
      <c r="A275">
        <f t="shared" si="102"/>
        <v>274</v>
      </c>
      <c r="B275" s="18">
        <v>236</v>
      </c>
      <c r="C275" s="61">
        <v>2</v>
      </c>
      <c r="D275" s="61" t="b">
        <v>0</v>
      </c>
      <c r="E275" s="61"/>
      <c r="F275" s="66" t="s">
        <v>816</v>
      </c>
      <c r="G275" s="66" t="s">
        <v>827</v>
      </c>
      <c r="H275" s="2" t="s">
        <v>105</v>
      </c>
      <c r="I275" s="39">
        <f t="shared" si="93"/>
        <v>35</v>
      </c>
      <c r="J275" s="40">
        <f t="shared" si="94"/>
        <v>35</v>
      </c>
      <c r="K275" s="41">
        <f t="shared" si="95"/>
        <v>35</v>
      </c>
      <c r="L275" s="42">
        <f t="shared" si="96"/>
        <v>35</v>
      </c>
      <c r="M275" s="43">
        <f t="shared" si="97"/>
        <v>35</v>
      </c>
      <c r="N275" s="44">
        <f t="shared" si="98"/>
        <v>35</v>
      </c>
      <c r="O275" s="45">
        <f t="shared" si="99"/>
        <v>210</v>
      </c>
      <c r="P275" s="19">
        <f t="shared" si="100"/>
        <v>35</v>
      </c>
      <c r="Q275" s="177">
        <v>35</v>
      </c>
      <c r="R275" s="40">
        <v>35</v>
      </c>
      <c r="S275" s="41">
        <v>35</v>
      </c>
      <c r="T275" s="42">
        <v>35</v>
      </c>
      <c r="U275" s="43">
        <v>35</v>
      </c>
      <c r="V275" s="44">
        <v>35</v>
      </c>
      <c r="W275" s="45">
        <f t="shared" si="83"/>
        <v>210</v>
      </c>
      <c r="X275" s="19">
        <f t="shared" si="84"/>
        <v>35</v>
      </c>
      <c r="Y275" s="3">
        <v>35</v>
      </c>
      <c r="Z275" s="4">
        <v>35</v>
      </c>
      <c r="AA275" s="5">
        <v>35</v>
      </c>
      <c r="AB275" s="6">
        <v>35</v>
      </c>
      <c r="AC275" s="7">
        <v>35</v>
      </c>
      <c r="AD275" s="8">
        <v>35</v>
      </c>
      <c r="AE275" s="1">
        <v>210</v>
      </c>
      <c r="AF275" s="19">
        <v>35</v>
      </c>
      <c r="AG275" s="139">
        <v>35</v>
      </c>
      <c r="AH275" s="140">
        <v>35</v>
      </c>
      <c r="AI275" s="141">
        <v>35</v>
      </c>
      <c r="AJ275" s="142">
        <v>35</v>
      </c>
      <c r="AK275" s="143">
        <v>35</v>
      </c>
      <c r="AL275" s="144">
        <v>35</v>
      </c>
      <c r="AM275" s="138">
        <v>210</v>
      </c>
      <c r="AN275" s="153">
        <v>35</v>
      </c>
      <c r="AW275" s="45"/>
      <c r="AX275" s="174" t="b">
        <f>IF('Refined Compare'!$D$2="All",TRUE,IF(F275='Refined Compare'!$D$2,TRUE,IF(G275='Refined Compare'!$D$2,TRUE,FALSE)))</f>
        <v>0</v>
      </c>
      <c r="AY275" s="174" t="b">
        <f>IF('Refined Compare'!$D$3="All",TRUE,IF(F275='Refined Compare'!$D$3,TRUE,IF(G275='Refined Compare'!$D$3,TRUE,FALSE)))</f>
        <v>1</v>
      </c>
      <c r="AZ275" s="174" t="b">
        <f t="shared" si="101"/>
        <v>1</v>
      </c>
    </row>
    <row r="276" spans="1:52" x14ac:dyDescent="0.35">
      <c r="A276">
        <f t="shared" si="102"/>
        <v>275</v>
      </c>
      <c r="B276" s="18">
        <v>237</v>
      </c>
      <c r="C276" s="61">
        <v>2</v>
      </c>
      <c r="D276" s="118" t="b">
        <v>1</v>
      </c>
      <c r="E276" s="61"/>
      <c r="F276" s="66" t="s">
        <v>816</v>
      </c>
      <c r="G276" s="66" t="s">
        <v>827</v>
      </c>
      <c r="H276" s="2" t="s">
        <v>434</v>
      </c>
      <c r="I276" s="39">
        <f t="shared" si="93"/>
        <v>50</v>
      </c>
      <c r="J276" s="40">
        <f t="shared" si="94"/>
        <v>95</v>
      </c>
      <c r="K276" s="41">
        <f t="shared" si="95"/>
        <v>95</v>
      </c>
      <c r="L276" s="42">
        <f t="shared" si="96"/>
        <v>35</v>
      </c>
      <c r="M276" s="43">
        <f t="shared" si="97"/>
        <v>110</v>
      </c>
      <c r="N276" s="44">
        <f t="shared" si="98"/>
        <v>70</v>
      </c>
      <c r="O276" s="45">
        <f t="shared" si="99"/>
        <v>455</v>
      </c>
      <c r="P276" s="19">
        <f t="shared" si="100"/>
        <v>75.83</v>
      </c>
      <c r="Q276" s="177">
        <v>50</v>
      </c>
      <c r="R276" s="40">
        <v>95</v>
      </c>
      <c r="S276" s="41">
        <v>95</v>
      </c>
      <c r="T276" s="42">
        <v>35</v>
      </c>
      <c r="U276" s="43">
        <v>110</v>
      </c>
      <c r="V276" s="44">
        <v>70</v>
      </c>
      <c r="W276" s="45">
        <f t="shared" si="83"/>
        <v>455</v>
      </c>
      <c r="X276" s="19">
        <f t="shared" si="84"/>
        <v>75.83</v>
      </c>
      <c r="Y276" s="3">
        <v>50</v>
      </c>
      <c r="Z276" s="4">
        <v>95</v>
      </c>
      <c r="AA276" s="5">
        <v>95</v>
      </c>
      <c r="AB276" s="6">
        <v>35</v>
      </c>
      <c r="AC276" s="7">
        <v>110</v>
      </c>
      <c r="AD276" s="8">
        <v>70</v>
      </c>
      <c r="AE276" s="1">
        <v>455</v>
      </c>
      <c r="AF276" s="19">
        <v>75.83</v>
      </c>
      <c r="AG276" s="139">
        <v>50</v>
      </c>
      <c r="AH276" s="140">
        <v>95</v>
      </c>
      <c r="AI276" s="141">
        <v>95</v>
      </c>
      <c r="AJ276" s="142">
        <v>35</v>
      </c>
      <c r="AK276" s="143">
        <v>110</v>
      </c>
      <c r="AL276" s="144">
        <v>70</v>
      </c>
      <c r="AM276" s="138">
        <v>455</v>
      </c>
      <c r="AN276" s="153">
        <v>75.83</v>
      </c>
      <c r="AW276" s="45"/>
      <c r="AX276" s="174" t="b">
        <f>IF('Refined Compare'!$D$2="All",TRUE,IF(F276='Refined Compare'!$D$2,TRUE,IF(G276='Refined Compare'!$D$2,TRUE,FALSE)))</f>
        <v>0</v>
      </c>
      <c r="AY276" s="174" t="b">
        <f>IF('Refined Compare'!$D$3="All",TRUE,IF(F276='Refined Compare'!$D$3,TRUE,IF(G276='Refined Compare'!$D$3,TRUE,FALSE)))</f>
        <v>1</v>
      </c>
      <c r="AZ276" s="174" t="b">
        <f t="shared" si="101"/>
        <v>1</v>
      </c>
    </row>
    <row r="277" spans="1:52" x14ac:dyDescent="0.35">
      <c r="A277">
        <f t="shared" si="102"/>
        <v>276</v>
      </c>
      <c r="B277" s="18">
        <v>238</v>
      </c>
      <c r="C277" s="61">
        <v>2</v>
      </c>
      <c r="D277" s="61" t="b">
        <v>0</v>
      </c>
      <c r="E277" s="61"/>
      <c r="F277" s="66" t="s">
        <v>820</v>
      </c>
      <c r="G277" s="66" t="s">
        <v>817</v>
      </c>
      <c r="H277" s="2" t="s">
        <v>377</v>
      </c>
      <c r="I277" s="39">
        <f t="shared" si="93"/>
        <v>45</v>
      </c>
      <c r="J277" s="40">
        <f t="shared" si="94"/>
        <v>30</v>
      </c>
      <c r="K277" s="41">
        <f t="shared" si="95"/>
        <v>15</v>
      </c>
      <c r="L277" s="42">
        <f t="shared" si="96"/>
        <v>85</v>
      </c>
      <c r="M277" s="43">
        <f t="shared" si="97"/>
        <v>65</v>
      </c>
      <c r="N277" s="44">
        <f t="shared" si="98"/>
        <v>65</v>
      </c>
      <c r="O277" s="45">
        <f t="shared" si="99"/>
        <v>305</v>
      </c>
      <c r="P277" s="19">
        <f t="shared" si="100"/>
        <v>50.83</v>
      </c>
      <c r="Q277" s="177">
        <v>45</v>
      </c>
      <c r="R277" s="40">
        <v>30</v>
      </c>
      <c r="S277" s="41">
        <v>15</v>
      </c>
      <c r="T277" s="42">
        <v>85</v>
      </c>
      <c r="U277" s="43">
        <v>65</v>
      </c>
      <c r="V277" s="44">
        <v>65</v>
      </c>
      <c r="W277" s="45">
        <f t="shared" si="83"/>
        <v>305</v>
      </c>
      <c r="X277" s="19">
        <f t="shared" si="84"/>
        <v>50.83</v>
      </c>
      <c r="Y277" s="3">
        <v>45</v>
      </c>
      <c r="Z277" s="4">
        <v>30</v>
      </c>
      <c r="AA277" s="5">
        <v>15</v>
      </c>
      <c r="AB277" s="6">
        <v>85</v>
      </c>
      <c r="AC277" s="7">
        <v>65</v>
      </c>
      <c r="AD277" s="8">
        <v>65</v>
      </c>
      <c r="AE277" s="1">
        <v>305</v>
      </c>
      <c r="AF277" s="19">
        <v>50.83</v>
      </c>
      <c r="AG277" s="139">
        <v>45</v>
      </c>
      <c r="AH277" s="140">
        <v>30</v>
      </c>
      <c r="AI277" s="141">
        <v>15</v>
      </c>
      <c r="AJ277" s="142">
        <v>85</v>
      </c>
      <c r="AK277" s="143">
        <v>65</v>
      </c>
      <c r="AL277" s="144">
        <v>65</v>
      </c>
      <c r="AM277" s="138">
        <v>305</v>
      </c>
      <c r="AN277" s="153">
        <v>50.83</v>
      </c>
      <c r="AW277" s="45"/>
      <c r="AX277" s="174" t="b">
        <f>IF('Refined Compare'!$D$2="All",TRUE,IF(F277='Refined Compare'!$D$2,TRUE,IF(G277='Refined Compare'!$D$2,TRUE,FALSE)))</f>
        <v>0</v>
      </c>
      <c r="AY277" s="174" t="b">
        <f>IF('Refined Compare'!$D$3="All",TRUE,IF(F277='Refined Compare'!$D$3,TRUE,IF(G277='Refined Compare'!$D$3,TRUE,FALSE)))</f>
        <v>0</v>
      </c>
      <c r="AZ277" s="174" t="b">
        <f t="shared" si="101"/>
        <v>1</v>
      </c>
    </row>
    <row r="278" spans="1:52" x14ac:dyDescent="0.35">
      <c r="A278">
        <f t="shared" si="102"/>
        <v>277</v>
      </c>
      <c r="B278" s="18">
        <v>239</v>
      </c>
      <c r="C278" s="61">
        <v>2</v>
      </c>
      <c r="D278" s="61" t="b">
        <v>0</v>
      </c>
      <c r="E278" s="61"/>
      <c r="F278" s="66" t="s">
        <v>813</v>
      </c>
      <c r="G278" s="66" t="s">
        <v>827</v>
      </c>
      <c r="H278" s="2" t="s">
        <v>623</v>
      </c>
      <c r="I278" s="39">
        <f t="shared" ref="I278:I341" si="103">IF($AW$2=7,Q278,IF($AW$2=6,Y278,IF($AW$2=1,AO278,AG278)))</f>
        <v>45</v>
      </c>
      <c r="J278" s="40">
        <f t="shared" ref="J278:J341" si="104">IF($AW$2=7,R278,IF($AW$2=6,Z278,IF($AW$2=1,AP278,AH278)))</f>
        <v>63</v>
      </c>
      <c r="K278" s="41">
        <f t="shared" ref="K278:K341" si="105">IF($AW$2=7,S278,IF($AW$2=6,AA278,IF($AW$2=1,AQ278,AI278)))</f>
        <v>37</v>
      </c>
      <c r="L278" s="42">
        <f t="shared" ref="L278:L341" si="106">IF($AW$2=7,T278,IF($AW$2=6,AB278,IF($AW$2=1,AR278,AJ278)))</f>
        <v>65</v>
      </c>
      <c r="M278" s="43">
        <f t="shared" ref="M278:M341" si="107">IF($AW$2=7,U278,IF($AW$2=6,AC278,IF($AW$2=1,AS278,AK278)))</f>
        <v>55</v>
      </c>
      <c r="N278" s="44">
        <f t="shared" ref="N278:N341" si="108">IF($AW$2=7,V278,IF($AW$2=6,AD278,IF($AW$2=1,AT278,AL278)))</f>
        <v>95</v>
      </c>
      <c r="O278" s="45">
        <f t="shared" ref="O278:O341" si="109">IF($AW$2=7,W278,IF($AW$2=6,AE278,IF($AW$2=1,AU278,AM278)))</f>
        <v>360</v>
      </c>
      <c r="P278" s="19">
        <f t="shared" ref="P278:P341" si="110">IF($AW$2=7,X278,IF($AW$2=6,AF278,IF($AW$2=1,AV278,AN278)))</f>
        <v>60</v>
      </c>
      <c r="Q278" s="177">
        <v>45</v>
      </c>
      <c r="R278" s="40">
        <v>63</v>
      </c>
      <c r="S278" s="41">
        <v>37</v>
      </c>
      <c r="T278" s="42">
        <v>65</v>
      </c>
      <c r="U278" s="43">
        <v>55</v>
      </c>
      <c r="V278" s="44">
        <v>95</v>
      </c>
      <c r="W278" s="45">
        <f t="shared" si="83"/>
        <v>360</v>
      </c>
      <c r="X278" s="19">
        <f t="shared" si="84"/>
        <v>60</v>
      </c>
      <c r="Y278" s="3">
        <v>45</v>
      </c>
      <c r="Z278" s="4">
        <v>63</v>
      </c>
      <c r="AA278" s="5">
        <v>37</v>
      </c>
      <c r="AB278" s="6">
        <v>65</v>
      </c>
      <c r="AC278" s="7">
        <v>55</v>
      </c>
      <c r="AD278" s="8">
        <v>95</v>
      </c>
      <c r="AE278" s="1">
        <v>360</v>
      </c>
      <c r="AF278" s="19">
        <v>60</v>
      </c>
      <c r="AG278" s="139">
        <v>45</v>
      </c>
      <c r="AH278" s="140">
        <v>63</v>
      </c>
      <c r="AI278" s="141">
        <v>37</v>
      </c>
      <c r="AJ278" s="142">
        <v>65</v>
      </c>
      <c r="AK278" s="143">
        <v>55</v>
      </c>
      <c r="AL278" s="144">
        <v>95</v>
      </c>
      <c r="AM278" s="138">
        <v>360</v>
      </c>
      <c r="AN278" s="153">
        <v>60</v>
      </c>
      <c r="AW278" s="45"/>
      <c r="AX278" s="174" t="b">
        <f>IF('Refined Compare'!$D$2="All",TRUE,IF(F278='Refined Compare'!$D$2,TRUE,IF(G278='Refined Compare'!$D$2,TRUE,FALSE)))</f>
        <v>0</v>
      </c>
      <c r="AY278" s="174" t="b">
        <f>IF('Refined Compare'!$D$3="All",TRUE,IF(F278='Refined Compare'!$D$3,TRUE,IF(G278='Refined Compare'!$D$3,TRUE,FALSE)))</f>
        <v>1</v>
      </c>
      <c r="AZ278" s="174" t="b">
        <f t="shared" si="101"/>
        <v>1</v>
      </c>
    </row>
    <row r="279" spans="1:52" x14ac:dyDescent="0.35">
      <c r="A279">
        <f t="shared" si="102"/>
        <v>278</v>
      </c>
      <c r="B279" s="18">
        <v>240</v>
      </c>
      <c r="C279" s="61">
        <v>2</v>
      </c>
      <c r="D279" s="61" t="b">
        <v>0</v>
      </c>
      <c r="E279" s="61"/>
      <c r="F279" s="66" t="s">
        <v>808</v>
      </c>
      <c r="G279" s="66" t="s">
        <v>827</v>
      </c>
      <c r="H279" s="2" t="s">
        <v>534</v>
      </c>
      <c r="I279" s="39">
        <f t="shared" si="103"/>
        <v>45</v>
      </c>
      <c r="J279" s="40">
        <f t="shared" si="104"/>
        <v>75</v>
      </c>
      <c r="K279" s="41">
        <f t="shared" si="105"/>
        <v>37</v>
      </c>
      <c r="L279" s="42">
        <f t="shared" si="106"/>
        <v>70</v>
      </c>
      <c r="M279" s="43">
        <f t="shared" si="107"/>
        <v>55</v>
      </c>
      <c r="N279" s="44">
        <f t="shared" si="108"/>
        <v>83</v>
      </c>
      <c r="O279" s="45">
        <f t="shared" si="109"/>
        <v>365</v>
      </c>
      <c r="P279" s="19">
        <f t="shared" si="110"/>
        <v>60.83</v>
      </c>
      <c r="Q279" s="177">
        <v>45</v>
      </c>
      <c r="R279" s="40">
        <v>75</v>
      </c>
      <c r="S279" s="41">
        <v>37</v>
      </c>
      <c r="T279" s="42">
        <v>70</v>
      </c>
      <c r="U279" s="43">
        <v>55</v>
      </c>
      <c r="V279" s="44">
        <v>83</v>
      </c>
      <c r="W279" s="45">
        <f t="shared" si="83"/>
        <v>365</v>
      </c>
      <c r="X279" s="19">
        <f t="shared" si="84"/>
        <v>60.83</v>
      </c>
      <c r="Y279" s="3">
        <v>45</v>
      </c>
      <c r="Z279" s="4">
        <v>75</v>
      </c>
      <c r="AA279" s="5">
        <v>37</v>
      </c>
      <c r="AB279" s="6">
        <v>70</v>
      </c>
      <c r="AC279" s="7">
        <v>55</v>
      </c>
      <c r="AD279" s="8">
        <v>83</v>
      </c>
      <c r="AE279" s="1">
        <v>365</v>
      </c>
      <c r="AF279" s="19">
        <v>60.83</v>
      </c>
      <c r="AG279" s="139">
        <v>45</v>
      </c>
      <c r="AH279" s="140">
        <v>75</v>
      </c>
      <c r="AI279" s="141">
        <v>37</v>
      </c>
      <c r="AJ279" s="142">
        <v>70</v>
      </c>
      <c r="AK279" s="143">
        <v>55</v>
      </c>
      <c r="AL279" s="144">
        <v>83</v>
      </c>
      <c r="AM279" s="138">
        <v>365</v>
      </c>
      <c r="AN279" s="153">
        <v>60.83</v>
      </c>
      <c r="AW279" s="45"/>
      <c r="AX279" s="174" t="b">
        <f>IF('Refined Compare'!$D$2="All",TRUE,IF(F279='Refined Compare'!$D$2,TRUE,IF(G279='Refined Compare'!$D$2,TRUE,FALSE)))</f>
        <v>0</v>
      </c>
      <c r="AY279" s="174" t="b">
        <f>IF('Refined Compare'!$D$3="All",TRUE,IF(F279='Refined Compare'!$D$3,TRUE,IF(G279='Refined Compare'!$D$3,TRUE,FALSE)))</f>
        <v>1</v>
      </c>
      <c r="AZ279" s="174" t="b">
        <f t="shared" si="101"/>
        <v>1</v>
      </c>
    </row>
    <row r="280" spans="1:52" x14ac:dyDescent="0.35">
      <c r="A280">
        <f t="shared" si="102"/>
        <v>279</v>
      </c>
      <c r="B280" s="18">
        <v>241</v>
      </c>
      <c r="C280" s="61">
        <v>2</v>
      </c>
      <c r="D280" s="118" t="b">
        <v>1</v>
      </c>
      <c r="E280" s="61"/>
      <c r="F280" s="66" t="s">
        <v>812</v>
      </c>
      <c r="G280" s="66" t="s">
        <v>827</v>
      </c>
      <c r="H280" s="2" t="s">
        <v>664</v>
      </c>
      <c r="I280" s="39">
        <f t="shared" si="103"/>
        <v>95</v>
      </c>
      <c r="J280" s="40">
        <f t="shared" si="104"/>
        <v>80</v>
      </c>
      <c r="K280" s="41">
        <f t="shared" si="105"/>
        <v>105</v>
      </c>
      <c r="L280" s="42">
        <f t="shared" si="106"/>
        <v>40</v>
      </c>
      <c r="M280" s="43">
        <f t="shared" si="107"/>
        <v>70</v>
      </c>
      <c r="N280" s="44">
        <f t="shared" si="108"/>
        <v>100</v>
      </c>
      <c r="O280" s="45">
        <f t="shared" si="109"/>
        <v>490</v>
      </c>
      <c r="P280" s="19">
        <f t="shared" si="110"/>
        <v>81.67</v>
      </c>
      <c r="Q280" s="177">
        <v>95</v>
      </c>
      <c r="R280" s="40">
        <v>80</v>
      </c>
      <c r="S280" s="41">
        <v>105</v>
      </c>
      <c r="T280" s="42">
        <v>40</v>
      </c>
      <c r="U280" s="43">
        <v>70</v>
      </c>
      <c r="V280" s="44">
        <v>100</v>
      </c>
      <c r="W280" s="45">
        <f t="shared" si="83"/>
        <v>490</v>
      </c>
      <c r="X280" s="19">
        <f t="shared" si="84"/>
        <v>81.67</v>
      </c>
      <c r="Y280" s="3">
        <v>95</v>
      </c>
      <c r="Z280" s="4">
        <v>80</v>
      </c>
      <c r="AA280" s="5">
        <v>105</v>
      </c>
      <c r="AB280" s="6">
        <v>40</v>
      </c>
      <c r="AC280" s="7">
        <v>70</v>
      </c>
      <c r="AD280" s="8">
        <v>100</v>
      </c>
      <c r="AE280" s="1">
        <v>490</v>
      </c>
      <c r="AF280" s="19">
        <v>81.67</v>
      </c>
      <c r="AG280" s="139">
        <v>95</v>
      </c>
      <c r="AH280" s="140">
        <v>80</v>
      </c>
      <c r="AI280" s="141">
        <v>105</v>
      </c>
      <c r="AJ280" s="142">
        <v>40</v>
      </c>
      <c r="AK280" s="143">
        <v>70</v>
      </c>
      <c r="AL280" s="144">
        <v>100</v>
      </c>
      <c r="AM280" s="138">
        <v>490</v>
      </c>
      <c r="AN280" s="153">
        <v>81.67</v>
      </c>
      <c r="AW280" s="45"/>
      <c r="AX280" s="174" t="b">
        <f>IF('Refined Compare'!$D$2="All",TRUE,IF(F280='Refined Compare'!$D$2,TRUE,IF(G280='Refined Compare'!$D$2,TRUE,FALSE)))</f>
        <v>0</v>
      </c>
      <c r="AY280" s="174" t="b">
        <f>IF('Refined Compare'!$D$3="All",TRUE,IF(F280='Refined Compare'!$D$3,TRUE,IF(G280='Refined Compare'!$D$3,TRUE,FALSE)))</f>
        <v>1</v>
      </c>
      <c r="AZ280" s="174" t="b">
        <f t="shared" si="101"/>
        <v>1</v>
      </c>
    </row>
    <row r="281" spans="1:52" x14ac:dyDescent="0.35">
      <c r="A281">
        <f t="shared" si="102"/>
        <v>280</v>
      </c>
      <c r="B281" s="18">
        <v>242</v>
      </c>
      <c r="C281" s="61">
        <v>2</v>
      </c>
      <c r="D281" s="118" t="b">
        <v>1</v>
      </c>
      <c r="E281" s="61"/>
      <c r="F281" s="66" t="s">
        <v>812</v>
      </c>
      <c r="G281" s="66" t="s">
        <v>827</v>
      </c>
      <c r="H281" s="38" t="s">
        <v>276</v>
      </c>
      <c r="I281" s="39">
        <f t="shared" si="103"/>
        <v>255</v>
      </c>
      <c r="J281" s="40">
        <f t="shared" si="104"/>
        <v>10</v>
      </c>
      <c r="K281" s="41">
        <f t="shared" si="105"/>
        <v>10</v>
      </c>
      <c r="L281" s="42">
        <f t="shared" si="106"/>
        <v>75</v>
      </c>
      <c r="M281" s="43">
        <f t="shared" si="107"/>
        <v>135</v>
      </c>
      <c r="N281" s="44">
        <f t="shared" si="108"/>
        <v>55</v>
      </c>
      <c r="O281" s="45">
        <f t="shared" si="109"/>
        <v>540</v>
      </c>
      <c r="P281" s="19">
        <f t="shared" si="110"/>
        <v>90</v>
      </c>
      <c r="Q281" s="177">
        <v>255</v>
      </c>
      <c r="R281" s="40">
        <v>10</v>
      </c>
      <c r="S281" s="41">
        <v>10</v>
      </c>
      <c r="T281" s="42">
        <v>75</v>
      </c>
      <c r="U281" s="43">
        <v>135</v>
      </c>
      <c r="V281" s="44">
        <v>55</v>
      </c>
      <c r="W281" s="45">
        <f t="shared" si="83"/>
        <v>540</v>
      </c>
      <c r="X281" s="19">
        <f t="shared" si="84"/>
        <v>90</v>
      </c>
      <c r="Y281" s="39">
        <v>255</v>
      </c>
      <c r="Z281" s="40">
        <v>10</v>
      </c>
      <c r="AA281" s="41">
        <v>10</v>
      </c>
      <c r="AB281" s="42">
        <v>75</v>
      </c>
      <c r="AC281" s="43">
        <v>135</v>
      </c>
      <c r="AD281" s="44">
        <v>55</v>
      </c>
      <c r="AE281" s="45">
        <v>540</v>
      </c>
      <c r="AF281" s="19">
        <v>90</v>
      </c>
      <c r="AG281" s="139">
        <v>255</v>
      </c>
      <c r="AH281" s="140">
        <v>10</v>
      </c>
      <c r="AI281" s="141">
        <v>10</v>
      </c>
      <c r="AJ281" s="142">
        <v>75</v>
      </c>
      <c r="AK281" s="143">
        <v>135</v>
      </c>
      <c r="AL281" s="144">
        <v>55</v>
      </c>
      <c r="AM281" s="138">
        <v>540</v>
      </c>
      <c r="AN281" s="153">
        <v>90</v>
      </c>
      <c r="AW281" s="45"/>
      <c r="AX281" s="174" t="b">
        <f>IF('Refined Compare'!$D$2="All",TRUE,IF(F281='Refined Compare'!$D$2,TRUE,IF(G281='Refined Compare'!$D$2,TRUE,FALSE)))</f>
        <v>0</v>
      </c>
      <c r="AY281" s="174" t="b">
        <f>IF('Refined Compare'!$D$3="All",TRUE,IF(F281='Refined Compare'!$D$3,TRUE,IF(G281='Refined Compare'!$D$3,TRUE,FALSE)))</f>
        <v>1</v>
      </c>
      <c r="AZ281" s="174" t="b">
        <f t="shared" si="101"/>
        <v>1</v>
      </c>
    </row>
    <row r="282" spans="1:52" x14ac:dyDescent="0.35">
      <c r="A282">
        <f t="shared" si="102"/>
        <v>281</v>
      </c>
      <c r="B282" s="18">
        <v>243</v>
      </c>
      <c r="C282" s="61">
        <v>2</v>
      </c>
      <c r="D282" s="118" t="b">
        <v>1</v>
      </c>
      <c r="E282" s="61"/>
      <c r="F282" s="66" t="s">
        <v>813</v>
      </c>
      <c r="G282" s="66" t="s">
        <v>827</v>
      </c>
      <c r="H282" s="2" t="s">
        <v>739</v>
      </c>
      <c r="I282" s="39">
        <f t="shared" si="103"/>
        <v>90</v>
      </c>
      <c r="J282" s="40">
        <f t="shared" si="104"/>
        <v>85</v>
      </c>
      <c r="K282" s="41">
        <f t="shared" si="105"/>
        <v>75</v>
      </c>
      <c r="L282" s="42">
        <f t="shared" si="106"/>
        <v>115</v>
      </c>
      <c r="M282" s="43">
        <f t="shared" si="107"/>
        <v>100</v>
      </c>
      <c r="N282" s="44">
        <f t="shared" si="108"/>
        <v>115</v>
      </c>
      <c r="O282" s="45">
        <f t="shared" si="109"/>
        <v>580</v>
      </c>
      <c r="P282" s="19">
        <f t="shared" si="110"/>
        <v>96.67</v>
      </c>
      <c r="Q282" s="177">
        <v>90</v>
      </c>
      <c r="R282" s="40">
        <v>85</v>
      </c>
      <c r="S282" s="41">
        <v>75</v>
      </c>
      <c r="T282" s="42">
        <v>115</v>
      </c>
      <c r="U282" s="43">
        <v>100</v>
      </c>
      <c r="V282" s="44">
        <v>115</v>
      </c>
      <c r="W282" s="45">
        <f t="shared" si="83"/>
        <v>580</v>
      </c>
      <c r="X282" s="19">
        <f t="shared" si="84"/>
        <v>96.67</v>
      </c>
      <c r="Y282" s="3">
        <v>90</v>
      </c>
      <c r="Z282" s="4">
        <v>85</v>
      </c>
      <c r="AA282" s="5">
        <v>75</v>
      </c>
      <c r="AB282" s="6">
        <v>115</v>
      </c>
      <c r="AC282" s="7">
        <v>100</v>
      </c>
      <c r="AD282" s="8">
        <v>115</v>
      </c>
      <c r="AE282" s="1">
        <v>580</v>
      </c>
      <c r="AF282" s="19">
        <v>96.67</v>
      </c>
      <c r="AG282" s="139">
        <v>90</v>
      </c>
      <c r="AH282" s="140">
        <v>85</v>
      </c>
      <c r="AI282" s="141">
        <v>75</v>
      </c>
      <c r="AJ282" s="142">
        <v>115</v>
      </c>
      <c r="AK282" s="143">
        <v>100</v>
      </c>
      <c r="AL282" s="144">
        <v>115</v>
      </c>
      <c r="AM282" s="138">
        <v>580</v>
      </c>
      <c r="AN282" s="153">
        <v>96.67</v>
      </c>
      <c r="AW282" s="45"/>
      <c r="AX282" s="174" t="b">
        <f>IF('Refined Compare'!$D$2="All",TRUE,IF(F282='Refined Compare'!$D$2,TRUE,IF(G282='Refined Compare'!$D$2,TRUE,FALSE)))</f>
        <v>0</v>
      </c>
      <c r="AY282" s="174" t="b">
        <f>IF('Refined Compare'!$D$3="All",TRUE,IF(F282='Refined Compare'!$D$3,TRUE,IF(G282='Refined Compare'!$D$3,TRUE,FALSE)))</f>
        <v>1</v>
      </c>
      <c r="AZ282" s="174" t="b">
        <f t="shared" si="101"/>
        <v>1</v>
      </c>
    </row>
    <row r="283" spans="1:52" x14ac:dyDescent="0.35">
      <c r="A283">
        <f t="shared" si="102"/>
        <v>282</v>
      </c>
      <c r="B283" s="18">
        <v>244</v>
      </c>
      <c r="C283" s="61">
        <v>2</v>
      </c>
      <c r="D283" s="118" t="b">
        <v>1</v>
      </c>
      <c r="E283" s="61"/>
      <c r="F283" s="66" t="s">
        <v>808</v>
      </c>
      <c r="G283" s="66" t="s">
        <v>827</v>
      </c>
      <c r="H283" s="2" t="s">
        <v>665</v>
      </c>
      <c r="I283" s="39">
        <f t="shared" si="103"/>
        <v>115</v>
      </c>
      <c r="J283" s="40">
        <f t="shared" si="104"/>
        <v>115</v>
      </c>
      <c r="K283" s="41">
        <f t="shared" si="105"/>
        <v>85</v>
      </c>
      <c r="L283" s="42">
        <f t="shared" si="106"/>
        <v>90</v>
      </c>
      <c r="M283" s="43">
        <f t="shared" si="107"/>
        <v>75</v>
      </c>
      <c r="N283" s="44">
        <f t="shared" si="108"/>
        <v>100</v>
      </c>
      <c r="O283" s="45">
        <f t="shared" si="109"/>
        <v>580</v>
      </c>
      <c r="P283" s="19">
        <f t="shared" si="110"/>
        <v>96.67</v>
      </c>
      <c r="Q283" s="177">
        <v>115</v>
      </c>
      <c r="R283" s="40">
        <v>115</v>
      </c>
      <c r="S283" s="41">
        <v>85</v>
      </c>
      <c r="T283" s="42">
        <v>90</v>
      </c>
      <c r="U283" s="43">
        <v>75</v>
      </c>
      <c r="V283" s="44">
        <v>100</v>
      </c>
      <c r="W283" s="45">
        <f t="shared" si="83"/>
        <v>580</v>
      </c>
      <c r="X283" s="19">
        <f t="shared" si="84"/>
        <v>96.67</v>
      </c>
      <c r="Y283" s="3">
        <v>115</v>
      </c>
      <c r="Z283" s="4">
        <v>115</v>
      </c>
      <c r="AA283" s="5">
        <v>85</v>
      </c>
      <c r="AB283" s="6">
        <v>90</v>
      </c>
      <c r="AC283" s="7">
        <v>75</v>
      </c>
      <c r="AD283" s="8">
        <v>100</v>
      </c>
      <c r="AE283" s="1">
        <v>580</v>
      </c>
      <c r="AF283" s="19">
        <v>96.67</v>
      </c>
      <c r="AG283" s="139">
        <v>115</v>
      </c>
      <c r="AH283" s="140">
        <v>115</v>
      </c>
      <c r="AI283" s="141">
        <v>85</v>
      </c>
      <c r="AJ283" s="142">
        <v>90</v>
      </c>
      <c r="AK283" s="143">
        <v>75</v>
      </c>
      <c r="AL283" s="144">
        <v>100</v>
      </c>
      <c r="AM283" s="138">
        <v>580</v>
      </c>
      <c r="AN283" s="153">
        <v>96.67</v>
      </c>
      <c r="AW283" s="45"/>
      <c r="AX283" s="174" t="b">
        <f>IF('Refined Compare'!$D$2="All",TRUE,IF(F283='Refined Compare'!$D$2,TRUE,IF(G283='Refined Compare'!$D$2,TRUE,FALSE)))</f>
        <v>0</v>
      </c>
      <c r="AY283" s="174" t="b">
        <f>IF('Refined Compare'!$D$3="All",TRUE,IF(F283='Refined Compare'!$D$3,TRUE,IF(G283='Refined Compare'!$D$3,TRUE,FALSE)))</f>
        <v>1</v>
      </c>
      <c r="AZ283" s="174" t="b">
        <f t="shared" si="101"/>
        <v>1</v>
      </c>
    </row>
    <row r="284" spans="1:52" x14ac:dyDescent="0.35">
      <c r="A284">
        <f t="shared" si="102"/>
        <v>283</v>
      </c>
      <c r="B284" s="18">
        <v>245</v>
      </c>
      <c r="C284" s="61">
        <v>2</v>
      </c>
      <c r="D284" s="118" t="b">
        <v>1</v>
      </c>
      <c r="E284" s="61"/>
      <c r="F284" s="66" t="s">
        <v>810</v>
      </c>
      <c r="G284" s="66" t="s">
        <v>827</v>
      </c>
      <c r="H284" s="2" t="s">
        <v>554</v>
      </c>
      <c r="I284" s="39">
        <f t="shared" si="103"/>
        <v>100</v>
      </c>
      <c r="J284" s="40">
        <f t="shared" si="104"/>
        <v>75</v>
      </c>
      <c r="K284" s="41">
        <f t="shared" si="105"/>
        <v>115</v>
      </c>
      <c r="L284" s="42">
        <f t="shared" si="106"/>
        <v>90</v>
      </c>
      <c r="M284" s="43">
        <f t="shared" si="107"/>
        <v>115</v>
      </c>
      <c r="N284" s="44">
        <f t="shared" si="108"/>
        <v>85</v>
      </c>
      <c r="O284" s="45">
        <f t="shared" si="109"/>
        <v>580</v>
      </c>
      <c r="P284" s="19">
        <f t="shared" si="110"/>
        <v>96.67</v>
      </c>
      <c r="Q284" s="177">
        <v>100</v>
      </c>
      <c r="R284" s="40">
        <v>75</v>
      </c>
      <c r="S284" s="41">
        <v>115</v>
      </c>
      <c r="T284" s="42">
        <v>90</v>
      </c>
      <c r="U284" s="43">
        <v>115</v>
      </c>
      <c r="V284" s="44">
        <v>85</v>
      </c>
      <c r="W284" s="45">
        <f t="shared" ref="W284:W347" si="111">SUM(Q284:V284)</f>
        <v>580</v>
      </c>
      <c r="X284" s="19">
        <f t="shared" ref="X284:X347" si="112">ROUND(AVERAGE(Q284:V284),2)</f>
        <v>96.67</v>
      </c>
      <c r="Y284" s="3">
        <v>100</v>
      </c>
      <c r="Z284" s="4">
        <v>75</v>
      </c>
      <c r="AA284" s="5">
        <v>115</v>
      </c>
      <c r="AB284" s="6">
        <v>90</v>
      </c>
      <c r="AC284" s="7">
        <v>115</v>
      </c>
      <c r="AD284" s="8">
        <v>85</v>
      </c>
      <c r="AE284" s="1">
        <v>580</v>
      </c>
      <c r="AF284" s="19">
        <v>96.67</v>
      </c>
      <c r="AG284" s="139">
        <v>100</v>
      </c>
      <c r="AH284" s="140">
        <v>75</v>
      </c>
      <c r="AI284" s="141">
        <v>115</v>
      </c>
      <c r="AJ284" s="142">
        <v>90</v>
      </c>
      <c r="AK284" s="143">
        <v>115</v>
      </c>
      <c r="AL284" s="144">
        <v>85</v>
      </c>
      <c r="AM284" s="138">
        <v>580</v>
      </c>
      <c r="AN284" s="153">
        <v>96.67</v>
      </c>
      <c r="AW284" s="45"/>
      <c r="AX284" s="174" t="b">
        <f>IF('Refined Compare'!$D$2="All",TRUE,IF(F284='Refined Compare'!$D$2,TRUE,IF(G284='Refined Compare'!$D$2,TRUE,FALSE)))</f>
        <v>0</v>
      </c>
      <c r="AY284" s="174" t="b">
        <f>IF('Refined Compare'!$D$3="All",TRUE,IF(F284='Refined Compare'!$D$3,TRUE,IF(G284='Refined Compare'!$D$3,TRUE,FALSE)))</f>
        <v>1</v>
      </c>
      <c r="AZ284" s="174" t="b">
        <f t="shared" si="101"/>
        <v>1</v>
      </c>
    </row>
    <row r="285" spans="1:52" x14ac:dyDescent="0.35">
      <c r="A285">
        <f t="shared" si="102"/>
        <v>284</v>
      </c>
      <c r="B285" s="18">
        <v>246</v>
      </c>
      <c r="C285" s="61">
        <v>2</v>
      </c>
      <c r="D285" s="61" t="b">
        <v>0</v>
      </c>
      <c r="E285" s="61"/>
      <c r="F285" s="66" t="s">
        <v>818</v>
      </c>
      <c r="G285" s="66" t="s">
        <v>814</v>
      </c>
      <c r="H285" s="2" t="s">
        <v>156</v>
      </c>
      <c r="I285" s="39">
        <f t="shared" si="103"/>
        <v>50</v>
      </c>
      <c r="J285" s="40">
        <f t="shared" si="104"/>
        <v>64</v>
      </c>
      <c r="K285" s="41">
        <f t="shared" si="105"/>
        <v>50</v>
      </c>
      <c r="L285" s="42">
        <f t="shared" si="106"/>
        <v>45</v>
      </c>
      <c r="M285" s="43">
        <f t="shared" si="107"/>
        <v>50</v>
      </c>
      <c r="N285" s="44">
        <f t="shared" si="108"/>
        <v>41</v>
      </c>
      <c r="O285" s="45">
        <f t="shared" si="109"/>
        <v>300</v>
      </c>
      <c r="P285" s="19">
        <f t="shared" si="110"/>
        <v>50</v>
      </c>
      <c r="Q285" s="177">
        <v>50</v>
      </c>
      <c r="R285" s="40">
        <v>64</v>
      </c>
      <c r="S285" s="41">
        <v>50</v>
      </c>
      <c r="T285" s="42">
        <v>45</v>
      </c>
      <c r="U285" s="43">
        <v>50</v>
      </c>
      <c r="V285" s="44">
        <v>41</v>
      </c>
      <c r="W285" s="45">
        <f t="shared" si="111"/>
        <v>300</v>
      </c>
      <c r="X285" s="19">
        <f t="shared" si="112"/>
        <v>50</v>
      </c>
      <c r="Y285" s="3">
        <v>50</v>
      </c>
      <c r="Z285" s="4">
        <v>64</v>
      </c>
      <c r="AA285" s="5">
        <v>50</v>
      </c>
      <c r="AB285" s="6">
        <v>45</v>
      </c>
      <c r="AC285" s="7">
        <v>50</v>
      </c>
      <c r="AD285" s="8">
        <v>41</v>
      </c>
      <c r="AE285" s="1">
        <v>300</v>
      </c>
      <c r="AF285" s="19">
        <v>50</v>
      </c>
      <c r="AG285" s="139">
        <v>50</v>
      </c>
      <c r="AH285" s="140">
        <v>64</v>
      </c>
      <c r="AI285" s="141">
        <v>50</v>
      </c>
      <c r="AJ285" s="142">
        <v>45</v>
      </c>
      <c r="AK285" s="143">
        <v>50</v>
      </c>
      <c r="AL285" s="144">
        <v>41</v>
      </c>
      <c r="AM285" s="138">
        <v>300</v>
      </c>
      <c r="AN285" s="153">
        <v>50</v>
      </c>
      <c r="AW285" s="45"/>
      <c r="AX285" s="174" t="b">
        <f>IF('Refined Compare'!$D$2="All",TRUE,IF(F285='Refined Compare'!$D$2,TRUE,IF(G285='Refined Compare'!$D$2,TRUE,FALSE)))</f>
        <v>0</v>
      </c>
      <c r="AY285" s="174" t="b">
        <f>IF('Refined Compare'!$D$3="All",TRUE,IF(F285='Refined Compare'!$D$3,TRUE,IF(G285='Refined Compare'!$D$3,TRUE,FALSE)))</f>
        <v>0</v>
      </c>
      <c r="AZ285" s="174" t="b">
        <f t="shared" si="101"/>
        <v>1</v>
      </c>
    </row>
    <row r="286" spans="1:52" x14ac:dyDescent="0.35">
      <c r="A286">
        <f t="shared" si="102"/>
        <v>285</v>
      </c>
      <c r="B286" s="18">
        <v>247</v>
      </c>
      <c r="C286" s="61">
        <v>2</v>
      </c>
      <c r="D286" s="61" t="b">
        <v>0</v>
      </c>
      <c r="E286" s="61"/>
      <c r="F286" s="66" t="s">
        <v>818</v>
      </c>
      <c r="G286" s="66" t="s">
        <v>814</v>
      </c>
      <c r="H286" s="2" t="s">
        <v>257</v>
      </c>
      <c r="I286" s="39">
        <f t="shared" si="103"/>
        <v>70</v>
      </c>
      <c r="J286" s="40">
        <f t="shared" si="104"/>
        <v>84</v>
      </c>
      <c r="K286" s="41">
        <f t="shared" si="105"/>
        <v>70</v>
      </c>
      <c r="L286" s="42">
        <f t="shared" si="106"/>
        <v>65</v>
      </c>
      <c r="M286" s="43">
        <f t="shared" si="107"/>
        <v>70</v>
      </c>
      <c r="N286" s="44">
        <f t="shared" si="108"/>
        <v>51</v>
      </c>
      <c r="O286" s="45">
        <f t="shared" si="109"/>
        <v>410</v>
      </c>
      <c r="P286" s="19">
        <f t="shared" si="110"/>
        <v>68.33</v>
      </c>
      <c r="Q286" s="177">
        <v>70</v>
      </c>
      <c r="R286" s="40">
        <v>84</v>
      </c>
      <c r="S286" s="41">
        <v>70</v>
      </c>
      <c r="T286" s="42">
        <v>65</v>
      </c>
      <c r="U286" s="43">
        <v>70</v>
      </c>
      <c r="V286" s="44">
        <v>51</v>
      </c>
      <c r="W286" s="45">
        <f t="shared" si="111"/>
        <v>410</v>
      </c>
      <c r="X286" s="19">
        <f t="shared" si="112"/>
        <v>68.33</v>
      </c>
      <c r="Y286" s="3">
        <v>70</v>
      </c>
      <c r="Z286" s="4">
        <v>84</v>
      </c>
      <c r="AA286" s="5">
        <v>70</v>
      </c>
      <c r="AB286" s="6">
        <v>65</v>
      </c>
      <c r="AC286" s="7">
        <v>70</v>
      </c>
      <c r="AD286" s="8">
        <v>51</v>
      </c>
      <c r="AE286" s="1">
        <v>410</v>
      </c>
      <c r="AF286" s="19">
        <v>68.33</v>
      </c>
      <c r="AG286" s="139">
        <v>70</v>
      </c>
      <c r="AH286" s="140">
        <v>84</v>
      </c>
      <c r="AI286" s="141">
        <v>70</v>
      </c>
      <c r="AJ286" s="142">
        <v>65</v>
      </c>
      <c r="AK286" s="143">
        <v>70</v>
      </c>
      <c r="AL286" s="144">
        <v>51</v>
      </c>
      <c r="AM286" s="138">
        <v>410</v>
      </c>
      <c r="AN286" s="153">
        <v>68.33</v>
      </c>
      <c r="AW286" s="45"/>
      <c r="AX286" s="174" t="b">
        <f>IF('Refined Compare'!$D$2="All",TRUE,IF(F286='Refined Compare'!$D$2,TRUE,IF(G286='Refined Compare'!$D$2,TRUE,FALSE)))</f>
        <v>0</v>
      </c>
      <c r="AY286" s="174" t="b">
        <f>IF('Refined Compare'!$D$3="All",TRUE,IF(F286='Refined Compare'!$D$3,TRUE,IF(G286='Refined Compare'!$D$3,TRUE,FALSE)))</f>
        <v>0</v>
      </c>
      <c r="AZ286" s="174" t="b">
        <f t="shared" si="101"/>
        <v>1</v>
      </c>
    </row>
    <row r="287" spans="1:52" x14ac:dyDescent="0.35">
      <c r="A287">
        <f t="shared" si="102"/>
        <v>286</v>
      </c>
      <c r="B287" s="18">
        <v>248</v>
      </c>
      <c r="C287" s="61">
        <v>2</v>
      </c>
      <c r="D287" s="61" t="b">
        <f>IF($AW$2&lt;6,TRUE,FALSE)</f>
        <v>1</v>
      </c>
      <c r="E287" s="61"/>
      <c r="F287" s="66" t="s">
        <v>818</v>
      </c>
      <c r="G287" s="66" t="s">
        <v>823</v>
      </c>
      <c r="H287" s="2" t="s">
        <v>356</v>
      </c>
      <c r="I287" s="39">
        <f t="shared" si="103"/>
        <v>100</v>
      </c>
      <c r="J287" s="40">
        <f t="shared" si="104"/>
        <v>134</v>
      </c>
      <c r="K287" s="41">
        <f t="shared" si="105"/>
        <v>110</v>
      </c>
      <c r="L287" s="42">
        <f t="shared" si="106"/>
        <v>95</v>
      </c>
      <c r="M287" s="43">
        <f t="shared" si="107"/>
        <v>100</v>
      </c>
      <c r="N287" s="44">
        <f t="shared" si="108"/>
        <v>61</v>
      </c>
      <c r="O287" s="45">
        <f t="shared" si="109"/>
        <v>600</v>
      </c>
      <c r="P287" s="19">
        <f t="shared" si="110"/>
        <v>100</v>
      </c>
      <c r="Q287" s="177">
        <v>100</v>
      </c>
      <c r="R287" s="40">
        <v>134</v>
      </c>
      <c r="S287" s="41">
        <v>110</v>
      </c>
      <c r="T287" s="42">
        <v>95</v>
      </c>
      <c r="U287" s="43">
        <v>100</v>
      </c>
      <c r="V287" s="44">
        <v>61</v>
      </c>
      <c r="W287" s="45">
        <f t="shared" si="111"/>
        <v>600</v>
      </c>
      <c r="X287" s="19">
        <f t="shared" si="112"/>
        <v>100</v>
      </c>
      <c r="Y287" s="3">
        <v>100</v>
      </c>
      <c r="Z287" s="4">
        <v>134</v>
      </c>
      <c r="AA287" s="5">
        <v>110</v>
      </c>
      <c r="AB287" s="6">
        <v>95</v>
      </c>
      <c r="AC287" s="7">
        <v>100</v>
      </c>
      <c r="AD287" s="8">
        <v>61</v>
      </c>
      <c r="AE287" s="1">
        <v>600</v>
      </c>
      <c r="AF287" s="19">
        <v>100</v>
      </c>
      <c r="AG287" s="139">
        <v>100</v>
      </c>
      <c r="AH287" s="140">
        <v>134</v>
      </c>
      <c r="AI287" s="141">
        <v>110</v>
      </c>
      <c r="AJ287" s="142">
        <v>95</v>
      </c>
      <c r="AK287" s="143">
        <v>100</v>
      </c>
      <c r="AL287" s="144">
        <v>61</v>
      </c>
      <c r="AM287" s="138">
        <v>600</v>
      </c>
      <c r="AN287" s="153">
        <v>100</v>
      </c>
      <c r="AW287" s="45"/>
      <c r="AX287" s="174" t="b">
        <f>IF('Refined Compare'!$D$2="All",TRUE,IF(F287='Refined Compare'!$D$2,TRUE,IF(G287='Refined Compare'!$D$2,TRUE,FALSE)))</f>
        <v>1</v>
      </c>
      <c r="AY287" s="174" t="b">
        <f>IF('Refined Compare'!$D$3="All",TRUE,IF(F287='Refined Compare'!$D$3,TRUE,IF(G287='Refined Compare'!$D$3,TRUE,FALSE)))</f>
        <v>0</v>
      </c>
      <c r="AZ287" s="174" t="b">
        <f t="shared" si="101"/>
        <v>1</v>
      </c>
    </row>
    <row r="288" spans="1:52" x14ac:dyDescent="0.35">
      <c r="A288">
        <f t="shared" si="102"/>
        <v>287</v>
      </c>
      <c r="B288" s="62">
        <v>248</v>
      </c>
      <c r="C288" s="61">
        <v>6</v>
      </c>
      <c r="D288" s="118" t="b">
        <f>IF(AZ288,TRUE,FALSE)</f>
        <v>0</v>
      </c>
      <c r="E288" s="61" t="s">
        <v>801</v>
      </c>
      <c r="F288" s="66" t="s">
        <v>818</v>
      </c>
      <c r="G288" s="66" t="s">
        <v>823</v>
      </c>
      <c r="H288" s="2" t="s">
        <v>456</v>
      </c>
      <c r="I288" s="39">
        <f t="shared" si="103"/>
        <v>0</v>
      </c>
      <c r="J288" s="40">
        <f t="shared" si="104"/>
        <v>0</v>
      </c>
      <c r="K288" s="41">
        <f t="shared" si="105"/>
        <v>0</v>
      </c>
      <c r="L288" s="42">
        <f t="shared" si="106"/>
        <v>0</v>
      </c>
      <c r="M288" s="43">
        <f t="shared" si="107"/>
        <v>0</v>
      </c>
      <c r="N288" s="44">
        <f t="shared" si="108"/>
        <v>0</v>
      </c>
      <c r="O288" s="45">
        <f t="shared" si="109"/>
        <v>0</v>
      </c>
      <c r="P288" s="19">
        <f t="shared" si="110"/>
        <v>0</v>
      </c>
      <c r="Q288" s="177">
        <v>100</v>
      </c>
      <c r="R288" s="40">
        <v>164</v>
      </c>
      <c r="S288" s="41">
        <v>150</v>
      </c>
      <c r="T288" s="42">
        <v>95</v>
      </c>
      <c r="U288" s="43">
        <v>120</v>
      </c>
      <c r="V288" s="44">
        <v>71</v>
      </c>
      <c r="W288" s="45">
        <f t="shared" si="111"/>
        <v>700</v>
      </c>
      <c r="X288" s="19">
        <f t="shared" si="112"/>
        <v>116.67</v>
      </c>
      <c r="Y288" s="3">
        <v>100</v>
      </c>
      <c r="Z288" s="4">
        <v>164</v>
      </c>
      <c r="AA288" s="5">
        <v>150</v>
      </c>
      <c r="AB288" s="6">
        <v>95</v>
      </c>
      <c r="AC288" s="7">
        <v>120</v>
      </c>
      <c r="AD288" s="8">
        <v>71</v>
      </c>
      <c r="AE288" s="1">
        <v>700</v>
      </c>
      <c r="AF288" s="19">
        <v>116.67</v>
      </c>
      <c r="AN288" s="172"/>
      <c r="AV288" s="174"/>
      <c r="AW288" s="45"/>
      <c r="AX288" s="174" t="b">
        <f>IF('Refined Compare'!$D$2="All",TRUE,IF(F288='Refined Compare'!$D$2,TRUE,IF(G288='Refined Compare'!$D$2,TRUE,FALSE)))</f>
        <v>1</v>
      </c>
      <c r="AY288" s="174" t="b">
        <f>IF('Refined Compare'!$D$3="All",TRUE,IF(F288='Refined Compare'!$D$3,TRUE,IF(G288='Refined Compare'!$D$3,TRUE,FALSE)))</f>
        <v>0</v>
      </c>
      <c r="AZ288" s="174" t="b">
        <f t="shared" si="101"/>
        <v>0</v>
      </c>
    </row>
    <row r="289" spans="1:52" x14ac:dyDescent="0.35">
      <c r="A289">
        <f t="shared" si="102"/>
        <v>288</v>
      </c>
      <c r="B289" s="18">
        <v>249</v>
      </c>
      <c r="C289" s="61">
        <v>2</v>
      </c>
      <c r="D289" s="118" t="b">
        <v>1</v>
      </c>
      <c r="E289" s="61"/>
      <c r="F289" s="66" t="s">
        <v>817</v>
      </c>
      <c r="G289" s="66" t="s">
        <v>809</v>
      </c>
      <c r="H289" s="2" t="s">
        <v>720</v>
      </c>
      <c r="I289" s="39">
        <f t="shared" si="103"/>
        <v>106</v>
      </c>
      <c r="J289" s="40">
        <f t="shared" si="104"/>
        <v>90</v>
      </c>
      <c r="K289" s="41">
        <f t="shared" si="105"/>
        <v>130</v>
      </c>
      <c r="L289" s="42">
        <f t="shared" si="106"/>
        <v>90</v>
      </c>
      <c r="M289" s="43">
        <f t="shared" si="107"/>
        <v>154</v>
      </c>
      <c r="N289" s="44">
        <f t="shared" si="108"/>
        <v>110</v>
      </c>
      <c r="O289" s="45">
        <f t="shared" si="109"/>
        <v>680</v>
      </c>
      <c r="P289" s="19">
        <f t="shared" si="110"/>
        <v>113.33</v>
      </c>
      <c r="Q289" s="177">
        <v>106</v>
      </c>
      <c r="R289" s="40">
        <v>90</v>
      </c>
      <c r="S289" s="41">
        <v>130</v>
      </c>
      <c r="T289" s="42">
        <v>90</v>
      </c>
      <c r="U289" s="43">
        <v>154</v>
      </c>
      <c r="V289" s="44">
        <v>110</v>
      </c>
      <c r="W289" s="45">
        <f t="shared" si="111"/>
        <v>680</v>
      </c>
      <c r="X289" s="19">
        <f t="shared" si="112"/>
        <v>113.33</v>
      </c>
      <c r="Y289" s="3">
        <v>106</v>
      </c>
      <c r="Z289" s="4">
        <v>90</v>
      </c>
      <c r="AA289" s="5">
        <v>130</v>
      </c>
      <c r="AB289" s="6">
        <v>90</v>
      </c>
      <c r="AC289" s="7">
        <v>154</v>
      </c>
      <c r="AD289" s="8">
        <v>110</v>
      </c>
      <c r="AE289" s="1">
        <v>680</v>
      </c>
      <c r="AF289" s="19">
        <v>113.33</v>
      </c>
      <c r="AG289" s="139">
        <v>106</v>
      </c>
      <c r="AH289" s="140">
        <v>90</v>
      </c>
      <c r="AI289" s="141">
        <v>130</v>
      </c>
      <c r="AJ289" s="142">
        <v>90</v>
      </c>
      <c r="AK289" s="143">
        <v>154</v>
      </c>
      <c r="AL289" s="144">
        <v>110</v>
      </c>
      <c r="AM289" s="138">
        <v>680</v>
      </c>
      <c r="AN289" s="153">
        <v>113.33</v>
      </c>
      <c r="AW289" s="45"/>
      <c r="AX289" s="174" t="b">
        <f>IF('Refined Compare'!$D$2="All",TRUE,IF(F289='Refined Compare'!$D$2,TRUE,IF(G289='Refined Compare'!$D$2,TRUE,FALSE)))</f>
        <v>0</v>
      </c>
      <c r="AY289" s="174" t="b">
        <f>IF('Refined Compare'!$D$3="All",TRUE,IF(F289='Refined Compare'!$D$3,TRUE,IF(G289='Refined Compare'!$D$3,TRUE,FALSE)))</f>
        <v>0</v>
      </c>
      <c r="AZ289" s="174" t="b">
        <f t="shared" si="101"/>
        <v>1</v>
      </c>
    </row>
    <row r="290" spans="1:52" x14ac:dyDescent="0.35">
      <c r="A290">
        <f t="shared" si="102"/>
        <v>289</v>
      </c>
      <c r="B290" s="18">
        <v>250</v>
      </c>
      <c r="C290" s="61">
        <v>2</v>
      </c>
      <c r="D290" s="118" t="b">
        <v>1</v>
      </c>
      <c r="E290" s="61"/>
      <c r="F290" s="66" t="s">
        <v>808</v>
      </c>
      <c r="G290" s="66" t="s">
        <v>809</v>
      </c>
      <c r="H290" s="2" t="s">
        <v>586</v>
      </c>
      <c r="I290" s="39">
        <f t="shared" si="103"/>
        <v>106</v>
      </c>
      <c r="J290" s="40">
        <f t="shared" si="104"/>
        <v>130</v>
      </c>
      <c r="K290" s="41">
        <f t="shared" si="105"/>
        <v>90</v>
      </c>
      <c r="L290" s="42">
        <f t="shared" si="106"/>
        <v>110</v>
      </c>
      <c r="M290" s="43">
        <f t="shared" si="107"/>
        <v>154</v>
      </c>
      <c r="N290" s="44">
        <f t="shared" si="108"/>
        <v>90</v>
      </c>
      <c r="O290" s="45">
        <f t="shared" si="109"/>
        <v>680</v>
      </c>
      <c r="P290" s="19">
        <f t="shared" si="110"/>
        <v>113.33</v>
      </c>
      <c r="Q290" s="177">
        <v>106</v>
      </c>
      <c r="R290" s="40">
        <v>130</v>
      </c>
      <c r="S290" s="41">
        <v>90</v>
      </c>
      <c r="T290" s="42">
        <v>110</v>
      </c>
      <c r="U290" s="43">
        <v>154</v>
      </c>
      <c r="V290" s="44">
        <v>90</v>
      </c>
      <c r="W290" s="45">
        <f t="shared" si="111"/>
        <v>680</v>
      </c>
      <c r="X290" s="19">
        <f t="shared" si="112"/>
        <v>113.33</v>
      </c>
      <c r="Y290" s="3">
        <v>106</v>
      </c>
      <c r="Z290" s="4">
        <v>130</v>
      </c>
      <c r="AA290" s="5">
        <v>90</v>
      </c>
      <c r="AB290" s="6">
        <v>110</v>
      </c>
      <c r="AC290" s="7">
        <v>154</v>
      </c>
      <c r="AD290" s="8">
        <v>90</v>
      </c>
      <c r="AE290" s="1">
        <v>680</v>
      </c>
      <c r="AF290" s="19">
        <v>113.33</v>
      </c>
      <c r="AG290" s="139">
        <v>106</v>
      </c>
      <c r="AH290" s="140">
        <v>130</v>
      </c>
      <c r="AI290" s="141">
        <v>90</v>
      </c>
      <c r="AJ290" s="142">
        <v>110</v>
      </c>
      <c r="AK290" s="143">
        <v>154</v>
      </c>
      <c r="AL290" s="144">
        <v>90</v>
      </c>
      <c r="AM290" s="138">
        <v>680</v>
      </c>
      <c r="AN290" s="153">
        <v>113.33</v>
      </c>
      <c r="AW290" s="45"/>
      <c r="AX290" s="174" t="b">
        <f>IF('Refined Compare'!$D$2="All",TRUE,IF(F290='Refined Compare'!$D$2,TRUE,IF(G290='Refined Compare'!$D$2,TRUE,FALSE)))</f>
        <v>0</v>
      </c>
      <c r="AY290" s="174" t="b">
        <f>IF('Refined Compare'!$D$3="All",TRUE,IF(F290='Refined Compare'!$D$3,TRUE,IF(G290='Refined Compare'!$D$3,TRUE,FALSE)))</f>
        <v>0</v>
      </c>
      <c r="AZ290" s="174" t="b">
        <f t="shared" si="101"/>
        <v>1</v>
      </c>
    </row>
    <row r="291" spans="1:52" x14ac:dyDescent="0.35">
      <c r="A291">
        <f t="shared" si="102"/>
        <v>290</v>
      </c>
      <c r="B291" s="18">
        <v>251</v>
      </c>
      <c r="C291" s="61">
        <v>2</v>
      </c>
      <c r="D291" s="118" t="b">
        <v>1</v>
      </c>
      <c r="E291" s="61"/>
      <c r="F291" s="66" t="s">
        <v>817</v>
      </c>
      <c r="G291" s="66" t="s">
        <v>806</v>
      </c>
      <c r="H291" s="2" t="s">
        <v>666</v>
      </c>
      <c r="I291" s="39">
        <f t="shared" si="103"/>
        <v>100</v>
      </c>
      <c r="J291" s="40">
        <f t="shared" si="104"/>
        <v>100</v>
      </c>
      <c r="K291" s="41">
        <f t="shared" si="105"/>
        <v>100</v>
      </c>
      <c r="L291" s="42">
        <f t="shared" si="106"/>
        <v>100</v>
      </c>
      <c r="M291" s="43">
        <f t="shared" si="107"/>
        <v>100</v>
      </c>
      <c r="N291" s="44">
        <f t="shared" si="108"/>
        <v>100</v>
      </c>
      <c r="O291" s="45">
        <f t="shared" si="109"/>
        <v>600</v>
      </c>
      <c r="P291" s="19">
        <f t="shared" si="110"/>
        <v>100</v>
      </c>
      <c r="Q291" s="177">
        <v>100</v>
      </c>
      <c r="R291" s="40">
        <v>100</v>
      </c>
      <c r="S291" s="41">
        <v>100</v>
      </c>
      <c r="T291" s="42">
        <v>100</v>
      </c>
      <c r="U291" s="43">
        <v>100</v>
      </c>
      <c r="V291" s="44">
        <v>100</v>
      </c>
      <c r="W291" s="45">
        <f t="shared" si="111"/>
        <v>600</v>
      </c>
      <c r="X291" s="19">
        <f t="shared" si="112"/>
        <v>100</v>
      </c>
      <c r="Y291" s="3">
        <v>100</v>
      </c>
      <c r="Z291" s="4">
        <v>100</v>
      </c>
      <c r="AA291" s="5">
        <v>100</v>
      </c>
      <c r="AB291" s="6">
        <v>100</v>
      </c>
      <c r="AC291" s="7">
        <v>100</v>
      </c>
      <c r="AD291" s="8">
        <v>100</v>
      </c>
      <c r="AE291" s="1">
        <v>600</v>
      </c>
      <c r="AF291" s="19">
        <v>100</v>
      </c>
      <c r="AG291" s="139">
        <v>100</v>
      </c>
      <c r="AH291" s="140">
        <v>100</v>
      </c>
      <c r="AI291" s="141">
        <v>100</v>
      </c>
      <c r="AJ291" s="142">
        <v>100</v>
      </c>
      <c r="AK291" s="143">
        <v>100</v>
      </c>
      <c r="AL291" s="144">
        <v>100</v>
      </c>
      <c r="AM291" s="138">
        <v>600</v>
      </c>
      <c r="AN291" s="153">
        <v>100</v>
      </c>
      <c r="AW291" s="45"/>
      <c r="AX291" s="174" t="b">
        <f>IF('Refined Compare'!$D$2="All",TRUE,IF(F291='Refined Compare'!$D$2,TRUE,IF(G291='Refined Compare'!$D$2,TRUE,FALSE)))</f>
        <v>0</v>
      </c>
      <c r="AY291" s="174" t="b">
        <f>IF('Refined Compare'!$D$3="All",TRUE,IF(F291='Refined Compare'!$D$3,TRUE,IF(G291='Refined Compare'!$D$3,TRUE,FALSE)))</f>
        <v>0</v>
      </c>
      <c r="AZ291" s="174" t="b">
        <f t="shared" si="101"/>
        <v>1</v>
      </c>
    </row>
    <row r="292" spans="1:52" x14ac:dyDescent="0.35">
      <c r="A292">
        <f t="shared" si="102"/>
        <v>291</v>
      </c>
      <c r="B292" s="18">
        <v>252</v>
      </c>
      <c r="C292" s="61">
        <v>3</v>
      </c>
      <c r="D292" s="61" t="b">
        <v>0</v>
      </c>
      <c r="E292" s="61"/>
      <c r="F292" s="66" t="s">
        <v>806</v>
      </c>
      <c r="G292" s="66" t="s">
        <v>827</v>
      </c>
      <c r="H292" s="2" t="s">
        <v>435</v>
      </c>
      <c r="I292" s="39">
        <f t="shared" si="103"/>
        <v>40</v>
      </c>
      <c r="J292" s="40">
        <f t="shared" si="104"/>
        <v>45</v>
      </c>
      <c r="K292" s="41">
        <f t="shared" si="105"/>
        <v>35</v>
      </c>
      <c r="L292" s="42">
        <f t="shared" si="106"/>
        <v>65</v>
      </c>
      <c r="M292" s="43">
        <f t="shared" si="107"/>
        <v>55</v>
      </c>
      <c r="N292" s="44">
        <f t="shared" si="108"/>
        <v>70</v>
      </c>
      <c r="O292" s="45">
        <f t="shared" si="109"/>
        <v>310</v>
      </c>
      <c r="P292" s="19">
        <f t="shared" si="110"/>
        <v>51.67</v>
      </c>
      <c r="Q292" s="177">
        <v>40</v>
      </c>
      <c r="R292" s="40">
        <v>45</v>
      </c>
      <c r="S292" s="41">
        <v>35</v>
      </c>
      <c r="T292" s="42">
        <v>65</v>
      </c>
      <c r="U292" s="43">
        <v>55</v>
      </c>
      <c r="V292" s="44">
        <v>70</v>
      </c>
      <c r="W292" s="45">
        <f t="shared" si="111"/>
        <v>310</v>
      </c>
      <c r="X292" s="19">
        <f t="shared" si="112"/>
        <v>51.67</v>
      </c>
      <c r="Y292" s="3">
        <v>40</v>
      </c>
      <c r="Z292" s="4">
        <v>45</v>
      </c>
      <c r="AA292" s="5">
        <v>35</v>
      </c>
      <c r="AB292" s="6">
        <v>65</v>
      </c>
      <c r="AC292" s="7">
        <v>55</v>
      </c>
      <c r="AD292" s="8">
        <v>70</v>
      </c>
      <c r="AE292" s="1">
        <v>310</v>
      </c>
      <c r="AF292" s="19">
        <v>51.67</v>
      </c>
      <c r="AG292" s="139">
        <v>40</v>
      </c>
      <c r="AH292" s="140">
        <v>45</v>
      </c>
      <c r="AI292" s="141">
        <v>35</v>
      </c>
      <c r="AJ292" s="142">
        <v>65</v>
      </c>
      <c r="AK292" s="143">
        <v>55</v>
      </c>
      <c r="AL292" s="144">
        <v>70</v>
      </c>
      <c r="AM292" s="138">
        <v>310</v>
      </c>
      <c r="AN292" s="153">
        <v>51.67</v>
      </c>
      <c r="AW292" s="45"/>
      <c r="AX292" s="174" t="b">
        <f>IF('Refined Compare'!$D$2="All",TRUE,IF(F292='Refined Compare'!$D$2,TRUE,IF(G292='Refined Compare'!$D$2,TRUE,FALSE)))</f>
        <v>0</v>
      </c>
      <c r="AY292" s="174" t="b">
        <f>IF('Refined Compare'!$D$3="All",TRUE,IF(F292='Refined Compare'!$D$3,TRUE,IF(G292='Refined Compare'!$D$3,TRUE,FALSE)))</f>
        <v>1</v>
      </c>
      <c r="AZ292" s="174" t="b">
        <f t="shared" si="101"/>
        <v>1</v>
      </c>
    </row>
    <row r="293" spans="1:52" x14ac:dyDescent="0.35">
      <c r="A293">
        <f t="shared" si="102"/>
        <v>292</v>
      </c>
      <c r="B293" s="18">
        <v>253</v>
      </c>
      <c r="C293" s="61">
        <v>3</v>
      </c>
      <c r="D293" s="61" t="b">
        <v>0</v>
      </c>
      <c r="E293" s="61"/>
      <c r="F293" s="66" t="s">
        <v>806</v>
      </c>
      <c r="G293" s="66" t="s">
        <v>827</v>
      </c>
      <c r="H293" s="2" t="s">
        <v>624</v>
      </c>
      <c r="I293" s="39">
        <f t="shared" si="103"/>
        <v>50</v>
      </c>
      <c r="J293" s="40">
        <f t="shared" si="104"/>
        <v>65</v>
      </c>
      <c r="K293" s="41">
        <f t="shared" si="105"/>
        <v>45</v>
      </c>
      <c r="L293" s="42">
        <f t="shared" si="106"/>
        <v>85</v>
      </c>
      <c r="M293" s="43">
        <f t="shared" si="107"/>
        <v>65</v>
      </c>
      <c r="N293" s="44">
        <f t="shared" si="108"/>
        <v>95</v>
      </c>
      <c r="O293" s="45">
        <f t="shared" si="109"/>
        <v>405</v>
      </c>
      <c r="P293" s="19">
        <f t="shared" si="110"/>
        <v>67.5</v>
      </c>
      <c r="Q293" s="177">
        <v>50</v>
      </c>
      <c r="R293" s="40">
        <v>65</v>
      </c>
      <c r="S293" s="41">
        <v>45</v>
      </c>
      <c r="T293" s="42">
        <v>85</v>
      </c>
      <c r="U293" s="43">
        <v>65</v>
      </c>
      <c r="V293" s="44">
        <v>95</v>
      </c>
      <c r="W293" s="45">
        <f t="shared" si="111"/>
        <v>405</v>
      </c>
      <c r="X293" s="19">
        <f t="shared" si="112"/>
        <v>67.5</v>
      </c>
      <c r="Y293" s="3">
        <v>50</v>
      </c>
      <c r="Z293" s="4">
        <v>65</v>
      </c>
      <c r="AA293" s="5">
        <v>45</v>
      </c>
      <c r="AB293" s="6">
        <v>85</v>
      </c>
      <c r="AC293" s="7">
        <v>65</v>
      </c>
      <c r="AD293" s="8">
        <v>95</v>
      </c>
      <c r="AE293" s="1">
        <v>405</v>
      </c>
      <c r="AF293" s="19">
        <v>67.5</v>
      </c>
      <c r="AG293" s="139">
        <v>50</v>
      </c>
      <c r="AH293" s="140">
        <v>65</v>
      </c>
      <c r="AI293" s="141">
        <v>45</v>
      </c>
      <c r="AJ293" s="142">
        <v>85</v>
      </c>
      <c r="AK293" s="143">
        <v>65</v>
      </c>
      <c r="AL293" s="144">
        <v>95</v>
      </c>
      <c r="AM293" s="138">
        <v>405</v>
      </c>
      <c r="AN293" s="153">
        <v>67.5</v>
      </c>
      <c r="AW293" s="45"/>
      <c r="AX293" s="174" t="b">
        <f>IF('Refined Compare'!$D$2="All",TRUE,IF(F293='Refined Compare'!$D$2,TRUE,IF(G293='Refined Compare'!$D$2,TRUE,FALSE)))</f>
        <v>0</v>
      </c>
      <c r="AY293" s="174" t="b">
        <f>IF('Refined Compare'!$D$3="All",TRUE,IF(F293='Refined Compare'!$D$3,TRUE,IF(G293='Refined Compare'!$D$3,TRUE,FALSE)))</f>
        <v>1</v>
      </c>
      <c r="AZ293" s="174" t="b">
        <f t="shared" si="101"/>
        <v>1</v>
      </c>
    </row>
    <row r="294" spans="1:52" x14ac:dyDescent="0.35">
      <c r="A294">
        <f t="shared" si="102"/>
        <v>293</v>
      </c>
      <c r="B294" s="18">
        <v>254</v>
      </c>
      <c r="C294" s="61">
        <v>3</v>
      </c>
      <c r="D294" s="61" t="b">
        <f>IF($AW$2&lt;6,TRUE,FALSE)</f>
        <v>1</v>
      </c>
      <c r="E294" s="61"/>
      <c r="F294" s="66" t="s">
        <v>806</v>
      </c>
      <c r="G294" s="66" t="s">
        <v>827</v>
      </c>
      <c r="H294" s="2" t="s">
        <v>751</v>
      </c>
      <c r="I294" s="39">
        <f t="shared" si="103"/>
        <v>70</v>
      </c>
      <c r="J294" s="40">
        <f t="shared" si="104"/>
        <v>85</v>
      </c>
      <c r="K294" s="41">
        <f t="shared" si="105"/>
        <v>65</v>
      </c>
      <c r="L294" s="42">
        <f t="shared" si="106"/>
        <v>105</v>
      </c>
      <c r="M294" s="43">
        <f t="shared" si="107"/>
        <v>85</v>
      </c>
      <c r="N294" s="44">
        <f t="shared" si="108"/>
        <v>120</v>
      </c>
      <c r="O294" s="45">
        <f t="shared" si="109"/>
        <v>530</v>
      </c>
      <c r="P294" s="19">
        <f t="shared" si="110"/>
        <v>88.33</v>
      </c>
      <c r="Q294" s="177">
        <v>70</v>
      </c>
      <c r="R294" s="40">
        <v>85</v>
      </c>
      <c r="S294" s="41">
        <v>65</v>
      </c>
      <c r="T294" s="42">
        <v>105</v>
      </c>
      <c r="U294" s="43">
        <v>85</v>
      </c>
      <c r="V294" s="44">
        <v>120</v>
      </c>
      <c r="W294" s="45">
        <f t="shared" si="111"/>
        <v>530</v>
      </c>
      <c r="X294" s="19">
        <f t="shared" si="112"/>
        <v>88.33</v>
      </c>
      <c r="Y294" s="3">
        <v>70</v>
      </c>
      <c r="Z294" s="4">
        <v>85</v>
      </c>
      <c r="AA294" s="5">
        <v>65</v>
      </c>
      <c r="AB294" s="6">
        <v>105</v>
      </c>
      <c r="AC294" s="7">
        <v>85</v>
      </c>
      <c r="AD294" s="8">
        <v>120</v>
      </c>
      <c r="AE294" s="1">
        <v>530</v>
      </c>
      <c r="AF294" s="19">
        <v>88.33</v>
      </c>
      <c r="AG294" s="139">
        <v>70</v>
      </c>
      <c r="AH294" s="140">
        <v>85</v>
      </c>
      <c r="AI294" s="141">
        <v>65</v>
      </c>
      <c r="AJ294" s="142">
        <v>105</v>
      </c>
      <c r="AK294" s="143">
        <v>85</v>
      </c>
      <c r="AL294" s="144">
        <v>120</v>
      </c>
      <c r="AM294" s="138">
        <v>530</v>
      </c>
      <c r="AN294" s="153">
        <v>88.33</v>
      </c>
      <c r="AW294" s="45"/>
      <c r="AX294" s="174" t="b">
        <f>IF('Refined Compare'!$D$2="All",TRUE,IF(F294='Refined Compare'!$D$2,TRUE,IF(G294='Refined Compare'!$D$2,TRUE,FALSE)))</f>
        <v>0</v>
      </c>
      <c r="AY294" s="174" t="b">
        <f>IF('Refined Compare'!$D$3="All",TRUE,IF(F294='Refined Compare'!$D$3,TRUE,IF(G294='Refined Compare'!$D$3,TRUE,FALSE)))</f>
        <v>1</v>
      </c>
      <c r="AZ294" s="174" t="b">
        <f t="shared" si="101"/>
        <v>1</v>
      </c>
    </row>
    <row r="295" spans="1:52" x14ac:dyDescent="0.35">
      <c r="A295">
        <f t="shared" si="102"/>
        <v>294</v>
      </c>
      <c r="B295" s="62">
        <v>254</v>
      </c>
      <c r="C295" s="61">
        <v>6</v>
      </c>
      <c r="D295" s="118" t="b">
        <f>IF(AZ295,TRUE,FALSE)</f>
        <v>0</v>
      </c>
      <c r="E295" s="61" t="s">
        <v>801</v>
      </c>
      <c r="F295" s="66" t="s">
        <v>806</v>
      </c>
      <c r="G295" s="66" t="s">
        <v>822</v>
      </c>
      <c r="H295" s="2" t="s">
        <v>773</v>
      </c>
      <c r="I295" s="39">
        <f t="shared" si="103"/>
        <v>0</v>
      </c>
      <c r="J295" s="40">
        <f t="shared" si="104"/>
        <v>0</v>
      </c>
      <c r="K295" s="41">
        <f t="shared" si="105"/>
        <v>0</v>
      </c>
      <c r="L295" s="42">
        <f t="shared" si="106"/>
        <v>0</v>
      </c>
      <c r="M295" s="43">
        <f t="shared" si="107"/>
        <v>0</v>
      </c>
      <c r="N295" s="44">
        <f t="shared" si="108"/>
        <v>0</v>
      </c>
      <c r="O295" s="45">
        <f t="shared" si="109"/>
        <v>0</v>
      </c>
      <c r="P295" s="19">
        <f t="shared" si="110"/>
        <v>0</v>
      </c>
      <c r="Q295" s="177">
        <v>70</v>
      </c>
      <c r="R295" s="40">
        <v>110</v>
      </c>
      <c r="S295" s="41">
        <v>75</v>
      </c>
      <c r="T295" s="42">
        <v>145</v>
      </c>
      <c r="U295" s="43">
        <v>85</v>
      </c>
      <c r="V295" s="44">
        <v>145</v>
      </c>
      <c r="W295" s="45">
        <f t="shared" si="111"/>
        <v>630</v>
      </c>
      <c r="X295" s="19">
        <f t="shared" si="112"/>
        <v>105</v>
      </c>
      <c r="Y295" s="3">
        <v>70</v>
      </c>
      <c r="Z295" s="4">
        <v>110</v>
      </c>
      <c r="AA295" s="5">
        <v>75</v>
      </c>
      <c r="AB295" s="6">
        <v>145</v>
      </c>
      <c r="AC295" s="7">
        <v>85</v>
      </c>
      <c r="AD295" s="8">
        <v>145</v>
      </c>
      <c r="AE295" s="1">
        <v>630</v>
      </c>
      <c r="AF295" s="19">
        <v>105</v>
      </c>
      <c r="AN295" s="172"/>
      <c r="AV295" s="174"/>
      <c r="AW295" s="45"/>
      <c r="AX295" s="174" t="b">
        <f>IF('Refined Compare'!$D$2="All",TRUE,IF(F295='Refined Compare'!$D$2,TRUE,IF(G295='Refined Compare'!$D$2,TRUE,FALSE)))</f>
        <v>0</v>
      </c>
      <c r="AY295" s="174" t="b">
        <f>IF('Refined Compare'!$D$3="All",TRUE,IF(F295='Refined Compare'!$D$3,TRUE,IF(G295='Refined Compare'!$D$3,TRUE,FALSE)))</f>
        <v>0</v>
      </c>
      <c r="AZ295" s="174" t="b">
        <f t="shared" si="101"/>
        <v>0</v>
      </c>
    </row>
    <row r="296" spans="1:52" x14ac:dyDescent="0.35">
      <c r="A296">
        <f t="shared" si="102"/>
        <v>295</v>
      </c>
      <c r="B296" s="18">
        <v>255</v>
      </c>
      <c r="C296" s="61">
        <v>3</v>
      </c>
      <c r="D296" s="61" t="b">
        <v>0</v>
      </c>
      <c r="E296" s="61"/>
      <c r="F296" s="66" t="s">
        <v>808</v>
      </c>
      <c r="G296" s="66" t="s">
        <v>827</v>
      </c>
      <c r="H296" s="2" t="s">
        <v>186</v>
      </c>
      <c r="I296" s="39">
        <f t="shared" si="103"/>
        <v>45</v>
      </c>
      <c r="J296" s="40">
        <f t="shared" si="104"/>
        <v>60</v>
      </c>
      <c r="K296" s="41">
        <f t="shared" si="105"/>
        <v>40</v>
      </c>
      <c r="L296" s="42">
        <f t="shared" si="106"/>
        <v>70</v>
      </c>
      <c r="M296" s="43">
        <f t="shared" si="107"/>
        <v>50</v>
      </c>
      <c r="N296" s="44">
        <f t="shared" si="108"/>
        <v>45</v>
      </c>
      <c r="O296" s="45">
        <f t="shared" si="109"/>
        <v>310</v>
      </c>
      <c r="P296" s="19">
        <f t="shared" si="110"/>
        <v>51.67</v>
      </c>
      <c r="Q296" s="177">
        <v>45</v>
      </c>
      <c r="R296" s="40">
        <v>60</v>
      </c>
      <c r="S296" s="41">
        <v>40</v>
      </c>
      <c r="T296" s="42">
        <v>70</v>
      </c>
      <c r="U296" s="43">
        <v>50</v>
      </c>
      <c r="V296" s="44">
        <v>45</v>
      </c>
      <c r="W296" s="45">
        <f t="shared" si="111"/>
        <v>310</v>
      </c>
      <c r="X296" s="19">
        <f t="shared" si="112"/>
        <v>51.67</v>
      </c>
      <c r="Y296" s="3">
        <v>45</v>
      </c>
      <c r="Z296" s="4">
        <v>60</v>
      </c>
      <c r="AA296" s="5">
        <v>40</v>
      </c>
      <c r="AB296" s="6">
        <v>70</v>
      </c>
      <c r="AC296" s="7">
        <v>50</v>
      </c>
      <c r="AD296" s="8">
        <v>45</v>
      </c>
      <c r="AE296" s="1">
        <v>310</v>
      </c>
      <c r="AF296" s="19">
        <v>51.67</v>
      </c>
      <c r="AG296" s="139">
        <v>45</v>
      </c>
      <c r="AH296" s="140">
        <v>60</v>
      </c>
      <c r="AI296" s="141">
        <v>40</v>
      </c>
      <c r="AJ296" s="142">
        <v>70</v>
      </c>
      <c r="AK296" s="143">
        <v>50</v>
      </c>
      <c r="AL296" s="144">
        <v>45</v>
      </c>
      <c r="AM296" s="138">
        <v>310</v>
      </c>
      <c r="AN296" s="153">
        <v>51.67</v>
      </c>
      <c r="AW296" s="45"/>
      <c r="AX296" s="174" t="b">
        <f>IF('Refined Compare'!$D$2="All",TRUE,IF(F296='Refined Compare'!$D$2,TRUE,IF(G296='Refined Compare'!$D$2,TRUE,FALSE)))</f>
        <v>0</v>
      </c>
      <c r="AY296" s="174" t="b">
        <f>IF('Refined Compare'!$D$3="All",TRUE,IF(F296='Refined Compare'!$D$3,TRUE,IF(G296='Refined Compare'!$D$3,TRUE,FALSE)))</f>
        <v>1</v>
      </c>
      <c r="AZ296" s="174" t="b">
        <f t="shared" si="101"/>
        <v>1</v>
      </c>
    </row>
    <row r="297" spans="1:52" x14ac:dyDescent="0.35">
      <c r="A297">
        <f t="shared" si="102"/>
        <v>296</v>
      </c>
      <c r="B297" s="18">
        <v>256</v>
      </c>
      <c r="C297" s="61">
        <v>3</v>
      </c>
      <c r="D297" s="61" t="b">
        <v>0</v>
      </c>
      <c r="E297" s="61"/>
      <c r="F297" s="66" t="s">
        <v>808</v>
      </c>
      <c r="G297" s="66" t="s">
        <v>816</v>
      </c>
      <c r="H297" s="2" t="s">
        <v>277</v>
      </c>
      <c r="I297" s="39">
        <f t="shared" si="103"/>
        <v>60</v>
      </c>
      <c r="J297" s="40">
        <f t="shared" si="104"/>
        <v>85</v>
      </c>
      <c r="K297" s="41">
        <f t="shared" si="105"/>
        <v>60</v>
      </c>
      <c r="L297" s="42">
        <f t="shared" si="106"/>
        <v>85</v>
      </c>
      <c r="M297" s="43">
        <f t="shared" si="107"/>
        <v>60</v>
      </c>
      <c r="N297" s="44">
        <f t="shared" si="108"/>
        <v>55</v>
      </c>
      <c r="O297" s="45">
        <f t="shared" si="109"/>
        <v>405</v>
      </c>
      <c r="P297" s="19">
        <f t="shared" si="110"/>
        <v>67.5</v>
      </c>
      <c r="Q297" s="177">
        <v>60</v>
      </c>
      <c r="R297" s="40">
        <v>85</v>
      </c>
      <c r="S297" s="41">
        <v>60</v>
      </c>
      <c r="T297" s="42">
        <v>85</v>
      </c>
      <c r="U297" s="43">
        <v>60</v>
      </c>
      <c r="V297" s="44">
        <v>55</v>
      </c>
      <c r="W297" s="45">
        <f t="shared" si="111"/>
        <v>405</v>
      </c>
      <c r="X297" s="19">
        <f t="shared" si="112"/>
        <v>67.5</v>
      </c>
      <c r="Y297" s="3">
        <v>60</v>
      </c>
      <c r="Z297" s="4">
        <v>85</v>
      </c>
      <c r="AA297" s="5">
        <v>60</v>
      </c>
      <c r="AB297" s="6">
        <v>85</v>
      </c>
      <c r="AC297" s="7">
        <v>60</v>
      </c>
      <c r="AD297" s="8">
        <v>55</v>
      </c>
      <c r="AE297" s="1">
        <v>405</v>
      </c>
      <c r="AF297" s="19">
        <v>67.5</v>
      </c>
      <c r="AG297" s="139">
        <v>60</v>
      </c>
      <c r="AH297" s="140">
        <v>85</v>
      </c>
      <c r="AI297" s="141">
        <v>60</v>
      </c>
      <c r="AJ297" s="142">
        <v>85</v>
      </c>
      <c r="AK297" s="143">
        <v>60</v>
      </c>
      <c r="AL297" s="144">
        <v>55</v>
      </c>
      <c r="AM297" s="138">
        <v>405</v>
      </c>
      <c r="AN297" s="153">
        <v>67.5</v>
      </c>
      <c r="AW297" s="45"/>
      <c r="AX297" s="174" t="b">
        <f>IF('Refined Compare'!$D$2="All",TRUE,IF(F297='Refined Compare'!$D$2,TRUE,IF(G297='Refined Compare'!$D$2,TRUE,FALSE)))</f>
        <v>0</v>
      </c>
      <c r="AY297" s="174" t="b">
        <f>IF('Refined Compare'!$D$3="All",TRUE,IF(F297='Refined Compare'!$D$3,TRUE,IF(G297='Refined Compare'!$D$3,TRUE,FALSE)))</f>
        <v>0</v>
      </c>
      <c r="AZ297" s="174" t="b">
        <f t="shared" si="101"/>
        <v>1</v>
      </c>
    </row>
    <row r="298" spans="1:52" x14ac:dyDescent="0.35">
      <c r="A298">
        <f t="shared" si="102"/>
        <v>297</v>
      </c>
      <c r="B298" s="18">
        <v>257</v>
      </c>
      <c r="C298" s="61">
        <v>3</v>
      </c>
      <c r="D298" s="61" t="b">
        <f>IF($AW$2&lt;6,TRUE,FALSE)</f>
        <v>1</v>
      </c>
      <c r="E298" s="61"/>
      <c r="F298" s="66" t="s">
        <v>808</v>
      </c>
      <c r="G298" s="66" t="s">
        <v>816</v>
      </c>
      <c r="H298" s="2" t="s">
        <v>507</v>
      </c>
      <c r="I298" s="39">
        <f t="shared" si="103"/>
        <v>80</v>
      </c>
      <c r="J298" s="40">
        <f t="shared" si="104"/>
        <v>120</v>
      </c>
      <c r="K298" s="41">
        <f t="shared" si="105"/>
        <v>70</v>
      </c>
      <c r="L298" s="42">
        <f t="shared" si="106"/>
        <v>110</v>
      </c>
      <c r="M298" s="43">
        <f t="shared" si="107"/>
        <v>70</v>
      </c>
      <c r="N298" s="44">
        <f t="shared" si="108"/>
        <v>80</v>
      </c>
      <c r="O298" s="45">
        <f t="shared" si="109"/>
        <v>530</v>
      </c>
      <c r="P298" s="19">
        <f t="shared" si="110"/>
        <v>88.33</v>
      </c>
      <c r="Q298" s="177">
        <v>80</v>
      </c>
      <c r="R298" s="40">
        <v>120</v>
      </c>
      <c r="S298" s="41">
        <v>70</v>
      </c>
      <c r="T298" s="42">
        <v>110</v>
      </c>
      <c r="U298" s="43">
        <v>70</v>
      </c>
      <c r="V298" s="44">
        <v>80</v>
      </c>
      <c r="W298" s="45">
        <f t="shared" si="111"/>
        <v>530</v>
      </c>
      <c r="X298" s="19">
        <f t="shared" si="112"/>
        <v>88.33</v>
      </c>
      <c r="Y298" s="3">
        <v>80</v>
      </c>
      <c r="Z298" s="4">
        <v>120</v>
      </c>
      <c r="AA298" s="5">
        <v>70</v>
      </c>
      <c r="AB298" s="6">
        <v>110</v>
      </c>
      <c r="AC298" s="7">
        <v>70</v>
      </c>
      <c r="AD298" s="8">
        <v>80</v>
      </c>
      <c r="AE298" s="1">
        <v>530</v>
      </c>
      <c r="AF298" s="19">
        <v>88.33</v>
      </c>
      <c r="AG298" s="139">
        <v>80</v>
      </c>
      <c r="AH298" s="140">
        <v>120</v>
      </c>
      <c r="AI298" s="141">
        <v>70</v>
      </c>
      <c r="AJ298" s="142">
        <v>110</v>
      </c>
      <c r="AK298" s="143">
        <v>70</v>
      </c>
      <c r="AL298" s="144">
        <v>80</v>
      </c>
      <c r="AM298" s="138">
        <v>530</v>
      </c>
      <c r="AN298" s="153">
        <v>88.33</v>
      </c>
      <c r="AW298" s="45"/>
      <c r="AX298" s="174" t="b">
        <f>IF('Refined Compare'!$D$2="All",TRUE,IF(F298='Refined Compare'!$D$2,TRUE,IF(G298='Refined Compare'!$D$2,TRUE,FALSE)))</f>
        <v>0</v>
      </c>
      <c r="AY298" s="174" t="b">
        <f>IF('Refined Compare'!$D$3="All",TRUE,IF(F298='Refined Compare'!$D$3,TRUE,IF(G298='Refined Compare'!$D$3,TRUE,FALSE)))</f>
        <v>0</v>
      </c>
      <c r="AZ298" s="174" t="b">
        <f t="shared" si="101"/>
        <v>1</v>
      </c>
    </row>
    <row r="299" spans="1:52" x14ac:dyDescent="0.35">
      <c r="A299">
        <f t="shared" si="102"/>
        <v>298</v>
      </c>
      <c r="B299" s="62">
        <v>257</v>
      </c>
      <c r="C299" s="61">
        <v>6</v>
      </c>
      <c r="D299" s="118" t="b">
        <f>IF(AZ299,TRUE,FALSE)</f>
        <v>0</v>
      </c>
      <c r="E299" s="61" t="s">
        <v>801</v>
      </c>
      <c r="F299" s="66" t="s">
        <v>808</v>
      </c>
      <c r="G299" s="66" t="s">
        <v>816</v>
      </c>
      <c r="H299" s="2" t="s">
        <v>667</v>
      </c>
      <c r="I299" s="39">
        <f t="shared" si="103"/>
        <v>0</v>
      </c>
      <c r="J299" s="40">
        <f t="shared" si="104"/>
        <v>0</v>
      </c>
      <c r="K299" s="41">
        <f t="shared" si="105"/>
        <v>0</v>
      </c>
      <c r="L299" s="42">
        <f t="shared" si="106"/>
        <v>0</v>
      </c>
      <c r="M299" s="43">
        <f t="shared" si="107"/>
        <v>0</v>
      </c>
      <c r="N299" s="44">
        <f t="shared" si="108"/>
        <v>0</v>
      </c>
      <c r="O299" s="45">
        <f t="shared" si="109"/>
        <v>0</v>
      </c>
      <c r="P299" s="19">
        <f t="shared" si="110"/>
        <v>0</v>
      </c>
      <c r="Q299" s="177">
        <v>80</v>
      </c>
      <c r="R299" s="40">
        <v>160</v>
      </c>
      <c r="S299" s="41">
        <v>80</v>
      </c>
      <c r="T299" s="42">
        <v>130</v>
      </c>
      <c r="U299" s="43">
        <v>80</v>
      </c>
      <c r="V299" s="44">
        <v>100</v>
      </c>
      <c r="W299" s="45">
        <f t="shared" si="111"/>
        <v>630</v>
      </c>
      <c r="X299" s="19">
        <f t="shared" si="112"/>
        <v>105</v>
      </c>
      <c r="Y299" s="3">
        <v>80</v>
      </c>
      <c r="Z299" s="4">
        <v>160</v>
      </c>
      <c r="AA299" s="5">
        <v>80</v>
      </c>
      <c r="AB299" s="6">
        <v>130</v>
      </c>
      <c r="AC299" s="7">
        <v>80</v>
      </c>
      <c r="AD299" s="8">
        <v>100</v>
      </c>
      <c r="AE299" s="1">
        <v>630</v>
      </c>
      <c r="AF299" s="19">
        <v>105</v>
      </c>
      <c r="AN299" s="172"/>
      <c r="AV299" s="174"/>
      <c r="AW299" s="45"/>
      <c r="AX299" s="174" t="b">
        <f>IF('Refined Compare'!$D$2="All",TRUE,IF(F299='Refined Compare'!$D$2,TRUE,IF(G299='Refined Compare'!$D$2,TRUE,FALSE)))</f>
        <v>0</v>
      </c>
      <c r="AY299" s="174" t="b">
        <f>IF('Refined Compare'!$D$3="All",TRUE,IF(F299='Refined Compare'!$D$3,TRUE,IF(G299='Refined Compare'!$D$3,TRUE,FALSE)))</f>
        <v>0</v>
      </c>
      <c r="AZ299" s="174" t="b">
        <f t="shared" si="101"/>
        <v>0</v>
      </c>
    </row>
    <row r="300" spans="1:52" x14ac:dyDescent="0.35">
      <c r="A300">
        <f t="shared" si="102"/>
        <v>299</v>
      </c>
      <c r="B300" s="18">
        <v>258</v>
      </c>
      <c r="C300" s="61">
        <v>3</v>
      </c>
      <c r="D300" s="61" t="b">
        <v>0</v>
      </c>
      <c r="E300" s="61"/>
      <c r="F300" s="66" t="s">
        <v>810</v>
      </c>
      <c r="G300" s="66" t="s">
        <v>827</v>
      </c>
      <c r="H300" s="2" t="s">
        <v>136</v>
      </c>
      <c r="I300" s="39">
        <f t="shared" si="103"/>
        <v>50</v>
      </c>
      <c r="J300" s="40">
        <f t="shared" si="104"/>
        <v>70</v>
      </c>
      <c r="K300" s="41">
        <f t="shared" si="105"/>
        <v>50</v>
      </c>
      <c r="L300" s="42">
        <f t="shared" si="106"/>
        <v>50</v>
      </c>
      <c r="M300" s="43">
        <f t="shared" si="107"/>
        <v>50</v>
      </c>
      <c r="N300" s="44">
        <f t="shared" si="108"/>
        <v>40</v>
      </c>
      <c r="O300" s="45">
        <f t="shared" si="109"/>
        <v>310</v>
      </c>
      <c r="P300" s="19">
        <f t="shared" si="110"/>
        <v>51.67</v>
      </c>
      <c r="Q300" s="177">
        <v>50</v>
      </c>
      <c r="R300" s="40">
        <v>70</v>
      </c>
      <c r="S300" s="41">
        <v>50</v>
      </c>
      <c r="T300" s="42">
        <v>50</v>
      </c>
      <c r="U300" s="43">
        <v>50</v>
      </c>
      <c r="V300" s="44">
        <v>40</v>
      </c>
      <c r="W300" s="45">
        <f t="shared" si="111"/>
        <v>310</v>
      </c>
      <c r="X300" s="19">
        <f t="shared" si="112"/>
        <v>51.67</v>
      </c>
      <c r="Y300" s="3">
        <v>50</v>
      </c>
      <c r="Z300" s="4">
        <v>70</v>
      </c>
      <c r="AA300" s="5">
        <v>50</v>
      </c>
      <c r="AB300" s="6">
        <v>50</v>
      </c>
      <c r="AC300" s="7">
        <v>50</v>
      </c>
      <c r="AD300" s="8">
        <v>40</v>
      </c>
      <c r="AE300" s="1">
        <v>310</v>
      </c>
      <c r="AF300" s="19">
        <v>51.67</v>
      </c>
      <c r="AG300" s="139">
        <v>50</v>
      </c>
      <c r="AH300" s="140">
        <v>70</v>
      </c>
      <c r="AI300" s="141">
        <v>50</v>
      </c>
      <c r="AJ300" s="142">
        <v>50</v>
      </c>
      <c r="AK300" s="143">
        <v>50</v>
      </c>
      <c r="AL300" s="144">
        <v>40</v>
      </c>
      <c r="AM300" s="138">
        <v>310</v>
      </c>
      <c r="AN300" s="153">
        <v>51.67</v>
      </c>
      <c r="AW300" s="45"/>
      <c r="AX300" s="174" t="b">
        <f>IF('Refined Compare'!$D$2="All",TRUE,IF(F300='Refined Compare'!$D$2,TRUE,IF(G300='Refined Compare'!$D$2,TRUE,FALSE)))</f>
        <v>0</v>
      </c>
      <c r="AY300" s="174" t="b">
        <f>IF('Refined Compare'!$D$3="All",TRUE,IF(F300='Refined Compare'!$D$3,TRUE,IF(G300='Refined Compare'!$D$3,TRUE,FALSE)))</f>
        <v>1</v>
      </c>
      <c r="AZ300" s="174" t="b">
        <f t="shared" si="101"/>
        <v>1</v>
      </c>
    </row>
    <row r="301" spans="1:52" x14ac:dyDescent="0.35">
      <c r="A301">
        <f t="shared" si="102"/>
        <v>300</v>
      </c>
      <c r="B301" s="18">
        <v>259</v>
      </c>
      <c r="C301" s="61">
        <v>3</v>
      </c>
      <c r="D301" s="61" t="b">
        <v>0</v>
      </c>
      <c r="E301" s="61"/>
      <c r="F301" s="66" t="s">
        <v>810</v>
      </c>
      <c r="G301" s="66" t="s">
        <v>814</v>
      </c>
      <c r="H301" s="2" t="s">
        <v>225</v>
      </c>
      <c r="I301" s="39">
        <f t="shared" si="103"/>
        <v>70</v>
      </c>
      <c r="J301" s="40">
        <f t="shared" si="104"/>
        <v>85</v>
      </c>
      <c r="K301" s="41">
        <f t="shared" si="105"/>
        <v>70</v>
      </c>
      <c r="L301" s="42">
        <f t="shared" si="106"/>
        <v>60</v>
      </c>
      <c r="M301" s="43">
        <f t="shared" si="107"/>
        <v>70</v>
      </c>
      <c r="N301" s="44">
        <f t="shared" si="108"/>
        <v>50</v>
      </c>
      <c r="O301" s="45">
        <f t="shared" si="109"/>
        <v>405</v>
      </c>
      <c r="P301" s="19">
        <f t="shared" si="110"/>
        <v>67.5</v>
      </c>
      <c r="Q301" s="177">
        <v>70</v>
      </c>
      <c r="R301" s="40">
        <v>85</v>
      </c>
      <c r="S301" s="41">
        <v>70</v>
      </c>
      <c r="T301" s="42">
        <v>60</v>
      </c>
      <c r="U301" s="43">
        <v>70</v>
      </c>
      <c r="V301" s="44">
        <v>50</v>
      </c>
      <c r="W301" s="45">
        <f t="shared" si="111"/>
        <v>405</v>
      </c>
      <c r="X301" s="19">
        <f t="shared" si="112"/>
        <v>67.5</v>
      </c>
      <c r="Y301" s="3">
        <v>70</v>
      </c>
      <c r="Z301" s="4">
        <v>85</v>
      </c>
      <c r="AA301" s="5">
        <v>70</v>
      </c>
      <c r="AB301" s="6">
        <v>60</v>
      </c>
      <c r="AC301" s="7">
        <v>70</v>
      </c>
      <c r="AD301" s="8">
        <v>50</v>
      </c>
      <c r="AE301" s="1">
        <v>405</v>
      </c>
      <c r="AF301" s="19">
        <v>67.5</v>
      </c>
      <c r="AG301" s="139">
        <v>70</v>
      </c>
      <c r="AH301" s="140">
        <v>85</v>
      </c>
      <c r="AI301" s="141">
        <v>70</v>
      </c>
      <c r="AJ301" s="142">
        <v>60</v>
      </c>
      <c r="AK301" s="143">
        <v>70</v>
      </c>
      <c r="AL301" s="144">
        <v>50</v>
      </c>
      <c r="AM301" s="138">
        <v>405</v>
      </c>
      <c r="AN301" s="153">
        <v>67.5</v>
      </c>
      <c r="AW301" s="45"/>
      <c r="AX301" s="174" t="b">
        <f>IF('Refined Compare'!$D$2="All",TRUE,IF(F301='Refined Compare'!$D$2,TRUE,IF(G301='Refined Compare'!$D$2,TRUE,FALSE)))</f>
        <v>0</v>
      </c>
      <c r="AY301" s="174" t="b">
        <f>IF('Refined Compare'!$D$3="All",TRUE,IF(F301='Refined Compare'!$D$3,TRUE,IF(G301='Refined Compare'!$D$3,TRUE,FALSE)))</f>
        <v>0</v>
      </c>
      <c r="AZ301" s="174" t="b">
        <f t="shared" si="101"/>
        <v>1</v>
      </c>
    </row>
    <row r="302" spans="1:52" x14ac:dyDescent="0.35">
      <c r="A302">
        <f t="shared" si="102"/>
        <v>301</v>
      </c>
      <c r="B302" s="18">
        <v>260</v>
      </c>
      <c r="C302" s="61">
        <v>3</v>
      </c>
      <c r="D302" s="61" t="b">
        <f>IF($AW$2&lt;6,TRUE,FALSE)</f>
        <v>1</v>
      </c>
      <c r="E302" s="61"/>
      <c r="F302" s="66" t="s">
        <v>810</v>
      </c>
      <c r="G302" s="66" t="s">
        <v>814</v>
      </c>
      <c r="H302" s="2" t="s">
        <v>323</v>
      </c>
      <c r="I302" s="39">
        <f t="shared" si="103"/>
        <v>100</v>
      </c>
      <c r="J302" s="40">
        <f t="shared" si="104"/>
        <v>110</v>
      </c>
      <c r="K302" s="41">
        <f t="shared" si="105"/>
        <v>90</v>
      </c>
      <c r="L302" s="42">
        <f t="shared" si="106"/>
        <v>85</v>
      </c>
      <c r="M302" s="43">
        <f t="shared" si="107"/>
        <v>90</v>
      </c>
      <c r="N302" s="44">
        <f t="shared" si="108"/>
        <v>60</v>
      </c>
      <c r="O302" s="45">
        <f t="shared" si="109"/>
        <v>535</v>
      </c>
      <c r="P302" s="19">
        <f t="shared" si="110"/>
        <v>89.17</v>
      </c>
      <c r="Q302" s="177">
        <v>100</v>
      </c>
      <c r="R302" s="40">
        <v>110</v>
      </c>
      <c r="S302" s="41">
        <v>90</v>
      </c>
      <c r="T302" s="42">
        <v>85</v>
      </c>
      <c r="U302" s="43">
        <v>90</v>
      </c>
      <c r="V302" s="44">
        <v>60</v>
      </c>
      <c r="W302" s="45">
        <f t="shared" si="111"/>
        <v>535</v>
      </c>
      <c r="X302" s="19">
        <f t="shared" si="112"/>
        <v>89.17</v>
      </c>
      <c r="Y302" s="3">
        <v>100</v>
      </c>
      <c r="Z302" s="4">
        <v>110</v>
      </c>
      <c r="AA302" s="5">
        <v>90</v>
      </c>
      <c r="AB302" s="6">
        <v>85</v>
      </c>
      <c r="AC302" s="7">
        <v>90</v>
      </c>
      <c r="AD302" s="8">
        <v>60</v>
      </c>
      <c r="AE302" s="1">
        <v>535</v>
      </c>
      <c r="AF302" s="19">
        <v>89.17</v>
      </c>
      <c r="AG302" s="139">
        <v>100</v>
      </c>
      <c r="AH302" s="140">
        <v>110</v>
      </c>
      <c r="AI302" s="141">
        <v>90</v>
      </c>
      <c r="AJ302" s="142">
        <v>85</v>
      </c>
      <c r="AK302" s="143">
        <v>90</v>
      </c>
      <c r="AL302" s="144">
        <v>60</v>
      </c>
      <c r="AM302" s="138">
        <v>535</v>
      </c>
      <c r="AN302" s="153">
        <v>89.17</v>
      </c>
      <c r="AW302" s="45"/>
      <c r="AX302" s="174" t="b">
        <f>IF('Refined Compare'!$D$2="All",TRUE,IF(F302='Refined Compare'!$D$2,TRUE,IF(G302='Refined Compare'!$D$2,TRUE,FALSE)))</f>
        <v>0</v>
      </c>
      <c r="AY302" s="174" t="b">
        <f>IF('Refined Compare'!$D$3="All",TRUE,IF(F302='Refined Compare'!$D$3,TRUE,IF(G302='Refined Compare'!$D$3,TRUE,FALSE)))</f>
        <v>0</v>
      </c>
      <c r="AZ302" s="174" t="b">
        <f t="shared" si="101"/>
        <v>1</v>
      </c>
    </row>
    <row r="303" spans="1:52" x14ac:dyDescent="0.35">
      <c r="A303">
        <f t="shared" si="102"/>
        <v>302</v>
      </c>
      <c r="B303" s="62">
        <v>260</v>
      </c>
      <c r="C303" s="61">
        <v>6</v>
      </c>
      <c r="D303" s="118" t="b">
        <f>IF(AZ303,TRUE,FALSE)</f>
        <v>0</v>
      </c>
      <c r="E303" s="61" t="s">
        <v>801</v>
      </c>
      <c r="F303" s="66" t="s">
        <v>810</v>
      </c>
      <c r="G303" s="66" t="s">
        <v>814</v>
      </c>
      <c r="H303" s="2" t="s">
        <v>436</v>
      </c>
      <c r="I303" s="39">
        <f t="shared" si="103"/>
        <v>0</v>
      </c>
      <c r="J303" s="40">
        <f t="shared" si="104"/>
        <v>0</v>
      </c>
      <c r="K303" s="41">
        <f t="shared" si="105"/>
        <v>0</v>
      </c>
      <c r="L303" s="42">
        <f t="shared" si="106"/>
        <v>0</v>
      </c>
      <c r="M303" s="43">
        <f t="shared" si="107"/>
        <v>0</v>
      </c>
      <c r="N303" s="44">
        <f t="shared" si="108"/>
        <v>0</v>
      </c>
      <c r="O303" s="45">
        <f t="shared" si="109"/>
        <v>0</v>
      </c>
      <c r="P303" s="19">
        <f t="shared" si="110"/>
        <v>0</v>
      </c>
      <c r="Q303" s="177">
        <v>100</v>
      </c>
      <c r="R303" s="40">
        <v>150</v>
      </c>
      <c r="S303" s="41">
        <v>110</v>
      </c>
      <c r="T303" s="42">
        <v>95</v>
      </c>
      <c r="U303" s="43">
        <v>110</v>
      </c>
      <c r="V303" s="44">
        <v>70</v>
      </c>
      <c r="W303" s="45">
        <f t="shared" si="111"/>
        <v>635</v>
      </c>
      <c r="X303" s="19">
        <f t="shared" si="112"/>
        <v>105.83</v>
      </c>
      <c r="Y303" s="3">
        <v>100</v>
      </c>
      <c r="Z303" s="4">
        <v>150</v>
      </c>
      <c r="AA303" s="5">
        <v>110</v>
      </c>
      <c r="AB303" s="6">
        <v>95</v>
      </c>
      <c r="AC303" s="7">
        <v>110</v>
      </c>
      <c r="AD303" s="8">
        <v>70</v>
      </c>
      <c r="AE303" s="1">
        <v>635</v>
      </c>
      <c r="AF303" s="19">
        <v>105.83</v>
      </c>
      <c r="AN303" s="172"/>
      <c r="AV303" s="174"/>
      <c r="AW303" s="45"/>
      <c r="AX303" s="174" t="b">
        <f>IF('Refined Compare'!$D$2="All",TRUE,IF(F303='Refined Compare'!$D$2,TRUE,IF(G303='Refined Compare'!$D$2,TRUE,FALSE)))</f>
        <v>0</v>
      </c>
      <c r="AY303" s="174" t="b">
        <f>IF('Refined Compare'!$D$3="All",TRUE,IF(F303='Refined Compare'!$D$3,TRUE,IF(G303='Refined Compare'!$D$3,TRUE,FALSE)))</f>
        <v>0</v>
      </c>
      <c r="AZ303" s="174" t="b">
        <f t="shared" si="101"/>
        <v>0</v>
      </c>
    </row>
    <row r="304" spans="1:52" x14ac:dyDescent="0.35">
      <c r="A304">
        <f t="shared" si="102"/>
        <v>303</v>
      </c>
      <c r="B304" s="18">
        <v>261</v>
      </c>
      <c r="C304" s="61">
        <v>3</v>
      </c>
      <c r="D304" s="61" t="b">
        <v>0</v>
      </c>
      <c r="E304" s="61"/>
      <c r="F304" s="66" t="s">
        <v>823</v>
      </c>
      <c r="G304" s="66" t="s">
        <v>827</v>
      </c>
      <c r="H304" s="2" t="s">
        <v>106</v>
      </c>
      <c r="I304" s="39">
        <f t="shared" si="103"/>
        <v>35</v>
      </c>
      <c r="J304" s="40">
        <f t="shared" si="104"/>
        <v>55</v>
      </c>
      <c r="K304" s="41">
        <f t="shared" si="105"/>
        <v>35</v>
      </c>
      <c r="L304" s="42">
        <f t="shared" si="106"/>
        <v>30</v>
      </c>
      <c r="M304" s="43">
        <f t="shared" si="107"/>
        <v>30</v>
      </c>
      <c r="N304" s="44">
        <f t="shared" si="108"/>
        <v>35</v>
      </c>
      <c r="O304" s="45">
        <f t="shared" si="109"/>
        <v>220</v>
      </c>
      <c r="P304" s="19">
        <f t="shared" si="110"/>
        <v>36.67</v>
      </c>
      <c r="Q304" s="177">
        <v>35</v>
      </c>
      <c r="R304" s="40">
        <v>55</v>
      </c>
      <c r="S304" s="41">
        <v>35</v>
      </c>
      <c r="T304" s="42">
        <v>30</v>
      </c>
      <c r="U304" s="43">
        <v>30</v>
      </c>
      <c r="V304" s="44">
        <v>35</v>
      </c>
      <c r="W304" s="45">
        <f t="shared" si="111"/>
        <v>220</v>
      </c>
      <c r="X304" s="19">
        <f t="shared" si="112"/>
        <v>36.67</v>
      </c>
      <c r="Y304" s="3">
        <v>35</v>
      </c>
      <c r="Z304" s="4">
        <v>55</v>
      </c>
      <c r="AA304" s="5">
        <v>35</v>
      </c>
      <c r="AB304" s="6">
        <v>30</v>
      </c>
      <c r="AC304" s="7">
        <v>30</v>
      </c>
      <c r="AD304" s="8">
        <v>35</v>
      </c>
      <c r="AE304" s="1">
        <v>220</v>
      </c>
      <c r="AF304" s="19">
        <v>36.67</v>
      </c>
      <c r="AG304" s="139">
        <v>35</v>
      </c>
      <c r="AH304" s="140">
        <v>55</v>
      </c>
      <c r="AI304" s="141">
        <v>35</v>
      </c>
      <c r="AJ304" s="142">
        <v>30</v>
      </c>
      <c r="AK304" s="143">
        <v>30</v>
      </c>
      <c r="AL304" s="144">
        <v>35</v>
      </c>
      <c r="AM304" s="138">
        <v>220</v>
      </c>
      <c r="AN304" s="153">
        <v>36.67</v>
      </c>
      <c r="AW304" s="45"/>
      <c r="AX304" s="174" t="b">
        <f>IF('Refined Compare'!$D$2="All",TRUE,IF(F304='Refined Compare'!$D$2,TRUE,IF(G304='Refined Compare'!$D$2,TRUE,FALSE)))</f>
        <v>1</v>
      </c>
      <c r="AY304" s="174" t="b">
        <f>IF('Refined Compare'!$D$3="All",TRUE,IF(F304='Refined Compare'!$D$3,TRUE,IF(G304='Refined Compare'!$D$3,TRUE,FALSE)))</f>
        <v>1</v>
      </c>
      <c r="AZ304" s="174" t="b">
        <f t="shared" si="101"/>
        <v>1</v>
      </c>
    </row>
    <row r="305" spans="1:52" x14ac:dyDescent="0.35">
      <c r="A305">
        <f t="shared" si="102"/>
        <v>304</v>
      </c>
      <c r="B305" s="18">
        <v>262</v>
      </c>
      <c r="C305" s="61">
        <v>3</v>
      </c>
      <c r="D305" s="118" t="b">
        <v>1</v>
      </c>
      <c r="E305" s="61"/>
      <c r="F305" s="66" t="s">
        <v>823</v>
      </c>
      <c r="G305" s="66" t="s">
        <v>827</v>
      </c>
      <c r="H305" s="2" t="s">
        <v>437</v>
      </c>
      <c r="I305" s="39">
        <f t="shared" si="103"/>
        <v>70</v>
      </c>
      <c r="J305" s="40">
        <f t="shared" si="104"/>
        <v>90</v>
      </c>
      <c r="K305" s="41">
        <f t="shared" si="105"/>
        <v>70</v>
      </c>
      <c r="L305" s="42">
        <f t="shared" si="106"/>
        <v>60</v>
      </c>
      <c r="M305" s="43">
        <f t="shared" si="107"/>
        <v>60</v>
      </c>
      <c r="N305" s="44">
        <f t="shared" si="108"/>
        <v>70</v>
      </c>
      <c r="O305" s="45">
        <f t="shared" si="109"/>
        <v>420</v>
      </c>
      <c r="P305" s="19">
        <f t="shared" si="110"/>
        <v>70</v>
      </c>
      <c r="Q305" s="177">
        <v>70</v>
      </c>
      <c r="R305" s="40">
        <v>90</v>
      </c>
      <c r="S305" s="41">
        <v>70</v>
      </c>
      <c r="T305" s="42">
        <v>60</v>
      </c>
      <c r="U305" s="43">
        <v>60</v>
      </c>
      <c r="V305" s="44">
        <v>70</v>
      </c>
      <c r="W305" s="45">
        <f t="shared" si="111"/>
        <v>420</v>
      </c>
      <c r="X305" s="19">
        <f t="shared" si="112"/>
        <v>70</v>
      </c>
      <c r="Y305" s="3">
        <v>70</v>
      </c>
      <c r="Z305" s="4">
        <v>90</v>
      </c>
      <c r="AA305" s="5">
        <v>70</v>
      </c>
      <c r="AB305" s="6">
        <v>60</v>
      </c>
      <c r="AC305" s="7">
        <v>60</v>
      </c>
      <c r="AD305" s="8">
        <v>70</v>
      </c>
      <c r="AE305" s="1">
        <v>420</v>
      </c>
      <c r="AF305" s="19">
        <v>70</v>
      </c>
      <c r="AG305" s="139">
        <v>70</v>
      </c>
      <c r="AH305" s="140">
        <v>90</v>
      </c>
      <c r="AI305" s="141">
        <v>70</v>
      </c>
      <c r="AJ305" s="142">
        <v>60</v>
      </c>
      <c r="AK305" s="143">
        <v>60</v>
      </c>
      <c r="AL305" s="144">
        <v>70</v>
      </c>
      <c r="AM305" s="138">
        <v>420</v>
      </c>
      <c r="AN305" s="153">
        <v>70</v>
      </c>
      <c r="AW305" s="45"/>
      <c r="AX305" s="174" t="b">
        <f>IF('Refined Compare'!$D$2="All",TRUE,IF(F305='Refined Compare'!$D$2,TRUE,IF(G305='Refined Compare'!$D$2,TRUE,FALSE)))</f>
        <v>1</v>
      </c>
      <c r="AY305" s="174" t="b">
        <f>IF('Refined Compare'!$D$3="All",TRUE,IF(F305='Refined Compare'!$D$3,TRUE,IF(G305='Refined Compare'!$D$3,TRUE,FALSE)))</f>
        <v>1</v>
      </c>
      <c r="AZ305" s="174" t="b">
        <f t="shared" si="101"/>
        <v>1</v>
      </c>
    </row>
    <row r="306" spans="1:52" x14ac:dyDescent="0.35">
      <c r="A306">
        <f t="shared" si="102"/>
        <v>305</v>
      </c>
      <c r="B306" s="18">
        <v>263</v>
      </c>
      <c r="C306" s="61">
        <v>3</v>
      </c>
      <c r="D306" s="61" t="b">
        <v>0</v>
      </c>
      <c r="E306" s="61"/>
      <c r="F306" s="66" t="s">
        <v>812</v>
      </c>
      <c r="G306" s="66" t="s">
        <v>827</v>
      </c>
      <c r="H306" s="2" t="s">
        <v>324</v>
      </c>
      <c r="I306" s="39">
        <f t="shared" si="103"/>
        <v>38</v>
      </c>
      <c r="J306" s="40">
        <f t="shared" si="104"/>
        <v>30</v>
      </c>
      <c r="K306" s="41">
        <f t="shared" si="105"/>
        <v>41</v>
      </c>
      <c r="L306" s="42">
        <f t="shared" si="106"/>
        <v>30</v>
      </c>
      <c r="M306" s="43">
        <f t="shared" si="107"/>
        <v>41</v>
      </c>
      <c r="N306" s="44">
        <f t="shared" si="108"/>
        <v>60</v>
      </c>
      <c r="O306" s="45">
        <f t="shared" si="109"/>
        <v>240</v>
      </c>
      <c r="P306" s="19">
        <f t="shared" si="110"/>
        <v>40</v>
      </c>
      <c r="Q306" s="177">
        <v>38</v>
      </c>
      <c r="R306" s="40">
        <v>30</v>
      </c>
      <c r="S306" s="41">
        <v>41</v>
      </c>
      <c r="T306" s="42">
        <v>30</v>
      </c>
      <c r="U306" s="43">
        <v>41</v>
      </c>
      <c r="V306" s="44">
        <v>60</v>
      </c>
      <c r="W306" s="45">
        <f t="shared" si="111"/>
        <v>240</v>
      </c>
      <c r="X306" s="19">
        <f t="shared" si="112"/>
        <v>40</v>
      </c>
      <c r="Y306" s="3">
        <v>38</v>
      </c>
      <c r="Z306" s="4">
        <v>30</v>
      </c>
      <c r="AA306" s="5">
        <v>41</v>
      </c>
      <c r="AB306" s="6">
        <v>30</v>
      </c>
      <c r="AC306" s="7">
        <v>41</v>
      </c>
      <c r="AD306" s="8">
        <v>60</v>
      </c>
      <c r="AE306" s="1">
        <v>240</v>
      </c>
      <c r="AF306" s="19">
        <v>40</v>
      </c>
      <c r="AG306" s="139">
        <v>38</v>
      </c>
      <c r="AH306" s="140">
        <v>30</v>
      </c>
      <c r="AI306" s="141">
        <v>41</v>
      </c>
      <c r="AJ306" s="142">
        <v>30</v>
      </c>
      <c r="AK306" s="143">
        <v>41</v>
      </c>
      <c r="AL306" s="144">
        <v>60</v>
      </c>
      <c r="AM306" s="138">
        <v>240</v>
      </c>
      <c r="AN306" s="153">
        <v>40</v>
      </c>
      <c r="AW306" s="45"/>
      <c r="AX306" s="174" t="b">
        <f>IF('Refined Compare'!$D$2="All",TRUE,IF(F306='Refined Compare'!$D$2,TRUE,IF(G306='Refined Compare'!$D$2,TRUE,FALSE)))</f>
        <v>0</v>
      </c>
      <c r="AY306" s="174" t="b">
        <f>IF('Refined Compare'!$D$3="All",TRUE,IF(F306='Refined Compare'!$D$3,TRUE,IF(G306='Refined Compare'!$D$3,TRUE,FALSE)))</f>
        <v>1</v>
      </c>
      <c r="AZ306" s="174" t="b">
        <f t="shared" si="101"/>
        <v>1</v>
      </c>
    </row>
    <row r="307" spans="1:52" x14ac:dyDescent="0.35">
      <c r="A307">
        <f t="shared" si="102"/>
        <v>306</v>
      </c>
      <c r="B307" s="18">
        <v>264</v>
      </c>
      <c r="C307" s="61">
        <v>3</v>
      </c>
      <c r="D307" s="118" t="b">
        <v>1</v>
      </c>
      <c r="E307" s="61"/>
      <c r="F307" s="66" t="s">
        <v>812</v>
      </c>
      <c r="G307" s="66" t="s">
        <v>827</v>
      </c>
      <c r="H307" s="2" t="s">
        <v>668</v>
      </c>
      <c r="I307" s="39">
        <f t="shared" si="103"/>
        <v>78</v>
      </c>
      <c r="J307" s="40">
        <f t="shared" si="104"/>
        <v>70</v>
      </c>
      <c r="K307" s="41">
        <f t="shared" si="105"/>
        <v>61</v>
      </c>
      <c r="L307" s="42">
        <f t="shared" si="106"/>
        <v>50</v>
      </c>
      <c r="M307" s="43">
        <f t="shared" si="107"/>
        <v>61</v>
      </c>
      <c r="N307" s="44">
        <f t="shared" si="108"/>
        <v>100</v>
      </c>
      <c r="O307" s="45">
        <f t="shared" si="109"/>
        <v>420</v>
      </c>
      <c r="P307" s="19">
        <f t="shared" si="110"/>
        <v>70</v>
      </c>
      <c r="Q307" s="177">
        <v>78</v>
      </c>
      <c r="R307" s="40">
        <v>70</v>
      </c>
      <c r="S307" s="41">
        <v>61</v>
      </c>
      <c r="T307" s="42">
        <v>50</v>
      </c>
      <c r="U307" s="43">
        <v>61</v>
      </c>
      <c r="V307" s="44">
        <v>100</v>
      </c>
      <c r="W307" s="45">
        <f t="shared" si="111"/>
        <v>420</v>
      </c>
      <c r="X307" s="19">
        <f t="shared" si="112"/>
        <v>70</v>
      </c>
      <c r="Y307" s="3">
        <v>78</v>
      </c>
      <c r="Z307" s="4">
        <v>70</v>
      </c>
      <c r="AA307" s="5">
        <v>61</v>
      </c>
      <c r="AB307" s="6">
        <v>50</v>
      </c>
      <c r="AC307" s="7">
        <v>61</v>
      </c>
      <c r="AD307" s="8">
        <v>100</v>
      </c>
      <c r="AE307" s="1">
        <v>420</v>
      </c>
      <c r="AF307" s="19">
        <v>70</v>
      </c>
      <c r="AG307" s="139">
        <v>78</v>
      </c>
      <c r="AH307" s="140">
        <v>70</v>
      </c>
      <c r="AI307" s="141">
        <v>61</v>
      </c>
      <c r="AJ307" s="142">
        <v>50</v>
      </c>
      <c r="AK307" s="143">
        <v>61</v>
      </c>
      <c r="AL307" s="144">
        <v>100</v>
      </c>
      <c r="AM307" s="138">
        <v>420</v>
      </c>
      <c r="AN307" s="153">
        <v>70</v>
      </c>
      <c r="AW307" s="45"/>
      <c r="AX307" s="174" t="b">
        <f>IF('Refined Compare'!$D$2="All",TRUE,IF(F307='Refined Compare'!$D$2,TRUE,IF(G307='Refined Compare'!$D$2,TRUE,FALSE)))</f>
        <v>0</v>
      </c>
      <c r="AY307" s="174" t="b">
        <f>IF('Refined Compare'!$D$3="All",TRUE,IF(F307='Refined Compare'!$D$3,TRUE,IF(G307='Refined Compare'!$D$3,TRUE,FALSE)))</f>
        <v>1</v>
      </c>
      <c r="AZ307" s="174" t="b">
        <f t="shared" si="101"/>
        <v>1</v>
      </c>
    </row>
    <row r="308" spans="1:52" x14ac:dyDescent="0.35">
      <c r="A308">
        <f t="shared" si="102"/>
        <v>307</v>
      </c>
      <c r="B308" s="18">
        <v>265</v>
      </c>
      <c r="C308" s="61">
        <v>3</v>
      </c>
      <c r="D308" s="61" t="b">
        <v>0</v>
      </c>
      <c r="E308" s="61"/>
      <c r="F308" s="66" t="s">
        <v>811</v>
      </c>
      <c r="G308" s="66" t="s">
        <v>827</v>
      </c>
      <c r="H308" s="2" t="s">
        <v>19</v>
      </c>
      <c r="I308" s="39">
        <f t="shared" si="103"/>
        <v>45</v>
      </c>
      <c r="J308" s="40">
        <f t="shared" si="104"/>
        <v>45</v>
      </c>
      <c r="K308" s="41">
        <f t="shared" si="105"/>
        <v>35</v>
      </c>
      <c r="L308" s="42">
        <f t="shared" si="106"/>
        <v>20</v>
      </c>
      <c r="M308" s="43">
        <f t="shared" si="107"/>
        <v>30</v>
      </c>
      <c r="N308" s="44">
        <f t="shared" si="108"/>
        <v>20</v>
      </c>
      <c r="O308" s="45">
        <f t="shared" si="109"/>
        <v>195</v>
      </c>
      <c r="P308" s="19">
        <f t="shared" si="110"/>
        <v>32.5</v>
      </c>
      <c r="Q308" s="177">
        <v>45</v>
      </c>
      <c r="R308" s="40">
        <v>45</v>
      </c>
      <c r="S308" s="41">
        <v>35</v>
      </c>
      <c r="T308" s="42">
        <v>20</v>
      </c>
      <c r="U308" s="43">
        <v>30</v>
      </c>
      <c r="V308" s="44">
        <v>20</v>
      </c>
      <c r="W308" s="45">
        <f t="shared" si="111"/>
        <v>195</v>
      </c>
      <c r="X308" s="19">
        <f t="shared" si="112"/>
        <v>32.5</v>
      </c>
      <c r="Y308" s="3">
        <v>45</v>
      </c>
      <c r="Z308" s="4">
        <v>45</v>
      </c>
      <c r="AA308" s="5">
        <v>35</v>
      </c>
      <c r="AB308" s="6">
        <v>20</v>
      </c>
      <c r="AC308" s="7">
        <v>30</v>
      </c>
      <c r="AD308" s="8">
        <v>20</v>
      </c>
      <c r="AE308" s="1">
        <v>195</v>
      </c>
      <c r="AF308" s="19">
        <v>32.5</v>
      </c>
      <c r="AG308" s="139">
        <v>45</v>
      </c>
      <c r="AH308" s="140">
        <v>45</v>
      </c>
      <c r="AI308" s="141">
        <v>35</v>
      </c>
      <c r="AJ308" s="142">
        <v>20</v>
      </c>
      <c r="AK308" s="143">
        <v>30</v>
      </c>
      <c r="AL308" s="144">
        <v>20</v>
      </c>
      <c r="AM308" s="138">
        <v>195</v>
      </c>
      <c r="AN308" s="153">
        <v>32.5</v>
      </c>
      <c r="AW308" s="45"/>
      <c r="AX308" s="174" t="b">
        <f>IF('Refined Compare'!$D$2="All",TRUE,IF(F308='Refined Compare'!$D$2,TRUE,IF(G308='Refined Compare'!$D$2,TRUE,FALSE)))</f>
        <v>0</v>
      </c>
      <c r="AY308" s="174" t="b">
        <f>IF('Refined Compare'!$D$3="All",TRUE,IF(F308='Refined Compare'!$D$3,TRUE,IF(G308='Refined Compare'!$D$3,TRUE,FALSE)))</f>
        <v>1</v>
      </c>
      <c r="AZ308" s="174" t="b">
        <f t="shared" si="101"/>
        <v>1</v>
      </c>
    </row>
    <row r="309" spans="1:52" x14ac:dyDescent="0.35">
      <c r="A309">
        <f t="shared" si="102"/>
        <v>308</v>
      </c>
      <c r="B309" s="18">
        <v>266</v>
      </c>
      <c r="C309" s="61">
        <v>3</v>
      </c>
      <c r="D309" s="61" t="b">
        <v>0</v>
      </c>
      <c r="E309" s="61"/>
      <c r="F309" s="66" t="s">
        <v>811</v>
      </c>
      <c r="G309" s="66" t="s">
        <v>827</v>
      </c>
      <c r="H309" s="2" t="s">
        <v>10</v>
      </c>
      <c r="I309" s="39">
        <f t="shared" si="103"/>
        <v>50</v>
      </c>
      <c r="J309" s="40">
        <f t="shared" si="104"/>
        <v>35</v>
      </c>
      <c r="K309" s="41">
        <f t="shared" si="105"/>
        <v>55</v>
      </c>
      <c r="L309" s="42">
        <f t="shared" si="106"/>
        <v>25</v>
      </c>
      <c r="M309" s="43">
        <f t="shared" si="107"/>
        <v>25</v>
      </c>
      <c r="N309" s="44">
        <f t="shared" si="108"/>
        <v>15</v>
      </c>
      <c r="O309" s="45">
        <f t="shared" si="109"/>
        <v>205</v>
      </c>
      <c r="P309" s="19">
        <f t="shared" si="110"/>
        <v>34.17</v>
      </c>
      <c r="Q309" s="177">
        <v>50</v>
      </c>
      <c r="R309" s="40">
        <v>35</v>
      </c>
      <c r="S309" s="41">
        <v>55</v>
      </c>
      <c r="T309" s="42">
        <v>25</v>
      </c>
      <c r="U309" s="43">
        <v>25</v>
      </c>
      <c r="V309" s="44">
        <v>15</v>
      </c>
      <c r="W309" s="45">
        <f t="shared" si="111"/>
        <v>205</v>
      </c>
      <c r="X309" s="19">
        <f t="shared" si="112"/>
        <v>34.17</v>
      </c>
      <c r="Y309" s="3">
        <v>50</v>
      </c>
      <c r="Z309" s="4">
        <v>35</v>
      </c>
      <c r="AA309" s="5">
        <v>55</v>
      </c>
      <c r="AB309" s="6">
        <v>25</v>
      </c>
      <c r="AC309" s="7">
        <v>25</v>
      </c>
      <c r="AD309" s="8">
        <v>15</v>
      </c>
      <c r="AE309" s="1">
        <v>205</v>
      </c>
      <c r="AF309" s="19">
        <v>34.17</v>
      </c>
      <c r="AG309" s="139">
        <v>50</v>
      </c>
      <c r="AH309" s="140">
        <v>35</v>
      </c>
      <c r="AI309" s="141">
        <v>55</v>
      </c>
      <c r="AJ309" s="142">
        <v>25</v>
      </c>
      <c r="AK309" s="143">
        <v>25</v>
      </c>
      <c r="AL309" s="144">
        <v>15</v>
      </c>
      <c r="AM309" s="138">
        <v>205</v>
      </c>
      <c r="AN309" s="153">
        <v>34.17</v>
      </c>
      <c r="AW309" s="45"/>
      <c r="AX309" s="174" t="b">
        <f>IF('Refined Compare'!$D$2="All",TRUE,IF(F309='Refined Compare'!$D$2,TRUE,IF(G309='Refined Compare'!$D$2,TRUE,FALSE)))</f>
        <v>0</v>
      </c>
      <c r="AY309" s="174" t="b">
        <f>IF('Refined Compare'!$D$3="All",TRUE,IF(F309='Refined Compare'!$D$3,TRUE,IF(G309='Refined Compare'!$D$3,TRUE,FALSE)))</f>
        <v>1</v>
      </c>
      <c r="AZ309" s="174" t="b">
        <f t="shared" si="101"/>
        <v>1</v>
      </c>
    </row>
    <row r="310" spans="1:52" x14ac:dyDescent="0.35">
      <c r="A310">
        <f t="shared" si="102"/>
        <v>309</v>
      </c>
      <c r="B310" s="18">
        <v>267</v>
      </c>
      <c r="C310" s="61">
        <v>3</v>
      </c>
      <c r="D310" s="118" t="b">
        <v>1</v>
      </c>
      <c r="E310" s="61"/>
      <c r="F310" s="66" t="s">
        <v>811</v>
      </c>
      <c r="G310" s="66" t="s">
        <v>809</v>
      </c>
      <c r="H310" s="2" t="s">
        <v>378</v>
      </c>
      <c r="I310" s="39">
        <f t="shared" si="103"/>
        <v>60</v>
      </c>
      <c r="J310" s="40">
        <f t="shared" si="104"/>
        <v>70</v>
      </c>
      <c r="K310" s="41">
        <f t="shared" si="105"/>
        <v>50</v>
      </c>
      <c r="L310" s="42">
        <f t="shared" si="106"/>
        <v>90</v>
      </c>
      <c r="M310" s="43">
        <f t="shared" si="107"/>
        <v>50</v>
      </c>
      <c r="N310" s="44">
        <f t="shared" si="108"/>
        <v>65</v>
      </c>
      <c r="O310" s="45">
        <f t="shared" si="109"/>
        <v>385</v>
      </c>
      <c r="P310" s="19">
        <f t="shared" si="110"/>
        <v>64.17</v>
      </c>
      <c r="Q310" s="177">
        <v>60</v>
      </c>
      <c r="R310" s="40">
        <v>70</v>
      </c>
      <c r="S310" s="41">
        <v>50</v>
      </c>
      <c r="T310" s="42">
        <v>100</v>
      </c>
      <c r="U310" s="43">
        <v>50</v>
      </c>
      <c r="V310" s="44">
        <v>65</v>
      </c>
      <c r="W310" s="45">
        <f t="shared" si="111"/>
        <v>395</v>
      </c>
      <c r="X310" s="19">
        <f t="shared" si="112"/>
        <v>65.83</v>
      </c>
      <c r="Y310" s="3">
        <v>60</v>
      </c>
      <c r="Z310" s="4">
        <v>70</v>
      </c>
      <c r="AA310" s="5">
        <v>50</v>
      </c>
      <c r="AB310" s="6">
        <v>100</v>
      </c>
      <c r="AC310" s="7">
        <v>50</v>
      </c>
      <c r="AD310" s="8">
        <v>65</v>
      </c>
      <c r="AE310" s="1">
        <v>395</v>
      </c>
      <c r="AF310" s="19">
        <v>65.83</v>
      </c>
      <c r="AG310" s="139">
        <v>60</v>
      </c>
      <c r="AH310" s="140">
        <v>70</v>
      </c>
      <c r="AI310" s="141">
        <v>50</v>
      </c>
      <c r="AJ310" s="142">
        <v>90</v>
      </c>
      <c r="AK310" s="143">
        <v>50</v>
      </c>
      <c r="AL310" s="144">
        <v>65</v>
      </c>
      <c r="AM310" s="138">
        <v>385</v>
      </c>
      <c r="AN310" s="153">
        <v>64.17</v>
      </c>
      <c r="AW310" s="45"/>
      <c r="AX310" s="174" t="b">
        <f>IF('Refined Compare'!$D$2="All",TRUE,IF(F310='Refined Compare'!$D$2,TRUE,IF(G310='Refined Compare'!$D$2,TRUE,FALSE)))</f>
        <v>0</v>
      </c>
      <c r="AY310" s="174" t="b">
        <f>IF('Refined Compare'!$D$3="All",TRUE,IF(F310='Refined Compare'!$D$3,TRUE,IF(G310='Refined Compare'!$D$3,TRUE,FALSE)))</f>
        <v>0</v>
      </c>
      <c r="AZ310" s="174" t="b">
        <f t="shared" si="101"/>
        <v>1</v>
      </c>
    </row>
    <row r="311" spans="1:52" x14ac:dyDescent="0.35">
      <c r="A311">
        <f t="shared" si="102"/>
        <v>310</v>
      </c>
      <c r="B311" s="18">
        <v>268</v>
      </c>
      <c r="C311" s="61">
        <v>3</v>
      </c>
      <c r="D311" s="118" t="b">
        <v>0</v>
      </c>
      <c r="E311" s="61"/>
      <c r="F311" s="66" t="s">
        <v>811</v>
      </c>
      <c r="G311" s="66" t="s">
        <v>827</v>
      </c>
      <c r="H311" s="2" t="s">
        <v>11</v>
      </c>
      <c r="I311" s="39">
        <f t="shared" si="103"/>
        <v>50</v>
      </c>
      <c r="J311" s="40">
        <f t="shared" si="104"/>
        <v>35</v>
      </c>
      <c r="K311" s="41">
        <f t="shared" si="105"/>
        <v>55</v>
      </c>
      <c r="L311" s="42">
        <f t="shared" si="106"/>
        <v>25</v>
      </c>
      <c r="M311" s="43">
        <f t="shared" si="107"/>
        <v>25</v>
      </c>
      <c r="N311" s="44">
        <f t="shared" si="108"/>
        <v>15</v>
      </c>
      <c r="O311" s="45">
        <f t="shared" si="109"/>
        <v>205</v>
      </c>
      <c r="P311" s="19">
        <f t="shared" si="110"/>
        <v>34.17</v>
      </c>
      <c r="Q311" s="177">
        <v>50</v>
      </c>
      <c r="R311" s="40">
        <v>35</v>
      </c>
      <c r="S311" s="41">
        <v>55</v>
      </c>
      <c r="T311" s="42">
        <v>25</v>
      </c>
      <c r="U311" s="43">
        <v>25</v>
      </c>
      <c r="V311" s="44">
        <v>15</v>
      </c>
      <c r="W311" s="45">
        <f t="shared" si="111"/>
        <v>205</v>
      </c>
      <c r="X311" s="19">
        <f t="shared" si="112"/>
        <v>34.17</v>
      </c>
      <c r="Y311" s="3">
        <v>50</v>
      </c>
      <c r="Z311" s="4">
        <v>35</v>
      </c>
      <c r="AA311" s="5">
        <v>55</v>
      </c>
      <c r="AB311" s="6">
        <v>25</v>
      </c>
      <c r="AC311" s="7">
        <v>25</v>
      </c>
      <c r="AD311" s="8">
        <v>15</v>
      </c>
      <c r="AE311" s="1">
        <v>205</v>
      </c>
      <c r="AF311" s="19">
        <v>34.17</v>
      </c>
      <c r="AG311" s="139">
        <v>50</v>
      </c>
      <c r="AH311" s="140">
        <v>35</v>
      </c>
      <c r="AI311" s="141">
        <v>55</v>
      </c>
      <c r="AJ311" s="142">
        <v>25</v>
      </c>
      <c r="AK311" s="143">
        <v>25</v>
      </c>
      <c r="AL311" s="144">
        <v>15</v>
      </c>
      <c r="AM311" s="138">
        <v>205</v>
      </c>
      <c r="AN311" s="153">
        <v>34.17</v>
      </c>
      <c r="AW311" s="45"/>
      <c r="AX311" s="174" t="b">
        <f>IF('Refined Compare'!$D$2="All",TRUE,IF(F311='Refined Compare'!$D$2,TRUE,IF(G311='Refined Compare'!$D$2,TRUE,FALSE)))</f>
        <v>0</v>
      </c>
      <c r="AY311" s="174" t="b">
        <f>IF('Refined Compare'!$D$3="All",TRUE,IF(F311='Refined Compare'!$D$3,TRUE,IF(G311='Refined Compare'!$D$3,TRUE,FALSE)))</f>
        <v>1</v>
      </c>
      <c r="AZ311" s="174" t="b">
        <f t="shared" si="101"/>
        <v>1</v>
      </c>
    </row>
    <row r="312" spans="1:52" x14ac:dyDescent="0.35">
      <c r="A312">
        <f t="shared" si="102"/>
        <v>311</v>
      </c>
      <c r="B312" s="18">
        <v>269</v>
      </c>
      <c r="C312" s="61">
        <v>3</v>
      </c>
      <c r="D312" s="118" t="b">
        <v>1</v>
      </c>
      <c r="E312" s="61"/>
      <c r="F312" s="66" t="s">
        <v>811</v>
      </c>
      <c r="G312" s="66" t="s">
        <v>807</v>
      </c>
      <c r="H312" s="2" t="s">
        <v>379</v>
      </c>
      <c r="I312" s="39">
        <f t="shared" si="103"/>
        <v>60</v>
      </c>
      <c r="J312" s="40">
        <f t="shared" si="104"/>
        <v>50</v>
      </c>
      <c r="K312" s="41">
        <f t="shared" si="105"/>
        <v>70</v>
      </c>
      <c r="L312" s="42">
        <f t="shared" si="106"/>
        <v>50</v>
      </c>
      <c r="M312" s="43">
        <f t="shared" si="107"/>
        <v>90</v>
      </c>
      <c r="N312" s="44">
        <f t="shared" si="108"/>
        <v>65</v>
      </c>
      <c r="O312" s="45">
        <f t="shared" si="109"/>
        <v>385</v>
      </c>
      <c r="P312" s="19">
        <f t="shared" si="110"/>
        <v>64.17</v>
      </c>
      <c r="Q312" s="177">
        <v>60</v>
      </c>
      <c r="R312" s="40">
        <v>50</v>
      </c>
      <c r="S312" s="41">
        <v>70</v>
      </c>
      <c r="T312" s="42">
        <v>50</v>
      </c>
      <c r="U312" s="43">
        <v>90</v>
      </c>
      <c r="V312" s="44">
        <v>65</v>
      </c>
      <c r="W312" s="45">
        <f t="shared" si="111"/>
        <v>385</v>
      </c>
      <c r="X312" s="19">
        <f t="shared" si="112"/>
        <v>64.17</v>
      </c>
      <c r="Y312" s="3">
        <v>60</v>
      </c>
      <c r="Z312" s="4">
        <v>50</v>
      </c>
      <c r="AA312" s="5">
        <v>70</v>
      </c>
      <c r="AB312" s="6">
        <v>50</v>
      </c>
      <c r="AC312" s="7">
        <v>90</v>
      </c>
      <c r="AD312" s="8">
        <v>65</v>
      </c>
      <c r="AE312" s="1">
        <v>385</v>
      </c>
      <c r="AF312" s="19">
        <v>64.17</v>
      </c>
      <c r="AG312" s="139">
        <v>60</v>
      </c>
      <c r="AH312" s="140">
        <v>50</v>
      </c>
      <c r="AI312" s="141">
        <v>70</v>
      </c>
      <c r="AJ312" s="142">
        <v>50</v>
      </c>
      <c r="AK312" s="143">
        <v>90</v>
      </c>
      <c r="AL312" s="144">
        <v>65</v>
      </c>
      <c r="AM312" s="138">
        <v>385</v>
      </c>
      <c r="AN312" s="153">
        <v>64.17</v>
      </c>
      <c r="AW312" s="45"/>
      <c r="AX312" s="174" t="b">
        <f>IF('Refined Compare'!$D$2="All",TRUE,IF(F312='Refined Compare'!$D$2,TRUE,IF(G312='Refined Compare'!$D$2,TRUE,FALSE)))</f>
        <v>0</v>
      </c>
      <c r="AY312" s="174" t="b">
        <f>IF('Refined Compare'!$D$3="All",TRUE,IF(F312='Refined Compare'!$D$3,TRUE,IF(G312='Refined Compare'!$D$3,TRUE,FALSE)))</f>
        <v>0</v>
      </c>
      <c r="AZ312" s="174" t="b">
        <f t="shared" si="101"/>
        <v>1</v>
      </c>
    </row>
    <row r="313" spans="1:52" x14ac:dyDescent="0.35">
      <c r="A313">
        <f t="shared" si="102"/>
        <v>312</v>
      </c>
      <c r="B313" s="18">
        <v>270</v>
      </c>
      <c r="C313" s="61">
        <v>3</v>
      </c>
      <c r="D313" s="61" t="b">
        <v>0</v>
      </c>
      <c r="E313" s="61"/>
      <c r="F313" s="66" t="s">
        <v>810</v>
      </c>
      <c r="G313" s="66" t="s">
        <v>806</v>
      </c>
      <c r="H313" s="2" t="s">
        <v>68</v>
      </c>
      <c r="I313" s="39">
        <f t="shared" si="103"/>
        <v>40</v>
      </c>
      <c r="J313" s="40">
        <f t="shared" si="104"/>
        <v>30</v>
      </c>
      <c r="K313" s="41">
        <f t="shared" si="105"/>
        <v>30</v>
      </c>
      <c r="L313" s="42">
        <f t="shared" si="106"/>
        <v>40</v>
      </c>
      <c r="M313" s="43">
        <f t="shared" si="107"/>
        <v>50</v>
      </c>
      <c r="N313" s="44">
        <f t="shared" si="108"/>
        <v>30</v>
      </c>
      <c r="O313" s="45">
        <f t="shared" si="109"/>
        <v>220</v>
      </c>
      <c r="P313" s="19">
        <f t="shared" si="110"/>
        <v>36.67</v>
      </c>
      <c r="Q313" s="177">
        <v>40</v>
      </c>
      <c r="R313" s="40">
        <v>30</v>
      </c>
      <c r="S313" s="41">
        <v>30</v>
      </c>
      <c r="T313" s="42">
        <v>40</v>
      </c>
      <c r="U313" s="43">
        <v>50</v>
      </c>
      <c r="V313" s="44">
        <v>30</v>
      </c>
      <c r="W313" s="45">
        <f t="shared" si="111"/>
        <v>220</v>
      </c>
      <c r="X313" s="19">
        <f t="shared" si="112"/>
        <v>36.67</v>
      </c>
      <c r="Y313" s="3">
        <v>40</v>
      </c>
      <c r="Z313" s="4">
        <v>30</v>
      </c>
      <c r="AA313" s="5">
        <v>30</v>
      </c>
      <c r="AB313" s="6">
        <v>40</v>
      </c>
      <c r="AC313" s="7">
        <v>50</v>
      </c>
      <c r="AD313" s="8">
        <v>30</v>
      </c>
      <c r="AE313" s="1">
        <v>220</v>
      </c>
      <c r="AF313" s="19">
        <v>36.67</v>
      </c>
      <c r="AG313" s="139">
        <v>40</v>
      </c>
      <c r="AH313" s="140">
        <v>30</v>
      </c>
      <c r="AI313" s="141">
        <v>30</v>
      </c>
      <c r="AJ313" s="142">
        <v>40</v>
      </c>
      <c r="AK313" s="143">
        <v>50</v>
      </c>
      <c r="AL313" s="144">
        <v>30</v>
      </c>
      <c r="AM313" s="138">
        <v>220</v>
      </c>
      <c r="AN313" s="153">
        <v>36.67</v>
      </c>
      <c r="AW313" s="45"/>
      <c r="AX313" s="174" t="b">
        <f>IF('Refined Compare'!$D$2="All",TRUE,IF(F313='Refined Compare'!$D$2,TRUE,IF(G313='Refined Compare'!$D$2,TRUE,FALSE)))</f>
        <v>0</v>
      </c>
      <c r="AY313" s="174" t="b">
        <f>IF('Refined Compare'!$D$3="All",TRUE,IF(F313='Refined Compare'!$D$3,TRUE,IF(G313='Refined Compare'!$D$3,TRUE,FALSE)))</f>
        <v>0</v>
      </c>
      <c r="AZ313" s="174" t="b">
        <f t="shared" si="101"/>
        <v>1</v>
      </c>
    </row>
    <row r="314" spans="1:52" x14ac:dyDescent="0.35">
      <c r="A314">
        <f t="shared" si="102"/>
        <v>313</v>
      </c>
      <c r="B314" s="18">
        <v>271</v>
      </c>
      <c r="C314" s="61">
        <v>3</v>
      </c>
      <c r="D314" s="61" t="b">
        <v>0</v>
      </c>
      <c r="E314" s="61"/>
      <c r="F314" s="66" t="s">
        <v>810</v>
      </c>
      <c r="G314" s="66" t="s">
        <v>806</v>
      </c>
      <c r="H314" s="2" t="s">
        <v>226</v>
      </c>
      <c r="I314" s="39">
        <f t="shared" si="103"/>
        <v>60</v>
      </c>
      <c r="J314" s="40">
        <f t="shared" si="104"/>
        <v>50</v>
      </c>
      <c r="K314" s="41">
        <f t="shared" si="105"/>
        <v>50</v>
      </c>
      <c r="L314" s="42">
        <f t="shared" si="106"/>
        <v>60</v>
      </c>
      <c r="M314" s="43">
        <f t="shared" si="107"/>
        <v>70</v>
      </c>
      <c r="N314" s="44">
        <f t="shared" si="108"/>
        <v>50</v>
      </c>
      <c r="O314" s="45">
        <f t="shared" si="109"/>
        <v>340</v>
      </c>
      <c r="P314" s="19">
        <f t="shared" si="110"/>
        <v>56.67</v>
      </c>
      <c r="Q314" s="177">
        <v>60</v>
      </c>
      <c r="R314" s="40">
        <v>50</v>
      </c>
      <c r="S314" s="41">
        <v>50</v>
      </c>
      <c r="T314" s="42">
        <v>60</v>
      </c>
      <c r="U314" s="43">
        <v>70</v>
      </c>
      <c r="V314" s="44">
        <v>50</v>
      </c>
      <c r="W314" s="45">
        <f t="shared" si="111"/>
        <v>340</v>
      </c>
      <c r="X314" s="19">
        <f t="shared" si="112"/>
        <v>56.67</v>
      </c>
      <c r="Y314" s="3">
        <v>60</v>
      </c>
      <c r="Z314" s="4">
        <v>50</v>
      </c>
      <c r="AA314" s="5">
        <v>50</v>
      </c>
      <c r="AB314" s="6">
        <v>60</v>
      </c>
      <c r="AC314" s="7">
        <v>70</v>
      </c>
      <c r="AD314" s="8">
        <v>50</v>
      </c>
      <c r="AE314" s="1">
        <v>340</v>
      </c>
      <c r="AF314" s="19">
        <v>56.67</v>
      </c>
      <c r="AG314" s="139">
        <v>60</v>
      </c>
      <c r="AH314" s="140">
        <v>50</v>
      </c>
      <c r="AI314" s="141">
        <v>50</v>
      </c>
      <c r="AJ314" s="142">
        <v>60</v>
      </c>
      <c r="AK314" s="143">
        <v>70</v>
      </c>
      <c r="AL314" s="144">
        <v>50</v>
      </c>
      <c r="AM314" s="138">
        <v>340</v>
      </c>
      <c r="AN314" s="153">
        <v>56.67</v>
      </c>
      <c r="AW314" s="45"/>
      <c r="AX314" s="174" t="b">
        <f>IF('Refined Compare'!$D$2="All",TRUE,IF(F314='Refined Compare'!$D$2,TRUE,IF(G314='Refined Compare'!$D$2,TRUE,FALSE)))</f>
        <v>0</v>
      </c>
      <c r="AY314" s="174" t="b">
        <f>IF('Refined Compare'!$D$3="All",TRUE,IF(F314='Refined Compare'!$D$3,TRUE,IF(G314='Refined Compare'!$D$3,TRUE,FALSE)))</f>
        <v>0</v>
      </c>
      <c r="AZ314" s="174" t="b">
        <f t="shared" si="101"/>
        <v>1</v>
      </c>
    </row>
    <row r="315" spans="1:52" x14ac:dyDescent="0.35">
      <c r="A315">
        <f t="shared" si="102"/>
        <v>314</v>
      </c>
      <c r="B315" s="18">
        <v>272</v>
      </c>
      <c r="C315" s="61">
        <v>3</v>
      </c>
      <c r="D315" s="118" t="b">
        <v>1</v>
      </c>
      <c r="E315" s="61"/>
      <c r="F315" s="66" t="s">
        <v>810</v>
      </c>
      <c r="G315" s="66" t="s">
        <v>806</v>
      </c>
      <c r="H315" s="2" t="s">
        <v>438</v>
      </c>
      <c r="I315" s="39">
        <f t="shared" si="103"/>
        <v>80</v>
      </c>
      <c r="J315" s="40">
        <f t="shared" si="104"/>
        <v>70</v>
      </c>
      <c r="K315" s="41">
        <f t="shared" si="105"/>
        <v>70</v>
      </c>
      <c r="L315" s="42">
        <f t="shared" si="106"/>
        <v>90</v>
      </c>
      <c r="M315" s="43">
        <f t="shared" si="107"/>
        <v>100</v>
      </c>
      <c r="N315" s="44">
        <f t="shared" si="108"/>
        <v>70</v>
      </c>
      <c r="O315" s="45">
        <f t="shared" si="109"/>
        <v>480</v>
      </c>
      <c r="P315" s="19">
        <f t="shared" si="110"/>
        <v>80</v>
      </c>
      <c r="Q315" s="177">
        <v>80</v>
      </c>
      <c r="R315" s="40">
        <v>70</v>
      </c>
      <c r="S315" s="41">
        <v>70</v>
      </c>
      <c r="T315" s="42">
        <v>90</v>
      </c>
      <c r="U315" s="43">
        <v>100</v>
      </c>
      <c r="V315" s="44">
        <v>70</v>
      </c>
      <c r="W315" s="45">
        <f t="shared" si="111"/>
        <v>480</v>
      </c>
      <c r="X315" s="19">
        <f t="shared" si="112"/>
        <v>80</v>
      </c>
      <c r="Y315" s="3">
        <v>80</v>
      </c>
      <c r="Z315" s="4">
        <v>70</v>
      </c>
      <c r="AA315" s="5">
        <v>70</v>
      </c>
      <c r="AB315" s="6">
        <v>90</v>
      </c>
      <c r="AC315" s="7">
        <v>100</v>
      </c>
      <c r="AD315" s="8">
        <v>70</v>
      </c>
      <c r="AE315" s="1">
        <v>480</v>
      </c>
      <c r="AF315" s="19">
        <v>80</v>
      </c>
      <c r="AG315" s="139">
        <v>80</v>
      </c>
      <c r="AH315" s="140">
        <v>70</v>
      </c>
      <c r="AI315" s="141">
        <v>70</v>
      </c>
      <c r="AJ315" s="142">
        <v>90</v>
      </c>
      <c r="AK315" s="143">
        <v>100</v>
      </c>
      <c r="AL315" s="144">
        <v>70</v>
      </c>
      <c r="AM315" s="138">
        <v>480</v>
      </c>
      <c r="AN315" s="153">
        <v>80</v>
      </c>
      <c r="AW315" s="45"/>
      <c r="AX315" s="174" t="b">
        <f>IF('Refined Compare'!$D$2="All",TRUE,IF(F315='Refined Compare'!$D$2,TRUE,IF(G315='Refined Compare'!$D$2,TRUE,FALSE)))</f>
        <v>0</v>
      </c>
      <c r="AY315" s="174" t="b">
        <f>IF('Refined Compare'!$D$3="All",TRUE,IF(F315='Refined Compare'!$D$3,TRUE,IF(G315='Refined Compare'!$D$3,TRUE,FALSE)))</f>
        <v>0</v>
      </c>
      <c r="AZ315" s="174" t="b">
        <f t="shared" si="101"/>
        <v>1</v>
      </c>
    </row>
    <row r="316" spans="1:52" x14ac:dyDescent="0.35">
      <c r="A316">
        <f t="shared" si="102"/>
        <v>315</v>
      </c>
      <c r="B316" s="18">
        <v>273</v>
      </c>
      <c r="C316" s="61">
        <v>3</v>
      </c>
      <c r="D316" s="61" t="b">
        <v>0</v>
      </c>
      <c r="E316" s="61"/>
      <c r="F316" s="66" t="s">
        <v>806</v>
      </c>
      <c r="G316" s="66" t="s">
        <v>827</v>
      </c>
      <c r="H316" s="2" t="s">
        <v>69</v>
      </c>
      <c r="I316" s="39">
        <f t="shared" si="103"/>
        <v>40</v>
      </c>
      <c r="J316" s="40">
        <f t="shared" si="104"/>
        <v>40</v>
      </c>
      <c r="K316" s="41">
        <f t="shared" si="105"/>
        <v>50</v>
      </c>
      <c r="L316" s="42">
        <f t="shared" si="106"/>
        <v>30</v>
      </c>
      <c r="M316" s="43">
        <f t="shared" si="107"/>
        <v>30</v>
      </c>
      <c r="N316" s="44">
        <f t="shared" si="108"/>
        <v>30</v>
      </c>
      <c r="O316" s="45">
        <f t="shared" si="109"/>
        <v>220</v>
      </c>
      <c r="P316" s="19">
        <f t="shared" si="110"/>
        <v>36.67</v>
      </c>
      <c r="Q316" s="177">
        <v>40</v>
      </c>
      <c r="R316" s="40">
        <v>40</v>
      </c>
      <c r="S316" s="41">
        <v>50</v>
      </c>
      <c r="T316" s="42">
        <v>30</v>
      </c>
      <c r="U316" s="43">
        <v>30</v>
      </c>
      <c r="V316" s="44">
        <v>30</v>
      </c>
      <c r="W316" s="45">
        <f t="shared" si="111"/>
        <v>220</v>
      </c>
      <c r="X316" s="19">
        <f t="shared" si="112"/>
        <v>36.67</v>
      </c>
      <c r="Y316" s="3">
        <v>40</v>
      </c>
      <c r="Z316" s="4">
        <v>40</v>
      </c>
      <c r="AA316" s="5">
        <v>50</v>
      </c>
      <c r="AB316" s="6">
        <v>30</v>
      </c>
      <c r="AC316" s="7">
        <v>30</v>
      </c>
      <c r="AD316" s="8">
        <v>30</v>
      </c>
      <c r="AE316" s="1">
        <v>220</v>
      </c>
      <c r="AF316" s="19">
        <v>36.67</v>
      </c>
      <c r="AG316" s="139">
        <v>40</v>
      </c>
      <c r="AH316" s="140">
        <v>40</v>
      </c>
      <c r="AI316" s="141">
        <v>50</v>
      </c>
      <c r="AJ316" s="142">
        <v>30</v>
      </c>
      <c r="AK316" s="143">
        <v>30</v>
      </c>
      <c r="AL316" s="144">
        <v>30</v>
      </c>
      <c r="AM316" s="138">
        <v>220</v>
      </c>
      <c r="AN316" s="153">
        <v>36.67</v>
      </c>
      <c r="AW316" s="45"/>
      <c r="AX316" s="174" t="b">
        <f>IF('Refined Compare'!$D$2="All",TRUE,IF(F316='Refined Compare'!$D$2,TRUE,IF(G316='Refined Compare'!$D$2,TRUE,FALSE)))</f>
        <v>0</v>
      </c>
      <c r="AY316" s="174" t="b">
        <f>IF('Refined Compare'!$D$3="All",TRUE,IF(F316='Refined Compare'!$D$3,TRUE,IF(G316='Refined Compare'!$D$3,TRUE,FALSE)))</f>
        <v>1</v>
      </c>
      <c r="AZ316" s="174" t="b">
        <f t="shared" si="101"/>
        <v>1</v>
      </c>
    </row>
    <row r="317" spans="1:52" x14ac:dyDescent="0.35">
      <c r="A317">
        <f t="shared" si="102"/>
        <v>316</v>
      </c>
      <c r="B317" s="18">
        <v>274</v>
      </c>
      <c r="C317" s="61">
        <v>3</v>
      </c>
      <c r="D317" s="118" t="b">
        <v>0</v>
      </c>
      <c r="E317" s="61"/>
      <c r="F317" s="66" t="s">
        <v>806</v>
      </c>
      <c r="G317" s="66" t="s">
        <v>823</v>
      </c>
      <c r="H317" s="2" t="s">
        <v>325</v>
      </c>
      <c r="I317" s="39">
        <f t="shared" si="103"/>
        <v>70</v>
      </c>
      <c r="J317" s="40">
        <f t="shared" si="104"/>
        <v>70</v>
      </c>
      <c r="K317" s="41">
        <f t="shared" si="105"/>
        <v>40</v>
      </c>
      <c r="L317" s="42">
        <f t="shared" si="106"/>
        <v>60</v>
      </c>
      <c r="M317" s="43">
        <f t="shared" si="107"/>
        <v>40</v>
      </c>
      <c r="N317" s="44">
        <f t="shared" si="108"/>
        <v>60</v>
      </c>
      <c r="O317" s="45">
        <f t="shared" si="109"/>
        <v>340</v>
      </c>
      <c r="P317" s="19">
        <f t="shared" si="110"/>
        <v>56.67</v>
      </c>
      <c r="Q317" s="177">
        <v>70</v>
      </c>
      <c r="R317" s="40">
        <v>70</v>
      </c>
      <c r="S317" s="41">
        <v>40</v>
      </c>
      <c r="T317" s="42">
        <v>60</v>
      </c>
      <c r="U317" s="43">
        <v>40</v>
      </c>
      <c r="V317" s="44">
        <v>60</v>
      </c>
      <c r="W317" s="45">
        <f t="shared" si="111"/>
        <v>340</v>
      </c>
      <c r="X317" s="19">
        <f t="shared" si="112"/>
        <v>56.67</v>
      </c>
      <c r="Y317" s="3">
        <v>70</v>
      </c>
      <c r="Z317" s="4">
        <v>70</v>
      </c>
      <c r="AA317" s="5">
        <v>40</v>
      </c>
      <c r="AB317" s="6">
        <v>60</v>
      </c>
      <c r="AC317" s="7">
        <v>40</v>
      </c>
      <c r="AD317" s="8">
        <v>60</v>
      </c>
      <c r="AE317" s="1">
        <v>340</v>
      </c>
      <c r="AF317" s="19">
        <v>56.67</v>
      </c>
      <c r="AG317" s="139">
        <v>70</v>
      </c>
      <c r="AH317" s="140">
        <v>70</v>
      </c>
      <c r="AI317" s="141">
        <v>40</v>
      </c>
      <c r="AJ317" s="142">
        <v>60</v>
      </c>
      <c r="AK317" s="143">
        <v>40</v>
      </c>
      <c r="AL317" s="144">
        <v>60</v>
      </c>
      <c r="AM317" s="138">
        <v>340</v>
      </c>
      <c r="AN317" s="153">
        <v>56.67</v>
      </c>
      <c r="AW317" s="45"/>
      <c r="AX317" s="174" t="b">
        <f>IF('Refined Compare'!$D$2="All",TRUE,IF(F317='Refined Compare'!$D$2,TRUE,IF(G317='Refined Compare'!$D$2,TRUE,FALSE)))</f>
        <v>1</v>
      </c>
      <c r="AY317" s="174" t="b">
        <f>IF('Refined Compare'!$D$3="All",TRUE,IF(F317='Refined Compare'!$D$3,TRUE,IF(G317='Refined Compare'!$D$3,TRUE,FALSE)))</f>
        <v>0</v>
      </c>
      <c r="AZ317" s="174" t="b">
        <f t="shared" si="101"/>
        <v>1</v>
      </c>
    </row>
    <row r="318" spans="1:52" x14ac:dyDescent="0.35">
      <c r="A318">
        <f t="shared" si="102"/>
        <v>317</v>
      </c>
      <c r="B318" s="18">
        <v>275</v>
      </c>
      <c r="C318" s="61">
        <v>3</v>
      </c>
      <c r="D318" s="118" t="b">
        <v>1</v>
      </c>
      <c r="E318" s="61"/>
      <c r="F318" s="66" t="s">
        <v>806</v>
      </c>
      <c r="G318" s="66" t="s">
        <v>823</v>
      </c>
      <c r="H318" s="2" t="s">
        <v>508</v>
      </c>
      <c r="I318" s="39">
        <f t="shared" si="103"/>
        <v>90</v>
      </c>
      <c r="J318" s="40">
        <f t="shared" si="104"/>
        <v>100</v>
      </c>
      <c r="K318" s="41">
        <f t="shared" si="105"/>
        <v>60</v>
      </c>
      <c r="L318" s="42">
        <f t="shared" si="106"/>
        <v>90</v>
      </c>
      <c r="M318" s="43">
        <f t="shared" si="107"/>
        <v>60</v>
      </c>
      <c r="N318" s="44">
        <f t="shared" si="108"/>
        <v>80</v>
      </c>
      <c r="O318" s="45">
        <f t="shared" si="109"/>
        <v>480</v>
      </c>
      <c r="P318" s="19">
        <f t="shared" si="110"/>
        <v>80</v>
      </c>
      <c r="Q318" s="177">
        <v>90</v>
      </c>
      <c r="R318" s="40">
        <v>100</v>
      </c>
      <c r="S318" s="41">
        <v>60</v>
      </c>
      <c r="T318" s="42">
        <v>90</v>
      </c>
      <c r="U318" s="43">
        <v>60</v>
      </c>
      <c r="V318" s="44">
        <v>80</v>
      </c>
      <c r="W318" s="45">
        <f t="shared" si="111"/>
        <v>480</v>
      </c>
      <c r="X318" s="19">
        <f t="shared" si="112"/>
        <v>80</v>
      </c>
      <c r="Y318" s="3">
        <v>90</v>
      </c>
      <c r="Z318" s="4">
        <v>100</v>
      </c>
      <c r="AA318" s="5">
        <v>60</v>
      </c>
      <c r="AB318" s="6">
        <v>90</v>
      </c>
      <c r="AC318" s="7">
        <v>60</v>
      </c>
      <c r="AD318" s="8">
        <v>80</v>
      </c>
      <c r="AE318" s="1">
        <v>480</v>
      </c>
      <c r="AF318" s="19">
        <v>80</v>
      </c>
      <c r="AG318" s="139">
        <v>90</v>
      </c>
      <c r="AH318" s="140">
        <v>100</v>
      </c>
      <c r="AI318" s="141">
        <v>60</v>
      </c>
      <c r="AJ318" s="142">
        <v>90</v>
      </c>
      <c r="AK318" s="143">
        <v>60</v>
      </c>
      <c r="AL318" s="144">
        <v>80</v>
      </c>
      <c r="AM318" s="138">
        <v>480</v>
      </c>
      <c r="AN318" s="153">
        <v>80</v>
      </c>
      <c r="AW318" s="45"/>
      <c r="AX318" s="174" t="b">
        <f>IF('Refined Compare'!$D$2="All",TRUE,IF(F318='Refined Compare'!$D$2,TRUE,IF(G318='Refined Compare'!$D$2,TRUE,FALSE)))</f>
        <v>1</v>
      </c>
      <c r="AY318" s="174" t="b">
        <f>IF('Refined Compare'!$D$3="All",TRUE,IF(F318='Refined Compare'!$D$3,TRUE,IF(G318='Refined Compare'!$D$3,TRUE,FALSE)))</f>
        <v>0</v>
      </c>
      <c r="AZ318" s="174" t="b">
        <f t="shared" si="101"/>
        <v>1</v>
      </c>
    </row>
    <row r="319" spans="1:52" x14ac:dyDescent="0.35">
      <c r="A319">
        <f t="shared" si="102"/>
        <v>318</v>
      </c>
      <c r="B319" s="18">
        <v>276</v>
      </c>
      <c r="C319" s="61">
        <v>3</v>
      </c>
      <c r="D319" s="61" t="b">
        <v>0</v>
      </c>
      <c r="E319" s="61"/>
      <c r="F319" s="66" t="s">
        <v>812</v>
      </c>
      <c r="G319" s="66" t="s">
        <v>809</v>
      </c>
      <c r="H319" s="2" t="s">
        <v>555</v>
      </c>
      <c r="I319" s="39">
        <f t="shared" si="103"/>
        <v>40</v>
      </c>
      <c r="J319" s="40">
        <f t="shared" si="104"/>
        <v>55</v>
      </c>
      <c r="K319" s="41">
        <f t="shared" si="105"/>
        <v>30</v>
      </c>
      <c r="L319" s="42">
        <f t="shared" si="106"/>
        <v>30</v>
      </c>
      <c r="M319" s="43">
        <f t="shared" si="107"/>
        <v>30</v>
      </c>
      <c r="N319" s="44">
        <f t="shared" si="108"/>
        <v>85</v>
      </c>
      <c r="O319" s="45">
        <f t="shared" si="109"/>
        <v>270</v>
      </c>
      <c r="P319" s="19">
        <f t="shared" si="110"/>
        <v>45</v>
      </c>
      <c r="Q319" s="177">
        <v>40</v>
      </c>
      <c r="R319" s="40">
        <v>55</v>
      </c>
      <c r="S319" s="41">
        <v>30</v>
      </c>
      <c r="T319" s="42">
        <v>30</v>
      </c>
      <c r="U319" s="43">
        <v>30</v>
      </c>
      <c r="V319" s="44">
        <v>85</v>
      </c>
      <c r="W319" s="45">
        <f t="shared" si="111"/>
        <v>270</v>
      </c>
      <c r="X319" s="19">
        <f t="shared" si="112"/>
        <v>45</v>
      </c>
      <c r="Y319" s="3">
        <v>40</v>
      </c>
      <c r="Z319" s="4">
        <v>55</v>
      </c>
      <c r="AA319" s="5">
        <v>30</v>
      </c>
      <c r="AB319" s="6">
        <v>30</v>
      </c>
      <c r="AC319" s="7">
        <v>30</v>
      </c>
      <c r="AD319" s="8">
        <v>85</v>
      </c>
      <c r="AE319" s="1">
        <v>270</v>
      </c>
      <c r="AF319" s="19">
        <v>45</v>
      </c>
      <c r="AG319" s="139">
        <v>40</v>
      </c>
      <c r="AH319" s="140">
        <v>55</v>
      </c>
      <c r="AI319" s="141">
        <v>30</v>
      </c>
      <c r="AJ319" s="142">
        <v>30</v>
      </c>
      <c r="AK319" s="143">
        <v>30</v>
      </c>
      <c r="AL319" s="144">
        <v>85</v>
      </c>
      <c r="AM319" s="138">
        <v>270</v>
      </c>
      <c r="AN319" s="153">
        <v>45</v>
      </c>
      <c r="AW319" s="45"/>
      <c r="AX319" s="174" t="b">
        <f>IF('Refined Compare'!$D$2="All",TRUE,IF(F319='Refined Compare'!$D$2,TRUE,IF(G319='Refined Compare'!$D$2,TRUE,FALSE)))</f>
        <v>0</v>
      </c>
      <c r="AY319" s="174" t="b">
        <f>IF('Refined Compare'!$D$3="All",TRUE,IF(F319='Refined Compare'!$D$3,TRUE,IF(G319='Refined Compare'!$D$3,TRUE,FALSE)))</f>
        <v>0</v>
      </c>
      <c r="AZ319" s="174" t="b">
        <f t="shared" si="101"/>
        <v>1</v>
      </c>
    </row>
    <row r="320" spans="1:52" x14ac:dyDescent="0.35">
      <c r="A320">
        <f t="shared" si="102"/>
        <v>319</v>
      </c>
      <c r="B320" s="18">
        <v>277</v>
      </c>
      <c r="C320" s="61">
        <v>3</v>
      </c>
      <c r="D320" s="118" t="b">
        <v>1</v>
      </c>
      <c r="E320" s="61"/>
      <c r="F320" s="66" t="s">
        <v>812</v>
      </c>
      <c r="G320" s="66" t="s">
        <v>809</v>
      </c>
      <c r="H320" s="2" t="s">
        <v>757</v>
      </c>
      <c r="I320" s="39">
        <f t="shared" si="103"/>
        <v>60</v>
      </c>
      <c r="J320" s="40">
        <f t="shared" si="104"/>
        <v>85</v>
      </c>
      <c r="K320" s="41">
        <f t="shared" si="105"/>
        <v>60</v>
      </c>
      <c r="L320" s="42">
        <f t="shared" si="106"/>
        <v>50</v>
      </c>
      <c r="M320" s="43">
        <f t="shared" si="107"/>
        <v>50</v>
      </c>
      <c r="N320" s="44">
        <f t="shared" si="108"/>
        <v>125</v>
      </c>
      <c r="O320" s="45">
        <f t="shared" si="109"/>
        <v>430</v>
      </c>
      <c r="P320" s="19">
        <f t="shared" si="110"/>
        <v>71.67</v>
      </c>
      <c r="Q320" s="177">
        <v>60</v>
      </c>
      <c r="R320" s="40">
        <v>85</v>
      </c>
      <c r="S320" s="41">
        <v>60</v>
      </c>
      <c r="T320" s="42">
        <v>75</v>
      </c>
      <c r="U320" s="43">
        <v>50</v>
      </c>
      <c r="V320" s="44">
        <v>125</v>
      </c>
      <c r="W320" s="45">
        <f t="shared" si="111"/>
        <v>455</v>
      </c>
      <c r="X320" s="19">
        <f t="shared" si="112"/>
        <v>75.83</v>
      </c>
      <c r="Y320" s="3">
        <v>60</v>
      </c>
      <c r="Z320" s="4">
        <v>85</v>
      </c>
      <c r="AA320" s="5">
        <v>60</v>
      </c>
      <c r="AB320" s="6">
        <v>50</v>
      </c>
      <c r="AC320" s="7">
        <v>50</v>
      </c>
      <c r="AD320" s="8">
        <v>125</v>
      </c>
      <c r="AE320" s="1">
        <v>430</v>
      </c>
      <c r="AF320" s="19">
        <v>71.67</v>
      </c>
      <c r="AG320" s="139">
        <v>60</v>
      </c>
      <c r="AH320" s="140">
        <v>85</v>
      </c>
      <c r="AI320" s="141">
        <v>60</v>
      </c>
      <c r="AJ320" s="142">
        <v>50</v>
      </c>
      <c r="AK320" s="143">
        <v>50</v>
      </c>
      <c r="AL320" s="144">
        <v>125</v>
      </c>
      <c r="AM320" s="138">
        <v>430</v>
      </c>
      <c r="AN320" s="153">
        <v>71.67</v>
      </c>
      <c r="AW320" s="45"/>
      <c r="AX320" s="174" t="b">
        <f>IF('Refined Compare'!$D$2="All",TRUE,IF(F320='Refined Compare'!$D$2,TRUE,IF(G320='Refined Compare'!$D$2,TRUE,FALSE)))</f>
        <v>0</v>
      </c>
      <c r="AY320" s="174" t="b">
        <f>IF('Refined Compare'!$D$3="All",TRUE,IF(F320='Refined Compare'!$D$3,TRUE,IF(G320='Refined Compare'!$D$3,TRUE,FALSE)))</f>
        <v>0</v>
      </c>
      <c r="AZ320" s="174" t="b">
        <f t="shared" si="101"/>
        <v>1</v>
      </c>
    </row>
    <row r="321" spans="1:52" x14ac:dyDescent="0.35">
      <c r="A321">
        <f t="shared" si="102"/>
        <v>320</v>
      </c>
      <c r="B321" s="18">
        <v>278</v>
      </c>
      <c r="C321" s="61">
        <v>3</v>
      </c>
      <c r="D321" s="61" t="b">
        <v>0</v>
      </c>
      <c r="E321" s="61"/>
      <c r="F321" s="66" t="s">
        <v>810</v>
      </c>
      <c r="G321" s="66" t="s">
        <v>809</v>
      </c>
      <c r="H321" s="2" t="s">
        <v>556</v>
      </c>
      <c r="I321" s="39">
        <f t="shared" si="103"/>
        <v>40</v>
      </c>
      <c r="J321" s="40">
        <f t="shared" si="104"/>
        <v>30</v>
      </c>
      <c r="K321" s="41">
        <f t="shared" si="105"/>
        <v>30</v>
      </c>
      <c r="L321" s="42">
        <f t="shared" si="106"/>
        <v>55</v>
      </c>
      <c r="M321" s="43">
        <f t="shared" si="107"/>
        <v>30</v>
      </c>
      <c r="N321" s="44">
        <f t="shared" si="108"/>
        <v>85</v>
      </c>
      <c r="O321" s="45">
        <f t="shared" si="109"/>
        <v>270</v>
      </c>
      <c r="P321" s="19">
        <f t="shared" si="110"/>
        <v>45</v>
      </c>
      <c r="Q321" s="177">
        <v>40</v>
      </c>
      <c r="R321" s="40">
        <v>30</v>
      </c>
      <c r="S321" s="41">
        <v>30</v>
      </c>
      <c r="T321" s="42">
        <v>55</v>
      </c>
      <c r="U321" s="43">
        <v>30</v>
      </c>
      <c r="V321" s="44">
        <v>85</v>
      </c>
      <c r="W321" s="45">
        <f t="shared" si="111"/>
        <v>270</v>
      </c>
      <c r="X321" s="19">
        <f t="shared" si="112"/>
        <v>45</v>
      </c>
      <c r="Y321" s="3">
        <v>40</v>
      </c>
      <c r="Z321" s="4">
        <v>30</v>
      </c>
      <c r="AA321" s="5">
        <v>30</v>
      </c>
      <c r="AB321" s="6">
        <v>55</v>
      </c>
      <c r="AC321" s="7">
        <v>30</v>
      </c>
      <c r="AD321" s="8">
        <v>85</v>
      </c>
      <c r="AE321" s="1">
        <v>270</v>
      </c>
      <c r="AF321" s="19">
        <v>45</v>
      </c>
      <c r="AG321" s="139">
        <v>40</v>
      </c>
      <c r="AH321" s="140">
        <v>30</v>
      </c>
      <c r="AI321" s="141">
        <v>30</v>
      </c>
      <c r="AJ321" s="142">
        <v>55</v>
      </c>
      <c r="AK321" s="143">
        <v>30</v>
      </c>
      <c r="AL321" s="144">
        <v>85</v>
      </c>
      <c r="AM321" s="138">
        <v>270</v>
      </c>
      <c r="AN321" s="153">
        <v>45</v>
      </c>
      <c r="AW321" s="45"/>
      <c r="AX321" s="174" t="b">
        <f>IF('Refined Compare'!$D$2="All",TRUE,IF(F321='Refined Compare'!$D$2,TRUE,IF(G321='Refined Compare'!$D$2,TRUE,FALSE)))</f>
        <v>0</v>
      </c>
      <c r="AY321" s="174" t="b">
        <f>IF('Refined Compare'!$D$3="All",TRUE,IF(F321='Refined Compare'!$D$3,TRUE,IF(G321='Refined Compare'!$D$3,TRUE,FALSE)))</f>
        <v>0</v>
      </c>
      <c r="AZ321" s="174" t="b">
        <f t="shared" si="101"/>
        <v>1</v>
      </c>
    </row>
    <row r="322" spans="1:52" x14ac:dyDescent="0.35">
      <c r="A322">
        <f t="shared" si="102"/>
        <v>321</v>
      </c>
      <c r="B322" s="18">
        <v>279</v>
      </c>
      <c r="C322" s="61">
        <v>3</v>
      </c>
      <c r="D322" s="118" t="b">
        <v>1</v>
      </c>
      <c r="E322" s="61"/>
      <c r="F322" s="66" t="s">
        <v>810</v>
      </c>
      <c r="G322" s="66" t="s">
        <v>809</v>
      </c>
      <c r="H322" s="2" t="s">
        <v>380</v>
      </c>
      <c r="I322" s="39">
        <f t="shared" si="103"/>
        <v>60</v>
      </c>
      <c r="J322" s="40">
        <f t="shared" si="104"/>
        <v>50</v>
      </c>
      <c r="K322" s="41">
        <f t="shared" si="105"/>
        <v>100</v>
      </c>
      <c r="L322" s="42">
        <f t="shared" si="106"/>
        <v>85</v>
      </c>
      <c r="M322" s="43">
        <f t="shared" si="107"/>
        <v>70</v>
      </c>
      <c r="N322" s="44">
        <f t="shared" si="108"/>
        <v>65</v>
      </c>
      <c r="O322" s="45">
        <f t="shared" si="109"/>
        <v>430</v>
      </c>
      <c r="P322" s="19">
        <f t="shared" si="110"/>
        <v>71.67</v>
      </c>
      <c r="Q322" s="177">
        <v>60</v>
      </c>
      <c r="R322" s="40">
        <v>50</v>
      </c>
      <c r="S322" s="41">
        <v>100</v>
      </c>
      <c r="T322" s="42">
        <v>95</v>
      </c>
      <c r="U322" s="43">
        <v>70</v>
      </c>
      <c r="V322" s="44">
        <v>65</v>
      </c>
      <c r="W322" s="45">
        <f t="shared" si="111"/>
        <v>440</v>
      </c>
      <c r="X322" s="19">
        <f t="shared" si="112"/>
        <v>73.33</v>
      </c>
      <c r="Y322" s="3">
        <v>60</v>
      </c>
      <c r="Z322" s="4">
        <v>50</v>
      </c>
      <c r="AA322" s="5">
        <v>100</v>
      </c>
      <c r="AB322" s="6">
        <v>85</v>
      </c>
      <c r="AC322" s="7">
        <v>70</v>
      </c>
      <c r="AD322" s="8">
        <v>65</v>
      </c>
      <c r="AE322" s="1">
        <v>430</v>
      </c>
      <c r="AF322" s="19">
        <v>71.67</v>
      </c>
      <c r="AG322" s="139">
        <v>60</v>
      </c>
      <c r="AH322" s="140">
        <v>50</v>
      </c>
      <c r="AI322" s="141">
        <v>100</v>
      </c>
      <c r="AJ322" s="142">
        <v>85</v>
      </c>
      <c r="AK322" s="143">
        <v>70</v>
      </c>
      <c r="AL322" s="144">
        <v>65</v>
      </c>
      <c r="AM322" s="138">
        <v>430</v>
      </c>
      <c r="AN322" s="153">
        <v>71.67</v>
      </c>
      <c r="AW322" s="45"/>
      <c r="AX322" s="174" t="b">
        <f>IF('Refined Compare'!$D$2="All",TRUE,IF(F322='Refined Compare'!$D$2,TRUE,IF(G322='Refined Compare'!$D$2,TRUE,FALSE)))</f>
        <v>0</v>
      </c>
      <c r="AY322" s="174" t="b">
        <f>IF('Refined Compare'!$D$3="All",TRUE,IF(F322='Refined Compare'!$D$3,TRUE,IF(G322='Refined Compare'!$D$3,TRUE,FALSE)))</f>
        <v>0</v>
      </c>
      <c r="AZ322" s="174" t="b">
        <f t="shared" ref="AZ322:AZ385" si="113">IF(C322&lt;=$AW$2,TRUE,FALSE)</f>
        <v>1</v>
      </c>
    </row>
    <row r="323" spans="1:52" x14ac:dyDescent="0.35">
      <c r="A323">
        <f t="shared" si="102"/>
        <v>322</v>
      </c>
      <c r="B323" s="18">
        <v>280</v>
      </c>
      <c r="C323" s="61">
        <v>3</v>
      </c>
      <c r="D323" s="61" t="b">
        <v>0</v>
      </c>
      <c r="E323" s="61"/>
      <c r="F323" s="66" t="s">
        <v>817</v>
      </c>
      <c r="G323" s="66" t="str">
        <f>IF($AW$2&lt;6,"Single type","Fairy")</f>
        <v>Single type</v>
      </c>
      <c r="H323" s="2" t="s">
        <v>137</v>
      </c>
      <c r="I323" s="39">
        <f t="shared" si="103"/>
        <v>28</v>
      </c>
      <c r="J323" s="40">
        <f t="shared" si="104"/>
        <v>25</v>
      </c>
      <c r="K323" s="41">
        <f t="shared" si="105"/>
        <v>25</v>
      </c>
      <c r="L323" s="42">
        <f t="shared" si="106"/>
        <v>45</v>
      </c>
      <c r="M323" s="43">
        <f t="shared" si="107"/>
        <v>35</v>
      </c>
      <c r="N323" s="44">
        <f t="shared" si="108"/>
        <v>40</v>
      </c>
      <c r="O323" s="45">
        <f t="shared" si="109"/>
        <v>198</v>
      </c>
      <c r="P323" s="19">
        <f t="shared" si="110"/>
        <v>33</v>
      </c>
      <c r="Q323" s="177">
        <v>28</v>
      </c>
      <c r="R323" s="40">
        <v>25</v>
      </c>
      <c r="S323" s="41">
        <v>25</v>
      </c>
      <c r="T323" s="42">
        <v>45</v>
      </c>
      <c r="U323" s="43">
        <v>35</v>
      </c>
      <c r="V323" s="44">
        <v>40</v>
      </c>
      <c r="W323" s="45">
        <f t="shared" si="111"/>
        <v>198</v>
      </c>
      <c r="X323" s="19">
        <f t="shared" si="112"/>
        <v>33</v>
      </c>
      <c r="Y323" s="3">
        <v>28</v>
      </c>
      <c r="Z323" s="4">
        <v>25</v>
      </c>
      <c r="AA323" s="5">
        <v>25</v>
      </c>
      <c r="AB323" s="6">
        <v>45</v>
      </c>
      <c r="AC323" s="7">
        <v>35</v>
      </c>
      <c r="AD323" s="8">
        <v>40</v>
      </c>
      <c r="AE323" s="1">
        <v>198</v>
      </c>
      <c r="AF323" s="19">
        <v>33</v>
      </c>
      <c r="AG323" s="139">
        <v>28</v>
      </c>
      <c r="AH323" s="140">
        <v>25</v>
      </c>
      <c r="AI323" s="141">
        <v>25</v>
      </c>
      <c r="AJ323" s="142">
        <v>45</v>
      </c>
      <c r="AK323" s="143">
        <v>35</v>
      </c>
      <c r="AL323" s="144">
        <v>40</v>
      </c>
      <c r="AM323" s="138">
        <v>198</v>
      </c>
      <c r="AN323" s="153">
        <v>33</v>
      </c>
      <c r="AW323" s="45"/>
      <c r="AX323" s="174" t="b">
        <f>IF('Refined Compare'!$D$2="All",TRUE,IF(F323='Refined Compare'!$D$2,TRUE,IF(G323='Refined Compare'!$D$2,TRUE,FALSE)))</f>
        <v>0</v>
      </c>
      <c r="AY323" s="174" t="b">
        <f>IF('Refined Compare'!$D$3="All",TRUE,IF(F323='Refined Compare'!$D$3,TRUE,IF(G323='Refined Compare'!$D$3,TRUE,FALSE)))</f>
        <v>1</v>
      </c>
      <c r="AZ323" s="174" t="b">
        <f t="shared" si="113"/>
        <v>1</v>
      </c>
    </row>
    <row r="324" spans="1:52" x14ac:dyDescent="0.35">
      <c r="A324">
        <f t="shared" si="102"/>
        <v>323</v>
      </c>
      <c r="B324" s="18">
        <v>281</v>
      </c>
      <c r="C324" s="61">
        <v>3</v>
      </c>
      <c r="D324" s="61" t="b">
        <v>0</v>
      </c>
      <c r="E324" s="61"/>
      <c r="F324" s="66" t="s">
        <v>817</v>
      </c>
      <c r="G324" s="66" t="str">
        <f>IF($AW$2&lt;6,"Single type","Fairy")</f>
        <v>Single type</v>
      </c>
      <c r="H324" s="2" t="s">
        <v>227</v>
      </c>
      <c r="I324" s="39">
        <f t="shared" si="103"/>
        <v>38</v>
      </c>
      <c r="J324" s="40">
        <f t="shared" si="104"/>
        <v>35</v>
      </c>
      <c r="K324" s="41">
        <f t="shared" si="105"/>
        <v>35</v>
      </c>
      <c r="L324" s="42">
        <f t="shared" si="106"/>
        <v>65</v>
      </c>
      <c r="M324" s="43">
        <f t="shared" si="107"/>
        <v>55</v>
      </c>
      <c r="N324" s="44">
        <f t="shared" si="108"/>
        <v>50</v>
      </c>
      <c r="O324" s="45">
        <f t="shared" si="109"/>
        <v>278</v>
      </c>
      <c r="P324" s="19">
        <f t="shared" si="110"/>
        <v>46.33</v>
      </c>
      <c r="Q324" s="177">
        <v>38</v>
      </c>
      <c r="R324" s="40">
        <v>35</v>
      </c>
      <c r="S324" s="41">
        <v>35</v>
      </c>
      <c r="T324" s="42">
        <v>65</v>
      </c>
      <c r="U324" s="43">
        <v>55</v>
      </c>
      <c r="V324" s="44">
        <v>50</v>
      </c>
      <c r="W324" s="45">
        <f t="shared" si="111"/>
        <v>278</v>
      </c>
      <c r="X324" s="19">
        <f t="shared" si="112"/>
        <v>46.33</v>
      </c>
      <c r="Y324" s="3">
        <v>38</v>
      </c>
      <c r="Z324" s="4">
        <v>35</v>
      </c>
      <c r="AA324" s="5">
        <v>35</v>
      </c>
      <c r="AB324" s="6">
        <v>65</v>
      </c>
      <c r="AC324" s="7">
        <v>55</v>
      </c>
      <c r="AD324" s="8">
        <v>50</v>
      </c>
      <c r="AE324" s="1">
        <v>278</v>
      </c>
      <c r="AF324" s="19">
        <v>46.33</v>
      </c>
      <c r="AG324" s="139">
        <v>38</v>
      </c>
      <c r="AH324" s="140">
        <v>35</v>
      </c>
      <c r="AI324" s="141">
        <v>35</v>
      </c>
      <c r="AJ324" s="142">
        <v>65</v>
      </c>
      <c r="AK324" s="143">
        <v>55</v>
      </c>
      <c r="AL324" s="144">
        <v>50</v>
      </c>
      <c r="AM324" s="138">
        <v>278</v>
      </c>
      <c r="AN324" s="153">
        <v>46.33</v>
      </c>
      <c r="AW324" s="45"/>
      <c r="AX324" s="174" t="b">
        <f>IF('Refined Compare'!$D$2="All",TRUE,IF(F324='Refined Compare'!$D$2,TRUE,IF(G324='Refined Compare'!$D$2,TRUE,FALSE)))</f>
        <v>0</v>
      </c>
      <c r="AY324" s="174" t="b">
        <f>IF('Refined Compare'!$D$3="All",TRUE,IF(F324='Refined Compare'!$D$3,TRUE,IF(G324='Refined Compare'!$D$3,TRUE,FALSE)))</f>
        <v>1</v>
      </c>
      <c r="AZ324" s="174" t="b">
        <f t="shared" si="113"/>
        <v>1</v>
      </c>
    </row>
    <row r="325" spans="1:52" x14ac:dyDescent="0.35">
      <c r="A325">
        <f t="shared" si="102"/>
        <v>324</v>
      </c>
      <c r="B325" s="18">
        <v>282</v>
      </c>
      <c r="C325" s="61">
        <v>3</v>
      </c>
      <c r="D325" s="61" t="b">
        <f>IF($AW$2&lt;6,TRUE,FALSE)</f>
        <v>1</v>
      </c>
      <c r="E325" s="61"/>
      <c r="F325" s="66" t="s">
        <v>817</v>
      </c>
      <c r="G325" s="66" t="str">
        <f>IF($AW$2&lt;6,"Single type","Fairy")</f>
        <v>Single type</v>
      </c>
      <c r="H325" s="2" t="s">
        <v>509</v>
      </c>
      <c r="I325" s="39">
        <f t="shared" si="103"/>
        <v>68</v>
      </c>
      <c r="J325" s="40">
        <f t="shared" si="104"/>
        <v>65</v>
      </c>
      <c r="K325" s="41">
        <f t="shared" si="105"/>
        <v>65</v>
      </c>
      <c r="L325" s="42">
        <f t="shared" si="106"/>
        <v>125</v>
      </c>
      <c r="M325" s="43">
        <f t="shared" si="107"/>
        <v>115</v>
      </c>
      <c r="N325" s="44">
        <f t="shared" si="108"/>
        <v>80</v>
      </c>
      <c r="O325" s="45">
        <f t="shared" si="109"/>
        <v>518</v>
      </c>
      <c r="P325" s="19">
        <f t="shared" si="110"/>
        <v>86.33</v>
      </c>
      <c r="Q325" s="177">
        <v>68</v>
      </c>
      <c r="R325" s="40">
        <v>65</v>
      </c>
      <c r="S325" s="41">
        <v>65</v>
      </c>
      <c r="T325" s="42">
        <v>125</v>
      </c>
      <c r="U325" s="43">
        <v>115</v>
      </c>
      <c r="V325" s="44">
        <v>80</v>
      </c>
      <c r="W325" s="45">
        <f t="shared" si="111"/>
        <v>518</v>
      </c>
      <c r="X325" s="19">
        <f t="shared" si="112"/>
        <v>86.33</v>
      </c>
      <c r="Y325" s="3">
        <v>68</v>
      </c>
      <c r="Z325" s="4">
        <v>65</v>
      </c>
      <c r="AA325" s="5">
        <v>65</v>
      </c>
      <c r="AB325" s="6">
        <v>125</v>
      </c>
      <c r="AC325" s="7">
        <v>115</v>
      </c>
      <c r="AD325" s="8">
        <v>80</v>
      </c>
      <c r="AE325" s="1">
        <v>518</v>
      </c>
      <c r="AF325" s="19">
        <v>86.33</v>
      </c>
      <c r="AG325" s="139">
        <v>68</v>
      </c>
      <c r="AH325" s="140">
        <v>65</v>
      </c>
      <c r="AI325" s="141">
        <v>65</v>
      </c>
      <c r="AJ325" s="142">
        <v>125</v>
      </c>
      <c r="AK325" s="143">
        <v>115</v>
      </c>
      <c r="AL325" s="144">
        <v>80</v>
      </c>
      <c r="AM325" s="138">
        <v>518</v>
      </c>
      <c r="AN325" s="153">
        <v>86.33</v>
      </c>
      <c r="AW325" s="45"/>
      <c r="AX325" s="174" t="b">
        <f>IF('Refined Compare'!$D$2="All",TRUE,IF(F325='Refined Compare'!$D$2,TRUE,IF(G325='Refined Compare'!$D$2,TRUE,FALSE)))</f>
        <v>0</v>
      </c>
      <c r="AY325" s="174" t="b">
        <f>IF('Refined Compare'!$D$3="All",TRUE,IF(F325='Refined Compare'!$D$3,TRUE,IF(G325='Refined Compare'!$D$3,TRUE,FALSE)))</f>
        <v>1</v>
      </c>
      <c r="AZ325" s="174" t="b">
        <f t="shared" si="113"/>
        <v>1</v>
      </c>
    </row>
    <row r="326" spans="1:52" x14ac:dyDescent="0.35">
      <c r="A326">
        <f t="shared" si="102"/>
        <v>325</v>
      </c>
      <c r="B326" s="62">
        <v>282</v>
      </c>
      <c r="C326" s="61">
        <v>6</v>
      </c>
      <c r="D326" s="118" t="b">
        <f>IF(AZ326,TRUE,FALSE)</f>
        <v>0</v>
      </c>
      <c r="E326" s="61" t="s">
        <v>801</v>
      </c>
      <c r="F326" s="66" t="s">
        <v>817</v>
      </c>
      <c r="G326" s="66" t="s">
        <v>815</v>
      </c>
      <c r="H326" s="2" t="s">
        <v>669</v>
      </c>
      <c r="I326" s="39">
        <f t="shared" si="103"/>
        <v>0</v>
      </c>
      <c r="J326" s="40">
        <f t="shared" si="104"/>
        <v>0</v>
      </c>
      <c r="K326" s="41">
        <f t="shared" si="105"/>
        <v>0</v>
      </c>
      <c r="L326" s="42">
        <f t="shared" si="106"/>
        <v>0</v>
      </c>
      <c r="M326" s="43">
        <f t="shared" si="107"/>
        <v>0</v>
      </c>
      <c r="N326" s="44">
        <f t="shared" si="108"/>
        <v>0</v>
      </c>
      <c r="O326" s="45">
        <f t="shared" si="109"/>
        <v>0</v>
      </c>
      <c r="P326" s="19">
        <f t="shared" si="110"/>
        <v>0</v>
      </c>
      <c r="Q326" s="177">
        <v>68</v>
      </c>
      <c r="R326" s="40">
        <v>85</v>
      </c>
      <c r="S326" s="41">
        <v>65</v>
      </c>
      <c r="T326" s="42">
        <v>165</v>
      </c>
      <c r="U326" s="43">
        <v>135</v>
      </c>
      <c r="V326" s="44">
        <v>100</v>
      </c>
      <c r="W326" s="45">
        <f t="shared" si="111"/>
        <v>618</v>
      </c>
      <c r="X326" s="19">
        <f t="shared" si="112"/>
        <v>103</v>
      </c>
      <c r="Y326" s="3">
        <v>68</v>
      </c>
      <c r="Z326" s="4">
        <v>85</v>
      </c>
      <c r="AA326" s="5">
        <v>65</v>
      </c>
      <c r="AB326" s="6">
        <v>165</v>
      </c>
      <c r="AC326" s="7">
        <v>135</v>
      </c>
      <c r="AD326" s="8">
        <v>100</v>
      </c>
      <c r="AE326" s="1">
        <v>618</v>
      </c>
      <c r="AF326" s="19">
        <v>103</v>
      </c>
      <c r="AN326" s="172"/>
      <c r="AV326" s="174"/>
      <c r="AW326" s="45"/>
      <c r="AX326" s="174" t="b">
        <f>IF('Refined Compare'!$D$2="All",TRUE,IF(F326='Refined Compare'!$D$2,TRUE,IF(G326='Refined Compare'!$D$2,TRUE,FALSE)))</f>
        <v>0</v>
      </c>
      <c r="AY326" s="174" t="b">
        <f>IF('Refined Compare'!$D$3="All",TRUE,IF(F326='Refined Compare'!$D$3,TRUE,IF(G326='Refined Compare'!$D$3,TRUE,FALSE)))</f>
        <v>0</v>
      </c>
      <c r="AZ326" s="174" t="b">
        <f t="shared" si="113"/>
        <v>0</v>
      </c>
    </row>
    <row r="327" spans="1:52" x14ac:dyDescent="0.35">
      <c r="A327">
        <f t="shared" si="102"/>
        <v>326</v>
      </c>
      <c r="B327" s="18">
        <v>283</v>
      </c>
      <c r="C327" s="61">
        <v>3</v>
      </c>
      <c r="D327" s="61" t="b">
        <v>0</v>
      </c>
      <c r="E327" s="61"/>
      <c r="F327" s="66" t="s">
        <v>811</v>
      </c>
      <c r="G327" s="66" t="s">
        <v>810</v>
      </c>
      <c r="H327" s="2" t="s">
        <v>381</v>
      </c>
      <c r="I327" s="39">
        <f t="shared" si="103"/>
        <v>40</v>
      </c>
      <c r="J327" s="40">
        <f t="shared" si="104"/>
        <v>30</v>
      </c>
      <c r="K327" s="41">
        <f t="shared" si="105"/>
        <v>32</v>
      </c>
      <c r="L327" s="42">
        <f t="shared" si="106"/>
        <v>50</v>
      </c>
      <c r="M327" s="43">
        <f t="shared" si="107"/>
        <v>52</v>
      </c>
      <c r="N327" s="44">
        <f t="shared" si="108"/>
        <v>65</v>
      </c>
      <c r="O327" s="45">
        <f t="shared" si="109"/>
        <v>269</v>
      </c>
      <c r="P327" s="19">
        <f t="shared" si="110"/>
        <v>44.83</v>
      </c>
      <c r="Q327" s="177">
        <v>40</v>
      </c>
      <c r="R327" s="40">
        <v>30</v>
      </c>
      <c r="S327" s="41">
        <v>32</v>
      </c>
      <c r="T327" s="42">
        <v>50</v>
      </c>
      <c r="U327" s="43">
        <v>52</v>
      </c>
      <c r="V327" s="44">
        <v>65</v>
      </c>
      <c r="W327" s="45">
        <f t="shared" si="111"/>
        <v>269</v>
      </c>
      <c r="X327" s="19">
        <f t="shared" si="112"/>
        <v>44.83</v>
      </c>
      <c r="Y327" s="3">
        <v>40</v>
      </c>
      <c r="Z327" s="4">
        <v>30</v>
      </c>
      <c r="AA327" s="5">
        <v>32</v>
      </c>
      <c r="AB327" s="6">
        <v>50</v>
      </c>
      <c r="AC327" s="7">
        <v>52</v>
      </c>
      <c r="AD327" s="8">
        <v>65</v>
      </c>
      <c r="AE327" s="1">
        <v>269</v>
      </c>
      <c r="AF327" s="19">
        <v>44.83</v>
      </c>
      <c r="AG327" s="139">
        <v>40</v>
      </c>
      <c r="AH327" s="140">
        <v>30</v>
      </c>
      <c r="AI327" s="141">
        <v>32</v>
      </c>
      <c r="AJ327" s="142">
        <v>50</v>
      </c>
      <c r="AK327" s="143">
        <v>52</v>
      </c>
      <c r="AL327" s="144">
        <v>65</v>
      </c>
      <c r="AM327" s="138">
        <v>269</v>
      </c>
      <c r="AN327" s="153">
        <v>44.83</v>
      </c>
      <c r="AW327" s="45"/>
      <c r="AX327" s="174" t="b">
        <f>IF('Refined Compare'!$D$2="All",TRUE,IF(F327='Refined Compare'!$D$2,TRUE,IF(G327='Refined Compare'!$D$2,TRUE,FALSE)))</f>
        <v>0</v>
      </c>
      <c r="AY327" s="174" t="b">
        <f>IF('Refined Compare'!$D$3="All",TRUE,IF(F327='Refined Compare'!$D$3,TRUE,IF(G327='Refined Compare'!$D$3,TRUE,FALSE)))</f>
        <v>0</v>
      </c>
      <c r="AZ327" s="174" t="b">
        <f t="shared" si="113"/>
        <v>1</v>
      </c>
    </row>
    <row r="328" spans="1:52" x14ac:dyDescent="0.35">
      <c r="A328">
        <f t="shared" si="102"/>
        <v>327</v>
      </c>
      <c r="B328" s="18">
        <v>284</v>
      </c>
      <c r="C328" s="61">
        <v>3</v>
      </c>
      <c r="D328" s="118" t="b">
        <v>1</v>
      </c>
      <c r="E328" s="61"/>
      <c r="F328" s="66" t="s">
        <v>811</v>
      </c>
      <c r="G328" s="66" t="s">
        <v>809</v>
      </c>
      <c r="H328" s="2" t="s">
        <v>326</v>
      </c>
      <c r="I328" s="39">
        <f t="shared" si="103"/>
        <v>70</v>
      </c>
      <c r="J328" s="40">
        <f t="shared" si="104"/>
        <v>60</v>
      </c>
      <c r="K328" s="41">
        <f t="shared" si="105"/>
        <v>62</v>
      </c>
      <c r="L328" s="42">
        <f t="shared" si="106"/>
        <v>80</v>
      </c>
      <c r="M328" s="43">
        <f t="shared" si="107"/>
        <v>82</v>
      </c>
      <c r="N328" s="44">
        <f t="shared" si="108"/>
        <v>60</v>
      </c>
      <c r="O328" s="45">
        <f t="shared" si="109"/>
        <v>414</v>
      </c>
      <c r="P328" s="19">
        <f t="shared" si="110"/>
        <v>69</v>
      </c>
      <c r="Q328" s="177">
        <v>70</v>
      </c>
      <c r="R328" s="40">
        <v>60</v>
      </c>
      <c r="S328" s="41">
        <v>62</v>
      </c>
      <c r="T328" s="42">
        <v>100</v>
      </c>
      <c r="U328" s="43">
        <v>82</v>
      </c>
      <c r="V328" s="44">
        <v>80</v>
      </c>
      <c r="W328" s="45">
        <f t="shared" si="111"/>
        <v>454</v>
      </c>
      <c r="X328" s="19">
        <f t="shared" si="112"/>
        <v>75.67</v>
      </c>
      <c r="Y328" s="3">
        <v>70</v>
      </c>
      <c r="Z328" s="4">
        <v>60</v>
      </c>
      <c r="AA328" s="5">
        <v>62</v>
      </c>
      <c r="AB328" s="6">
        <v>80</v>
      </c>
      <c r="AC328" s="7">
        <v>82</v>
      </c>
      <c r="AD328" s="8">
        <v>60</v>
      </c>
      <c r="AE328" s="1">
        <v>414</v>
      </c>
      <c r="AF328" s="19">
        <v>69</v>
      </c>
      <c r="AG328" s="139">
        <v>70</v>
      </c>
      <c r="AH328" s="140">
        <v>60</v>
      </c>
      <c r="AI328" s="141">
        <v>62</v>
      </c>
      <c r="AJ328" s="142">
        <v>80</v>
      </c>
      <c r="AK328" s="143">
        <v>82</v>
      </c>
      <c r="AL328" s="144">
        <v>60</v>
      </c>
      <c r="AM328" s="138">
        <v>414</v>
      </c>
      <c r="AN328" s="153">
        <v>69</v>
      </c>
      <c r="AW328" s="45"/>
      <c r="AX328" s="174" t="b">
        <f>IF('Refined Compare'!$D$2="All",TRUE,IF(F328='Refined Compare'!$D$2,TRUE,IF(G328='Refined Compare'!$D$2,TRUE,FALSE)))</f>
        <v>0</v>
      </c>
      <c r="AY328" s="174" t="b">
        <f>IF('Refined Compare'!$D$3="All",TRUE,IF(F328='Refined Compare'!$D$3,TRUE,IF(G328='Refined Compare'!$D$3,TRUE,FALSE)))</f>
        <v>0</v>
      </c>
      <c r="AZ328" s="174" t="b">
        <f t="shared" si="113"/>
        <v>1</v>
      </c>
    </row>
    <row r="329" spans="1:52" x14ac:dyDescent="0.35">
      <c r="A329">
        <f t="shared" si="102"/>
        <v>328</v>
      </c>
      <c r="B329" s="18">
        <v>285</v>
      </c>
      <c r="C329" s="61">
        <v>3</v>
      </c>
      <c r="D329" s="61" t="b">
        <v>0</v>
      </c>
      <c r="E329" s="61"/>
      <c r="F329" s="66" t="s">
        <v>806</v>
      </c>
      <c r="G329" s="66" t="s">
        <v>827</v>
      </c>
      <c r="H329" s="2" t="s">
        <v>107</v>
      </c>
      <c r="I329" s="39">
        <f t="shared" si="103"/>
        <v>60</v>
      </c>
      <c r="J329" s="40">
        <f t="shared" si="104"/>
        <v>40</v>
      </c>
      <c r="K329" s="41">
        <f t="shared" si="105"/>
        <v>60</v>
      </c>
      <c r="L329" s="42">
        <f t="shared" si="106"/>
        <v>40</v>
      </c>
      <c r="M329" s="43">
        <f t="shared" si="107"/>
        <v>60</v>
      </c>
      <c r="N329" s="44">
        <f t="shared" si="108"/>
        <v>35</v>
      </c>
      <c r="O329" s="45">
        <f t="shared" si="109"/>
        <v>295</v>
      </c>
      <c r="P329" s="19">
        <f t="shared" si="110"/>
        <v>49.17</v>
      </c>
      <c r="Q329" s="177">
        <v>60</v>
      </c>
      <c r="R329" s="40">
        <v>40</v>
      </c>
      <c r="S329" s="41">
        <v>60</v>
      </c>
      <c r="T329" s="42">
        <v>40</v>
      </c>
      <c r="U329" s="43">
        <v>60</v>
      </c>
      <c r="V329" s="44">
        <v>35</v>
      </c>
      <c r="W329" s="45">
        <f t="shared" si="111"/>
        <v>295</v>
      </c>
      <c r="X329" s="19">
        <f t="shared" si="112"/>
        <v>49.17</v>
      </c>
      <c r="Y329" s="3">
        <v>60</v>
      </c>
      <c r="Z329" s="4">
        <v>40</v>
      </c>
      <c r="AA329" s="5">
        <v>60</v>
      </c>
      <c r="AB329" s="6">
        <v>40</v>
      </c>
      <c r="AC329" s="7">
        <v>60</v>
      </c>
      <c r="AD329" s="8">
        <v>35</v>
      </c>
      <c r="AE329" s="1">
        <v>295</v>
      </c>
      <c r="AF329" s="19">
        <v>49.17</v>
      </c>
      <c r="AG329" s="139">
        <v>60</v>
      </c>
      <c r="AH329" s="140">
        <v>40</v>
      </c>
      <c r="AI329" s="141">
        <v>60</v>
      </c>
      <c r="AJ329" s="142">
        <v>40</v>
      </c>
      <c r="AK329" s="143">
        <v>60</v>
      </c>
      <c r="AL329" s="144">
        <v>35</v>
      </c>
      <c r="AM329" s="138">
        <v>295</v>
      </c>
      <c r="AN329" s="153">
        <v>49.17</v>
      </c>
      <c r="AW329" s="45"/>
      <c r="AX329" s="174" t="b">
        <f>IF('Refined Compare'!$D$2="All",TRUE,IF(F329='Refined Compare'!$D$2,TRUE,IF(G329='Refined Compare'!$D$2,TRUE,FALSE)))</f>
        <v>0</v>
      </c>
      <c r="AY329" s="174" t="b">
        <f>IF('Refined Compare'!$D$3="All",TRUE,IF(F329='Refined Compare'!$D$3,TRUE,IF(G329='Refined Compare'!$D$3,TRUE,FALSE)))</f>
        <v>1</v>
      </c>
      <c r="AZ329" s="174" t="b">
        <f t="shared" si="113"/>
        <v>1</v>
      </c>
    </row>
    <row r="330" spans="1:52" x14ac:dyDescent="0.35">
      <c r="A330">
        <f t="shared" si="102"/>
        <v>329</v>
      </c>
      <c r="B330" s="18">
        <v>286</v>
      </c>
      <c r="C330" s="61">
        <v>3</v>
      </c>
      <c r="D330" s="118" t="b">
        <v>1</v>
      </c>
      <c r="E330" s="61"/>
      <c r="F330" s="66" t="s">
        <v>806</v>
      </c>
      <c r="G330" s="66" t="s">
        <v>816</v>
      </c>
      <c r="H330" s="2" t="s">
        <v>439</v>
      </c>
      <c r="I330" s="39">
        <f t="shared" si="103"/>
        <v>60</v>
      </c>
      <c r="J330" s="40">
        <f t="shared" si="104"/>
        <v>130</v>
      </c>
      <c r="K330" s="41">
        <f t="shared" si="105"/>
        <v>80</v>
      </c>
      <c r="L330" s="42">
        <f t="shared" si="106"/>
        <v>60</v>
      </c>
      <c r="M330" s="43">
        <f t="shared" si="107"/>
        <v>60</v>
      </c>
      <c r="N330" s="44">
        <f t="shared" si="108"/>
        <v>70</v>
      </c>
      <c r="O330" s="45">
        <f t="shared" si="109"/>
        <v>460</v>
      </c>
      <c r="P330" s="19">
        <f t="shared" si="110"/>
        <v>76.67</v>
      </c>
      <c r="Q330" s="177">
        <v>60</v>
      </c>
      <c r="R330" s="40">
        <v>130</v>
      </c>
      <c r="S330" s="41">
        <v>80</v>
      </c>
      <c r="T330" s="42">
        <v>60</v>
      </c>
      <c r="U330" s="43">
        <v>60</v>
      </c>
      <c r="V330" s="44">
        <v>70</v>
      </c>
      <c r="W330" s="45">
        <f t="shared" si="111"/>
        <v>460</v>
      </c>
      <c r="X330" s="19">
        <f t="shared" si="112"/>
        <v>76.67</v>
      </c>
      <c r="Y330" s="3">
        <v>60</v>
      </c>
      <c r="Z330" s="4">
        <v>130</v>
      </c>
      <c r="AA330" s="5">
        <v>80</v>
      </c>
      <c r="AB330" s="6">
        <v>60</v>
      </c>
      <c r="AC330" s="7">
        <v>60</v>
      </c>
      <c r="AD330" s="8">
        <v>70</v>
      </c>
      <c r="AE330" s="1">
        <v>460</v>
      </c>
      <c r="AF330" s="19">
        <v>76.67</v>
      </c>
      <c r="AG330" s="139">
        <v>60</v>
      </c>
      <c r="AH330" s="140">
        <v>130</v>
      </c>
      <c r="AI330" s="141">
        <v>80</v>
      </c>
      <c r="AJ330" s="142">
        <v>60</v>
      </c>
      <c r="AK330" s="143">
        <v>60</v>
      </c>
      <c r="AL330" s="144">
        <v>70</v>
      </c>
      <c r="AM330" s="138">
        <v>460</v>
      </c>
      <c r="AN330" s="153">
        <v>76.67</v>
      </c>
      <c r="AW330" s="45"/>
      <c r="AX330" s="174" t="b">
        <f>IF('Refined Compare'!$D$2="All",TRUE,IF(F330='Refined Compare'!$D$2,TRUE,IF(G330='Refined Compare'!$D$2,TRUE,FALSE)))</f>
        <v>0</v>
      </c>
      <c r="AY330" s="174" t="b">
        <f>IF('Refined Compare'!$D$3="All",TRUE,IF(F330='Refined Compare'!$D$3,TRUE,IF(G330='Refined Compare'!$D$3,TRUE,FALSE)))</f>
        <v>0</v>
      </c>
      <c r="AZ330" s="174" t="b">
        <f t="shared" si="113"/>
        <v>1</v>
      </c>
    </row>
    <row r="331" spans="1:52" x14ac:dyDescent="0.35">
      <c r="A331">
        <f t="shared" si="102"/>
        <v>330</v>
      </c>
      <c r="B331" s="18">
        <v>287</v>
      </c>
      <c r="C331" s="61">
        <v>3</v>
      </c>
      <c r="D331" s="61" t="b">
        <v>0</v>
      </c>
      <c r="E331" s="61"/>
      <c r="F331" s="66" t="s">
        <v>812</v>
      </c>
      <c r="G331" s="66" t="s">
        <v>827</v>
      </c>
      <c r="H331" s="2" t="s">
        <v>70</v>
      </c>
      <c r="I331" s="39">
        <f t="shared" si="103"/>
        <v>60</v>
      </c>
      <c r="J331" s="40">
        <f t="shared" si="104"/>
        <v>60</v>
      </c>
      <c r="K331" s="41">
        <f t="shared" si="105"/>
        <v>60</v>
      </c>
      <c r="L331" s="42">
        <f t="shared" si="106"/>
        <v>35</v>
      </c>
      <c r="M331" s="43">
        <f t="shared" si="107"/>
        <v>35</v>
      </c>
      <c r="N331" s="44">
        <f t="shared" si="108"/>
        <v>30</v>
      </c>
      <c r="O331" s="45">
        <f t="shared" si="109"/>
        <v>280</v>
      </c>
      <c r="P331" s="19">
        <f t="shared" si="110"/>
        <v>46.67</v>
      </c>
      <c r="Q331" s="177">
        <v>60</v>
      </c>
      <c r="R331" s="40">
        <v>60</v>
      </c>
      <c r="S331" s="41">
        <v>60</v>
      </c>
      <c r="T331" s="42">
        <v>35</v>
      </c>
      <c r="U331" s="43">
        <v>35</v>
      </c>
      <c r="V331" s="44">
        <v>30</v>
      </c>
      <c r="W331" s="45">
        <f t="shared" si="111"/>
        <v>280</v>
      </c>
      <c r="X331" s="19">
        <f t="shared" si="112"/>
        <v>46.67</v>
      </c>
      <c r="Y331" s="3">
        <v>60</v>
      </c>
      <c r="Z331" s="4">
        <v>60</v>
      </c>
      <c r="AA331" s="5">
        <v>60</v>
      </c>
      <c r="AB331" s="6">
        <v>35</v>
      </c>
      <c r="AC331" s="7">
        <v>35</v>
      </c>
      <c r="AD331" s="8">
        <v>30</v>
      </c>
      <c r="AE331" s="1">
        <v>280</v>
      </c>
      <c r="AF331" s="19">
        <v>46.67</v>
      </c>
      <c r="AG331" s="139">
        <v>60</v>
      </c>
      <c r="AH331" s="140">
        <v>60</v>
      </c>
      <c r="AI331" s="141">
        <v>60</v>
      </c>
      <c r="AJ331" s="142">
        <v>35</v>
      </c>
      <c r="AK331" s="143">
        <v>35</v>
      </c>
      <c r="AL331" s="144">
        <v>30</v>
      </c>
      <c r="AM331" s="138">
        <v>280</v>
      </c>
      <c r="AN331" s="153">
        <v>46.67</v>
      </c>
      <c r="AW331" s="45"/>
      <c r="AX331" s="174" t="b">
        <f>IF('Refined Compare'!$D$2="All",TRUE,IF(F331='Refined Compare'!$D$2,TRUE,IF(G331='Refined Compare'!$D$2,TRUE,FALSE)))</f>
        <v>0</v>
      </c>
      <c r="AY331" s="174" t="b">
        <f>IF('Refined Compare'!$D$3="All",TRUE,IF(F331='Refined Compare'!$D$3,TRUE,IF(G331='Refined Compare'!$D$3,TRUE,FALSE)))</f>
        <v>1</v>
      </c>
      <c r="AZ331" s="174" t="b">
        <f t="shared" si="113"/>
        <v>1</v>
      </c>
    </row>
    <row r="332" spans="1:52" x14ac:dyDescent="0.35">
      <c r="A332">
        <f t="shared" si="102"/>
        <v>331</v>
      </c>
      <c r="B332" s="18">
        <v>288</v>
      </c>
      <c r="C332" s="61">
        <v>3</v>
      </c>
      <c r="D332" s="61" t="b">
        <v>0</v>
      </c>
      <c r="E332" s="61"/>
      <c r="F332" s="66" t="s">
        <v>812</v>
      </c>
      <c r="G332" s="66" t="s">
        <v>827</v>
      </c>
      <c r="H332" s="2" t="s">
        <v>587</v>
      </c>
      <c r="I332" s="39">
        <f t="shared" si="103"/>
        <v>80</v>
      </c>
      <c r="J332" s="40">
        <f t="shared" si="104"/>
        <v>80</v>
      </c>
      <c r="K332" s="41">
        <f t="shared" si="105"/>
        <v>80</v>
      </c>
      <c r="L332" s="42">
        <f t="shared" si="106"/>
        <v>55</v>
      </c>
      <c r="M332" s="43">
        <f t="shared" si="107"/>
        <v>55</v>
      </c>
      <c r="N332" s="44">
        <f t="shared" si="108"/>
        <v>90</v>
      </c>
      <c r="O332" s="45">
        <f t="shared" si="109"/>
        <v>440</v>
      </c>
      <c r="P332" s="19">
        <f t="shared" si="110"/>
        <v>73.33</v>
      </c>
      <c r="Q332" s="177">
        <v>80</v>
      </c>
      <c r="R332" s="40">
        <v>80</v>
      </c>
      <c r="S332" s="41">
        <v>80</v>
      </c>
      <c r="T332" s="42">
        <v>55</v>
      </c>
      <c r="U332" s="43">
        <v>55</v>
      </c>
      <c r="V332" s="44">
        <v>90</v>
      </c>
      <c r="W332" s="45">
        <f t="shared" si="111"/>
        <v>440</v>
      </c>
      <c r="X332" s="19">
        <f t="shared" si="112"/>
        <v>73.33</v>
      </c>
      <c r="Y332" s="3">
        <v>80</v>
      </c>
      <c r="Z332" s="4">
        <v>80</v>
      </c>
      <c r="AA332" s="5">
        <v>80</v>
      </c>
      <c r="AB332" s="6">
        <v>55</v>
      </c>
      <c r="AC332" s="7">
        <v>55</v>
      </c>
      <c r="AD332" s="8">
        <v>90</v>
      </c>
      <c r="AE332" s="1">
        <v>440</v>
      </c>
      <c r="AF332" s="19">
        <v>73.33</v>
      </c>
      <c r="AG332" s="139">
        <v>80</v>
      </c>
      <c r="AH332" s="140">
        <v>80</v>
      </c>
      <c r="AI332" s="141">
        <v>80</v>
      </c>
      <c r="AJ332" s="142">
        <v>55</v>
      </c>
      <c r="AK332" s="143">
        <v>55</v>
      </c>
      <c r="AL332" s="144">
        <v>90</v>
      </c>
      <c r="AM332" s="138">
        <v>440</v>
      </c>
      <c r="AN332" s="153">
        <v>73.33</v>
      </c>
      <c r="AW332" s="45"/>
      <c r="AX332" s="174" t="b">
        <f>IF('Refined Compare'!$D$2="All",TRUE,IF(F332='Refined Compare'!$D$2,TRUE,IF(G332='Refined Compare'!$D$2,TRUE,FALSE)))</f>
        <v>0</v>
      </c>
      <c r="AY332" s="174" t="b">
        <f>IF('Refined Compare'!$D$3="All",TRUE,IF(F332='Refined Compare'!$D$3,TRUE,IF(G332='Refined Compare'!$D$3,TRUE,FALSE)))</f>
        <v>1</v>
      </c>
      <c r="AZ332" s="174" t="b">
        <f t="shared" si="113"/>
        <v>1</v>
      </c>
    </row>
    <row r="333" spans="1:52" x14ac:dyDescent="0.35">
      <c r="A333">
        <f t="shared" si="102"/>
        <v>332</v>
      </c>
      <c r="B333" s="18">
        <v>289</v>
      </c>
      <c r="C333" s="61">
        <v>3</v>
      </c>
      <c r="D333" s="118" t="b">
        <v>1</v>
      </c>
      <c r="E333" s="61"/>
      <c r="F333" s="66" t="s">
        <v>812</v>
      </c>
      <c r="G333" s="66" t="s">
        <v>827</v>
      </c>
      <c r="H333" s="2" t="s">
        <v>670</v>
      </c>
      <c r="I333" s="39">
        <f t="shared" si="103"/>
        <v>150</v>
      </c>
      <c r="J333" s="40">
        <f t="shared" si="104"/>
        <v>160</v>
      </c>
      <c r="K333" s="41">
        <f t="shared" si="105"/>
        <v>100</v>
      </c>
      <c r="L333" s="42">
        <f t="shared" si="106"/>
        <v>95</v>
      </c>
      <c r="M333" s="43">
        <f t="shared" si="107"/>
        <v>65</v>
      </c>
      <c r="N333" s="44">
        <f t="shared" si="108"/>
        <v>100</v>
      </c>
      <c r="O333" s="45">
        <f t="shared" si="109"/>
        <v>670</v>
      </c>
      <c r="P333" s="19">
        <f t="shared" si="110"/>
        <v>111.67</v>
      </c>
      <c r="Q333" s="177">
        <v>150</v>
      </c>
      <c r="R333" s="40">
        <v>160</v>
      </c>
      <c r="S333" s="41">
        <v>100</v>
      </c>
      <c r="T333" s="42">
        <v>95</v>
      </c>
      <c r="U333" s="43">
        <v>65</v>
      </c>
      <c r="V333" s="44">
        <v>100</v>
      </c>
      <c r="W333" s="45">
        <f t="shared" si="111"/>
        <v>670</v>
      </c>
      <c r="X333" s="19">
        <f t="shared" si="112"/>
        <v>111.67</v>
      </c>
      <c r="Y333" s="3">
        <v>150</v>
      </c>
      <c r="Z333" s="4">
        <v>160</v>
      </c>
      <c r="AA333" s="5">
        <v>100</v>
      </c>
      <c r="AB333" s="6">
        <v>95</v>
      </c>
      <c r="AC333" s="7">
        <v>65</v>
      </c>
      <c r="AD333" s="8">
        <v>100</v>
      </c>
      <c r="AE333" s="1">
        <v>670</v>
      </c>
      <c r="AF333" s="19">
        <v>111.67</v>
      </c>
      <c r="AG333" s="139">
        <v>150</v>
      </c>
      <c r="AH333" s="140">
        <v>160</v>
      </c>
      <c r="AI333" s="141">
        <v>100</v>
      </c>
      <c r="AJ333" s="142">
        <v>95</v>
      </c>
      <c r="AK333" s="143">
        <v>65</v>
      </c>
      <c r="AL333" s="144">
        <v>100</v>
      </c>
      <c r="AM333" s="138">
        <v>670</v>
      </c>
      <c r="AN333" s="153">
        <v>111.67</v>
      </c>
      <c r="AW333" s="45"/>
      <c r="AX333" s="174" t="b">
        <f>IF('Refined Compare'!$D$2="All",TRUE,IF(F333='Refined Compare'!$D$2,TRUE,IF(G333='Refined Compare'!$D$2,TRUE,FALSE)))</f>
        <v>0</v>
      </c>
      <c r="AY333" s="174" t="b">
        <f>IF('Refined Compare'!$D$3="All",TRUE,IF(F333='Refined Compare'!$D$3,TRUE,IF(G333='Refined Compare'!$D$3,TRUE,FALSE)))</f>
        <v>1</v>
      </c>
      <c r="AZ333" s="174" t="b">
        <f t="shared" si="113"/>
        <v>1</v>
      </c>
    </row>
    <row r="334" spans="1:52" x14ac:dyDescent="0.35">
      <c r="A334">
        <f t="shared" si="102"/>
        <v>333</v>
      </c>
      <c r="B334" s="18">
        <v>290</v>
      </c>
      <c r="C334" s="61">
        <v>3</v>
      </c>
      <c r="D334" s="61" t="b">
        <v>0</v>
      </c>
      <c r="E334" s="61"/>
      <c r="F334" s="66" t="s">
        <v>811</v>
      </c>
      <c r="G334" s="66" t="s">
        <v>814</v>
      </c>
      <c r="H334" s="2" t="s">
        <v>138</v>
      </c>
      <c r="I334" s="39">
        <f t="shared" si="103"/>
        <v>31</v>
      </c>
      <c r="J334" s="40">
        <f t="shared" si="104"/>
        <v>45</v>
      </c>
      <c r="K334" s="41">
        <f t="shared" si="105"/>
        <v>90</v>
      </c>
      <c r="L334" s="42">
        <f t="shared" si="106"/>
        <v>30</v>
      </c>
      <c r="M334" s="43">
        <f t="shared" si="107"/>
        <v>30</v>
      </c>
      <c r="N334" s="44">
        <f t="shared" si="108"/>
        <v>40</v>
      </c>
      <c r="O334" s="45">
        <f t="shared" si="109"/>
        <v>266</v>
      </c>
      <c r="P334" s="19">
        <f t="shared" si="110"/>
        <v>44.33</v>
      </c>
      <c r="Q334" s="177">
        <v>31</v>
      </c>
      <c r="R334" s="40">
        <v>45</v>
      </c>
      <c r="S334" s="41">
        <v>90</v>
      </c>
      <c r="T334" s="42">
        <v>30</v>
      </c>
      <c r="U334" s="43">
        <v>30</v>
      </c>
      <c r="V334" s="44">
        <v>40</v>
      </c>
      <c r="W334" s="45">
        <f t="shared" si="111"/>
        <v>266</v>
      </c>
      <c r="X334" s="19">
        <f t="shared" si="112"/>
        <v>44.33</v>
      </c>
      <c r="Y334" s="3">
        <v>31</v>
      </c>
      <c r="Z334" s="4">
        <v>45</v>
      </c>
      <c r="AA334" s="5">
        <v>90</v>
      </c>
      <c r="AB334" s="6">
        <v>30</v>
      </c>
      <c r="AC334" s="7">
        <v>30</v>
      </c>
      <c r="AD334" s="8">
        <v>40</v>
      </c>
      <c r="AE334" s="1">
        <v>266</v>
      </c>
      <c r="AF334" s="19">
        <v>44.33</v>
      </c>
      <c r="AG334" s="139">
        <v>31</v>
      </c>
      <c r="AH334" s="140">
        <v>45</v>
      </c>
      <c r="AI334" s="141">
        <v>90</v>
      </c>
      <c r="AJ334" s="142">
        <v>30</v>
      </c>
      <c r="AK334" s="143">
        <v>30</v>
      </c>
      <c r="AL334" s="144">
        <v>40</v>
      </c>
      <c r="AM334" s="138">
        <v>266</v>
      </c>
      <c r="AN334" s="153">
        <v>44.33</v>
      </c>
      <c r="AW334" s="45"/>
      <c r="AX334" s="174" t="b">
        <f>IF('Refined Compare'!$D$2="All",TRUE,IF(F334='Refined Compare'!$D$2,TRUE,IF(G334='Refined Compare'!$D$2,TRUE,FALSE)))</f>
        <v>0</v>
      </c>
      <c r="AY334" s="174" t="b">
        <f>IF('Refined Compare'!$D$3="All",TRUE,IF(F334='Refined Compare'!$D$3,TRUE,IF(G334='Refined Compare'!$D$3,TRUE,FALSE)))</f>
        <v>0</v>
      </c>
      <c r="AZ334" s="174" t="b">
        <f t="shared" si="113"/>
        <v>1</v>
      </c>
    </row>
    <row r="335" spans="1:52" x14ac:dyDescent="0.35">
      <c r="A335">
        <f t="shared" ref="A335:A398" si="114">A334+1</f>
        <v>334</v>
      </c>
      <c r="B335" s="18">
        <v>291</v>
      </c>
      <c r="C335" s="61">
        <v>3</v>
      </c>
      <c r="D335" s="118" t="b">
        <v>1</v>
      </c>
      <c r="E335" s="61"/>
      <c r="F335" s="66" t="s">
        <v>811</v>
      </c>
      <c r="G335" s="66" t="s">
        <v>809</v>
      </c>
      <c r="H335" s="2" t="s">
        <v>779</v>
      </c>
      <c r="I335" s="39">
        <f t="shared" si="103"/>
        <v>61</v>
      </c>
      <c r="J335" s="40">
        <f t="shared" si="104"/>
        <v>90</v>
      </c>
      <c r="K335" s="41">
        <f t="shared" si="105"/>
        <v>45</v>
      </c>
      <c r="L335" s="42">
        <f t="shared" si="106"/>
        <v>50</v>
      </c>
      <c r="M335" s="43">
        <f t="shared" si="107"/>
        <v>50</v>
      </c>
      <c r="N335" s="44">
        <f t="shared" si="108"/>
        <v>160</v>
      </c>
      <c r="O335" s="45">
        <f t="shared" si="109"/>
        <v>456</v>
      </c>
      <c r="P335" s="19">
        <f t="shared" si="110"/>
        <v>76</v>
      </c>
      <c r="Q335" s="177">
        <v>61</v>
      </c>
      <c r="R335" s="40">
        <v>90</v>
      </c>
      <c r="S335" s="41">
        <v>45</v>
      </c>
      <c r="T335" s="42">
        <v>50</v>
      </c>
      <c r="U335" s="43">
        <v>50</v>
      </c>
      <c r="V335" s="44">
        <v>160</v>
      </c>
      <c r="W335" s="45">
        <f t="shared" si="111"/>
        <v>456</v>
      </c>
      <c r="X335" s="19">
        <f t="shared" si="112"/>
        <v>76</v>
      </c>
      <c r="Y335" s="3">
        <v>61</v>
      </c>
      <c r="Z335" s="4">
        <v>90</v>
      </c>
      <c r="AA335" s="5">
        <v>45</v>
      </c>
      <c r="AB335" s="6">
        <v>50</v>
      </c>
      <c r="AC335" s="7">
        <v>50</v>
      </c>
      <c r="AD335" s="8">
        <v>160</v>
      </c>
      <c r="AE335" s="1">
        <v>456</v>
      </c>
      <c r="AF335" s="19">
        <v>76</v>
      </c>
      <c r="AG335" s="139">
        <v>61</v>
      </c>
      <c r="AH335" s="140">
        <v>90</v>
      </c>
      <c r="AI335" s="141">
        <v>45</v>
      </c>
      <c r="AJ335" s="142">
        <v>50</v>
      </c>
      <c r="AK335" s="143">
        <v>50</v>
      </c>
      <c r="AL335" s="144">
        <v>160</v>
      </c>
      <c r="AM335" s="138">
        <v>456</v>
      </c>
      <c r="AN335" s="153">
        <v>76</v>
      </c>
      <c r="AW335" s="45"/>
      <c r="AX335" s="174" t="b">
        <f>IF('Refined Compare'!$D$2="All",TRUE,IF(F335='Refined Compare'!$D$2,TRUE,IF(G335='Refined Compare'!$D$2,TRUE,FALSE)))</f>
        <v>0</v>
      </c>
      <c r="AY335" s="174" t="b">
        <f>IF('Refined Compare'!$D$3="All",TRUE,IF(F335='Refined Compare'!$D$3,TRUE,IF(G335='Refined Compare'!$D$3,TRUE,FALSE)))</f>
        <v>0</v>
      </c>
      <c r="AZ335" s="174" t="b">
        <f t="shared" si="113"/>
        <v>1</v>
      </c>
    </row>
    <row r="336" spans="1:52" x14ac:dyDescent="0.35">
      <c r="A336">
        <f t="shared" si="114"/>
        <v>335</v>
      </c>
      <c r="B336" s="18">
        <v>292</v>
      </c>
      <c r="C336" s="61">
        <v>3</v>
      </c>
      <c r="D336" s="118" t="b">
        <v>1</v>
      </c>
      <c r="E336" s="61"/>
      <c r="F336" s="66" t="s">
        <v>811</v>
      </c>
      <c r="G336" s="66" t="s">
        <v>821</v>
      </c>
      <c r="H336" s="38" t="s">
        <v>139</v>
      </c>
      <c r="I336" s="39">
        <f t="shared" si="103"/>
        <v>1</v>
      </c>
      <c r="J336" s="40">
        <f t="shared" si="104"/>
        <v>90</v>
      </c>
      <c r="K336" s="41">
        <f t="shared" si="105"/>
        <v>45</v>
      </c>
      <c r="L336" s="42">
        <f t="shared" si="106"/>
        <v>30</v>
      </c>
      <c r="M336" s="43">
        <f t="shared" si="107"/>
        <v>30</v>
      </c>
      <c r="N336" s="44">
        <f t="shared" si="108"/>
        <v>40</v>
      </c>
      <c r="O336" s="45">
        <f t="shared" si="109"/>
        <v>236</v>
      </c>
      <c r="P336" s="19">
        <f t="shared" si="110"/>
        <v>39.33</v>
      </c>
      <c r="Q336" s="177">
        <v>1</v>
      </c>
      <c r="R336" s="40">
        <v>90</v>
      </c>
      <c r="S336" s="41">
        <v>45</v>
      </c>
      <c r="T336" s="42">
        <v>30</v>
      </c>
      <c r="U336" s="43">
        <v>30</v>
      </c>
      <c r="V336" s="44">
        <v>40</v>
      </c>
      <c r="W336" s="45">
        <f t="shared" si="111"/>
        <v>236</v>
      </c>
      <c r="X336" s="19">
        <f t="shared" si="112"/>
        <v>39.33</v>
      </c>
      <c r="Y336" s="39">
        <v>1</v>
      </c>
      <c r="Z336" s="40">
        <v>90</v>
      </c>
      <c r="AA336" s="41">
        <v>45</v>
      </c>
      <c r="AB336" s="42">
        <v>30</v>
      </c>
      <c r="AC336" s="43">
        <v>30</v>
      </c>
      <c r="AD336" s="44">
        <v>40</v>
      </c>
      <c r="AE336" s="45">
        <v>236</v>
      </c>
      <c r="AF336" s="19">
        <v>39.33</v>
      </c>
      <c r="AG336" s="139">
        <v>1</v>
      </c>
      <c r="AH336" s="140">
        <v>90</v>
      </c>
      <c r="AI336" s="141">
        <v>45</v>
      </c>
      <c r="AJ336" s="142">
        <v>30</v>
      </c>
      <c r="AK336" s="143">
        <v>30</v>
      </c>
      <c r="AL336" s="144">
        <v>40</v>
      </c>
      <c r="AM336" s="138">
        <v>236</v>
      </c>
      <c r="AN336" s="153">
        <v>39.33</v>
      </c>
      <c r="AW336" s="45"/>
      <c r="AX336" s="174" t="b">
        <f>IF('Refined Compare'!$D$2="All",TRUE,IF(F336='Refined Compare'!$D$2,TRUE,IF(G336='Refined Compare'!$D$2,TRUE,FALSE)))</f>
        <v>0</v>
      </c>
      <c r="AY336" s="174" t="b">
        <f>IF('Refined Compare'!$D$3="All",TRUE,IF(F336='Refined Compare'!$D$3,TRUE,IF(G336='Refined Compare'!$D$3,TRUE,FALSE)))</f>
        <v>0</v>
      </c>
      <c r="AZ336" s="174" t="b">
        <f t="shared" si="113"/>
        <v>1</v>
      </c>
    </row>
    <row r="337" spans="1:52" x14ac:dyDescent="0.35">
      <c r="A337">
        <f t="shared" si="114"/>
        <v>336</v>
      </c>
      <c r="B337" s="18">
        <v>293</v>
      </c>
      <c r="C337" s="61">
        <v>3</v>
      </c>
      <c r="D337" s="61" t="b">
        <v>0</v>
      </c>
      <c r="E337" s="61"/>
      <c r="F337" s="66" t="s">
        <v>812</v>
      </c>
      <c r="G337" s="66" t="s">
        <v>827</v>
      </c>
      <c r="H337" s="2" t="s">
        <v>45</v>
      </c>
      <c r="I337" s="39">
        <f t="shared" si="103"/>
        <v>64</v>
      </c>
      <c r="J337" s="40">
        <f t="shared" si="104"/>
        <v>51</v>
      </c>
      <c r="K337" s="41">
        <f t="shared" si="105"/>
        <v>23</v>
      </c>
      <c r="L337" s="42">
        <f t="shared" si="106"/>
        <v>51</v>
      </c>
      <c r="M337" s="43">
        <f t="shared" si="107"/>
        <v>23</v>
      </c>
      <c r="N337" s="44">
        <f t="shared" si="108"/>
        <v>28</v>
      </c>
      <c r="O337" s="45">
        <f t="shared" si="109"/>
        <v>240</v>
      </c>
      <c r="P337" s="19">
        <f t="shared" si="110"/>
        <v>40</v>
      </c>
      <c r="Q337" s="177">
        <v>64</v>
      </c>
      <c r="R337" s="40">
        <v>51</v>
      </c>
      <c r="S337" s="41">
        <v>23</v>
      </c>
      <c r="T337" s="42">
        <v>51</v>
      </c>
      <c r="U337" s="43">
        <v>23</v>
      </c>
      <c r="V337" s="44">
        <v>28</v>
      </c>
      <c r="W337" s="45">
        <f t="shared" si="111"/>
        <v>240</v>
      </c>
      <c r="X337" s="19">
        <f t="shared" si="112"/>
        <v>40</v>
      </c>
      <c r="Y337" s="3">
        <v>64</v>
      </c>
      <c r="Z337" s="4">
        <v>51</v>
      </c>
      <c r="AA337" s="5">
        <v>23</v>
      </c>
      <c r="AB337" s="6">
        <v>51</v>
      </c>
      <c r="AC337" s="7">
        <v>23</v>
      </c>
      <c r="AD337" s="8">
        <v>28</v>
      </c>
      <c r="AE337" s="1">
        <v>240</v>
      </c>
      <c r="AF337" s="19">
        <v>40</v>
      </c>
      <c r="AG337" s="139">
        <v>64</v>
      </c>
      <c r="AH337" s="140">
        <v>51</v>
      </c>
      <c r="AI337" s="141">
        <v>23</v>
      </c>
      <c r="AJ337" s="142">
        <v>51</v>
      </c>
      <c r="AK337" s="143">
        <v>23</v>
      </c>
      <c r="AL337" s="144">
        <v>28</v>
      </c>
      <c r="AM337" s="138">
        <v>240</v>
      </c>
      <c r="AN337" s="153">
        <v>40</v>
      </c>
      <c r="AW337" s="45"/>
      <c r="AX337" s="174" t="b">
        <f>IF('Refined Compare'!$D$2="All",TRUE,IF(F337='Refined Compare'!$D$2,TRUE,IF(G337='Refined Compare'!$D$2,TRUE,FALSE)))</f>
        <v>0</v>
      </c>
      <c r="AY337" s="174" t="b">
        <f>IF('Refined Compare'!$D$3="All",TRUE,IF(F337='Refined Compare'!$D$3,TRUE,IF(G337='Refined Compare'!$D$3,TRUE,FALSE)))</f>
        <v>1</v>
      </c>
      <c r="AZ337" s="174" t="b">
        <f t="shared" si="113"/>
        <v>1</v>
      </c>
    </row>
    <row r="338" spans="1:52" x14ac:dyDescent="0.35">
      <c r="A338">
        <f t="shared" si="114"/>
        <v>337</v>
      </c>
      <c r="B338" s="18">
        <v>294</v>
      </c>
      <c r="C338" s="61">
        <v>3</v>
      </c>
      <c r="D338" s="61" t="b">
        <v>0</v>
      </c>
      <c r="E338" s="61"/>
      <c r="F338" s="66" t="s">
        <v>812</v>
      </c>
      <c r="G338" s="66" t="s">
        <v>827</v>
      </c>
      <c r="H338" s="2" t="s">
        <v>206</v>
      </c>
      <c r="I338" s="39">
        <f t="shared" si="103"/>
        <v>84</v>
      </c>
      <c r="J338" s="40">
        <f t="shared" si="104"/>
        <v>71</v>
      </c>
      <c r="K338" s="41">
        <f t="shared" si="105"/>
        <v>43</v>
      </c>
      <c r="L338" s="42">
        <f t="shared" si="106"/>
        <v>71</v>
      </c>
      <c r="M338" s="43">
        <f t="shared" si="107"/>
        <v>43</v>
      </c>
      <c r="N338" s="44">
        <f t="shared" si="108"/>
        <v>48</v>
      </c>
      <c r="O338" s="45">
        <f t="shared" si="109"/>
        <v>360</v>
      </c>
      <c r="P338" s="19">
        <f t="shared" si="110"/>
        <v>60</v>
      </c>
      <c r="Q338" s="177">
        <v>84</v>
      </c>
      <c r="R338" s="40">
        <v>71</v>
      </c>
      <c r="S338" s="41">
        <v>43</v>
      </c>
      <c r="T338" s="42">
        <v>71</v>
      </c>
      <c r="U338" s="43">
        <v>43</v>
      </c>
      <c r="V338" s="44">
        <v>48</v>
      </c>
      <c r="W338" s="45">
        <f t="shared" si="111"/>
        <v>360</v>
      </c>
      <c r="X338" s="19">
        <f t="shared" si="112"/>
        <v>60</v>
      </c>
      <c r="Y338" s="3">
        <v>84</v>
      </c>
      <c r="Z338" s="4">
        <v>71</v>
      </c>
      <c r="AA338" s="5">
        <v>43</v>
      </c>
      <c r="AB338" s="6">
        <v>71</v>
      </c>
      <c r="AC338" s="7">
        <v>43</v>
      </c>
      <c r="AD338" s="8">
        <v>48</v>
      </c>
      <c r="AE338" s="1">
        <v>360</v>
      </c>
      <c r="AF338" s="19">
        <v>60</v>
      </c>
      <c r="AG338" s="139">
        <v>84</v>
      </c>
      <c r="AH338" s="140">
        <v>71</v>
      </c>
      <c r="AI338" s="141">
        <v>43</v>
      </c>
      <c r="AJ338" s="142">
        <v>71</v>
      </c>
      <c r="AK338" s="143">
        <v>43</v>
      </c>
      <c r="AL338" s="144">
        <v>48</v>
      </c>
      <c r="AM338" s="138">
        <v>360</v>
      </c>
      <c r="AN338" s="153">
        <v>60</v>
      </c>
      <c r="AW338" s="45"/>
      <c r="AX338" s="174" t="b">
        <f>IF('Refined Compare'!$D$2="All",TRUE,IF(F338='Refined Compare'!$D$2,TRUE,IF(G338='Refined Compare'!$D$2,TRUE,FALSE)))</f>
        <v>0</v>
      </c>
      <c r="AY338" s="174" t="b">
        <f>IF('Refined Compare'!$D$3="All",TRUE,IF(F338='Refined Compare'!$D$3,TRUE,IF(G338='Refined Compare'!$D$3,TRUE,FALSE)))</f>
        <v>1</v>
      </c>
      <c r="AZ338" s="174" t="b">
        <f t="shared" si="113"/>
        <v>1</v>
      </c>
    </row>
    <row r="339" spans="1:52" x14ac:dyDescent="0.35">
      <c r="A339">
        <f t="shared" si="114"/>
        <v>338</v>
      </c>
      <c r="B339" s="18">
        <v>295</v>
      </c>
      <c r="C339" s="61">
        <v>3</v>
      </c>
      <c r="D339" s="118" t="b">
        <v>1</v>
      </c>
      <c r="E339" s="61"/>
      <c r="F339" s="66" t="s">
        <v>812</v>
      </c>
      <c r="G339" s="66" t="s">
        <v>827</v>
      </c>
      <c r="H339" s="2" t="s">
        <v>411</v>
      </c>
      <c r="I339" s="39">
        <f t="shared" si="103"/>
        <v>104</v>
      </c>
      <c r="J339" s="40">
        <f t="shared" si="104"/>
        <v>91</v>
      </c>
      <c r="K339" s="41">
        <f t="shared" si="105"/>
        <v>63</v>
      </c>
      <c r="L339" s="42">
        <f t="shared" si="106"/>
        <v>91</v>
      </c>
      <c r="M339" s="43">
        <f t="shared" si="107"/>
        <v>63</v>
      </c>
      <c r="N339" s="44">
        <f t="shared" si="108"/>
        <v>68</v>
      </c>
      <c r="O339" s="45">
        <f t="shared" si="109"/>
        <v>480</v>
      </c>
      <c r="P339" s="19">
        <f t="shared" si="110"/>
        <v>80</v>
      </c>
      <c r="Q339" s="177">
        <v>104</v>
      </c>
      <c r="R339" s="40">
        <v>91</v>
      </c>
      <c r="S339" s="41">
        <v>63</v>
      </c>
      <c r="T339" s="42">
        <v>91</v>
      </c>
      <c r="U339" s="43">
        <v>73</v>
      </c>
      <c r="V339" s="44">
        <v>68</v>
      </c>
      <c r="W339" s="45">
        <f t="shared" si="111"/>
        <v>490</v>
      </c>
      <c r="X339" s="19">
        <f t="shared" si="112"/>
        <v>81.67</v>
      </c>
      <c r="Y339" s="3">
        <v>104</v>
      </c>
      <c r="Z339" s="4">
        <v>91</v>
      </c>
      <c r="AA339" s="5">
        <v>63</v>
      </c>
      <c r="AB339" s="6">
        <v>91</v>
      </c>
      <c r="AC339" s="7">
        <v>73</v>
      </c>
      <c r="AD339" s="8">
        <v>68</v>
      </c>
      <c r="AE339" s="1">
        <v>490</v>
      </c>
      <c r="AF339" s="19">
        <v>81.67</v>
      </c>
      <c r="AG339" s="139">
        <v>104</v>
      </c>
      <c r="AH339" s="140">
        <v>91</v>
      </c>
      <c r="AI339" s="141">
        <v>63</v>
      </c>
      <c r="AJ339" s="142">
        <v>91</v>
      </c>
      <c r="AK339" s="143">
        <v>63</v>
      </c>
      <c r="AL339" s="144">
        <v>68</v>
      </c>
      <c r="AM339" s="138">
        <v>480</v>
      </c>
      <c r="AN339" s="153">
        <v>80</v>
      </c>
      <c r="AW339" s="45"/>
      <c r="AX339" s="174" t="b">
        <f>IF('Refined Compare'!$D$2="All",TRUE,IF(F339='Refined Compare'!$D$2,TRUE,IF(G339='Refined Compare'!$D$2,TRUE,FALSE)))</f>
        <v>0</v>
      </c>
      <c r="AY339" s="174" t="b">
        <f>IF('Refined Compare'!$D$3="All",TRUE,IF(F339='Refined Compare'!$D$3,TRUE,IF(G339='Refined Compare'!$D$3,TRUE,FALSE)))</f>
        <v>1</v>
      </c>
      <c r="AZ339" s="174" t="b">
        <f t="shared" si="113"/>
        <v>1</v>
      </c>
    </row>
    <row r="340" spans="1:52" x14ac:dyDescent="0.35">
      <c r="A340">
        <f t="shared" si="114"/>
        <v>339</v>
      </c>
      <c r="B340" s="18">
        <v>296</v>
      </c>
      <c r="C340" s="61">
        <v>3</v>
      </c>
      <c r="D340" s="61" t="b">
        <v>0</v>
      </c>
      <c r="E340" s="61"/>
      <c r="F340" s="66" t="s">
        <v>816</v>
      </c>
      <c r="G340" s="66" t="s">
        <v>827</v>
      </c>
      <c r="H340" s="2" t="s">
        <v>38</v>
      </c>
      <c r="I340" s="39">
        <f t="shared" si="103"/>
        <v>72</v>
      </c>
      <c r="J340" s="40">
        <f t="shared" si="104"/>
        <v>60</v>
      </c>
      <c r="K340" s="41">
        <f t="shared" si="105"/>
        <v>30</v>
      </c>
      <c r="L340" s="42">
        <f t="shared" si="106"/>
        <v>20</v>
      </c>
      <c r="M340" s="43">
        <f t="shared" si="107"/>
        <v>30</v>
      </c>
      <c r="N340" s="44">
        <f t="shared" si="108"/>
        <v>25</v>
      </c>
      <c r="O340" s="45">
        <f t="shared" si="109"/>
        <v>237</v>
      </c>
      <c r="P340" s="19">
        <f t="shared" si="110"/>
        <v>39.5</v>
      </c>
      <c r="Q340" s="177">
        <v>72</v>
      </c>
      <c r="R340" s="40">
        <v>60</v>
      </c>
      <c r="S340" s="41">
        <v>30</v>
      </c>
      <c r="T340" s="42">
        <v>20</v>
      </c>
      <c r="U340" s="43">
        <v>30</v>
      </c>
      <c r="V340" s="44">
        <v>25</v>
      </c>
      <c r="W340" s="45">
        <f t="shared" si="111"/>
        <v>237</v>
      </c>
      <c r="X340" s="19">
        <f t="shared" si="112"/>
        <v>39.5</v>
      </c>
      <c r="Y340" s="3">
        <v>72</v>
      </c>
      <c r="Z340" s="4">
        <v>60</v>
      </c>
      <c r="AA340" s="5">
        <v>30</v>
      </c>
      <c r="AB340" s="6">
        <v>20</v>
      </c>
      <c r="AC340" s="7">
        <v>30</v>
      </c>
      <c r="AD340" s="8">
        <v>25</v>
      </c>
      <c r="AE340" s="1">
        <v>237</v>
      </c>
      <c r="AF340" s="19">
        <v>39.5</v>
      </c>
      <c r="AG340" s="139">
        <v>72</v>
      </c>
      <c r="AH340" s="140">
        <v>60</v>
      </c>
      <c r="AI340" s="141">
        <v>30</v>
      </c>
      <c r="AJ340" s="142">
        <v>20</v>
      </c>
      <c r="AK340" s="143">
        <v>30</v>
      </c>
      <c r="AL340" s="144">
        <v>25</v>
      </c>
      <c r="AM340" s="138">
        <v>237</v>
      </c>
      <c r="AN340" s="153">
        <v>39.5</v>
      </c>
      <c r="AW340" s="45"/>
      <c r="AX340" s="174" t="b">
        <f>IF('Refined Compare'!$D$2="All",TRUE,IF(F340='Refined Compare'!$D$2,TRUE,IF(G340='Refined Compare'!$D$2,TRUE,FALSE)))</f>
        <v>0</v>
      </c>
      <c r="AY340" s="174" t="b">
        <f>IF('Refined Compare'!$D$3="All",TRUE,IF(F340='Refined Compare'!$D$3,TRUE,IF(G340='Refined Compare'!$D$3,TRUE,FALSE)))</f>
        <v>1</v>
      </c>
      <c r="AZ340" s="174" t="b">
        <f t="shared" si="113"/>
        <v>1</v>
      </c>
    </row>
    <row r="341" spans="1:52" x14ac:dyDescent="0.35">
      <c r="A341">
        <f t="shared" si="114"/>
        <v>340</v>
      </c>
      <c r="B341" s="18">
        <v>297</v>
      </c>
      <c r="C341" s="61">
        <v>3</v>
      </c>
      <c r="D341" s="118" t="b">
        <v>1</v>
      </c>
      <c r="E341" s="61"/>
      <c r="F341" s="66" t="s">
        <v>816</v>
      </c>
      <c r="G341" s="66" t="s">
        <v>827</v>
      </c>
      <c r="H341" s="2" t="s">
        <v>228</v>
      </c>
      <c r="I341" s="39">
        <f t="shared" si="103"/>
        <v>144</v>
      </c>
      <c r="J341" s="40">
        <f t="shared" si="104"/>
        <v>120</v>
      </c>
      <c r="K341" s="41">
        <f t="shared" si="105"/>
        <v>60</v>
      </c>
      <c r="L341" s="42">
        <f t="shared" si="106"/>
        <v>40</v>
      </c>
      <c r="M341" s="43">
        <f t="shared" si="107"/>
        <v>60</v>
      </c>
      <c r="N341" s="44">
        <f t="shared" si="108"/>
        <v>50</v>
      </c>
      <c r="O341" s="45">
        <f t="shared" si="109"/>
        <v>474</v>
      </c>
      <c r="P341" s="19">
        <f t="shared" si="110"/>
        <v>79</v>
      </c>
      <c r="Q341" s="177">
        <v>144</v>
      </c>
      <c r="R341" s="40">
        <v>120</v>
      </c>
      <c r="S341" s="41">
        <v>60</v>
      </c>
      <c r="T341" s="42">
        <v>40</v>
      </c>
      <c r="U341" s="43">
        <v>60</v>
      </c>
      <c r="V341" s="44">
        <v>50</v>
      </c>
      <c r="W341" s="45">
        <f t="shared" si="111"/>
        <v>474</v>
      </c>
      <c r="X341" s="19">
        <f t="shared" si="112"/>
        <v>79</v>
      </c>
      <c r="Y341" s="3">
        <v>144</v>
      </c>
      <c r="Z341" s="4">
        <v>120</v>
      </c>
      <c r="AA341" s="5">
        <v>60</v>
      </c>
      <c r="AB341" s="6">
        <v>40</v>
      </c>
      <c r="AC341" s="7">
        <v>60</v>
      </c>
      <c r="AD341" s="8">
        <v>50</v>
      </c>
      <c r="AE341" s="1">
        <v>474</v>
      </c>
      <c r="AF341" s="19">
        <v>79</v>
      </c>
      <c r="AG341" s="139">
        <v>144</v>
      </c>
      <c r="AH341" s="140">
        <v>120</v>
      </c>
      <c r="AI341" s="141">
        <v>60</v>
      </c>
      <c r="AJ341" s="142">
        <v>40</v>
      </c>
      <c r="AK341" s="143">
        <v>60</v>
      </c>
      <c r="AL341" s="144">
        <v>50</v>
      </c>
      <c r="AM341" s="138">
        <v>474</v>
      </c>
      <c r="AN341" s="153">
        <v>79</v>
      </c>
      <c r="AW341" s="45"/>
      <c r="AX341" s="174" t="b">
        <f>IF('Refined Compare'!$D$2="All",TRUE,IF(F341='Refined Compare'!$D$2,TRUE,IF(G341='Refined Compare'!$D$2,TRUE,FALSE)))</f>
        <v>0</v>
      </c>
      <c r="AY341" s="174" t="b">
        <f>IF('Refined Compare'!$D$3="All",TRUE,IF(F341='Refined Compare'!$D$3,TRUE,IF(G341='Refined Compare'!$D$3,TRUE,FALSE)))</f>
        <v>1</v>
      </c>
      <c r="AZ341" s="174" t="b">
        <f t="shared" si="113"/>
        <v>1</v>
      </c>
    </row>
    <row r="342" spans="1:52" x14ac:dyDescent="0.35">
      <c r="A342">
        <f t="shared" si="114"/>
        <v>341</v>
      </c>
      <c r="B342" s="18">
        <v>298</v>
      </c>
      <c r="C342" s="61">
        <v>3</v>
      </c>
      <c r="D342" s="61" t="b">
        <v>0</v>
      </c>
      <c r="E342" s="61"/>
      <c r="F342" s="66" t="s">
        <v>812</v>
      </c>
      <c r="G342" s="66" t="str">
        <f>IF($AW$2&lt;6,"Single type","Fairy")</f>
        <v>Single type</v>
      </c>
      <c r="H342" s="2" t="s">
        <v>20</v>
      </c>
      <c r="I342" s="39">
        <f t="shared" ref="I342:I405" si="115">IF($AW$2=7,Q342,IF($AW$2=6,Y342,IF($AW$2=1,AO342,AG342)))</f>
        <v>50</v>
      </c>
      <c r="J342" s="40">
        <f t="shared" ref="J342:J405" si="116">IF($AW$2=7,R342,IF($AW$2=6,Z342,IF($AW$2=1,AP342,AH342)))</f>
        <v>20</v>
      </c>
      <c r="K342" s="41">
        <f t="shared" ref="K342:K405" si="117">IF($AW$2=7,S342,IF($AW$2=6,AA342,IF($AW$2=1,AQ342,AI342)))</f>
        <v>40</v>
      </c>
      <c r="L342" s="42">
        <f t="shared" ref="L342:L405" si="118">IF($AW$2=7,T342,IF($AW$2=6,AB342,IF($AW$2=1,AR342,AJ342)))</f>
        <v>20</v>
      </c>
      <c r="M342" s="43">
        <f t="shared" ref="M342:M405" si="119">IF($AW$2=7,U342,IF($AW$2=6,AC342,IF($AW$2=1,AS342,AK342)))</f>
        <v>40</v>
      </c>
      <c r="N342" s="44">
        <f t="shared" ref="N342:N405" si="120">IF($AW$2=7,V342,IF($AW$2=6,AD342,IF($AW$2=1,AT342,AL342)))</f>
        <v>20</v>
      </c>
      <c r="O342" s="45">
        <f t="shared" ref="O342:O405" si="121">IF($AW$2=7,W342,IF($AW$2=6,AE342,IF($AW$2=1,AU342,AM342)))</f>
        <v>190</v>
      </c>
      <c r="P342" s="19">
        <f t="shared" ref="P342:P405" si="122">IF($AW$2=7,X342,IF($AW$2=6,AF342,IF($AW$2=1,AV342,AN342)))</f>
        <v>31.67</v>
      </c>
      <c r="Q342" s="177">
        <v>50</v>
      </c>
      <c r="R342" s="40">
        <v>20</v>
      </c>
      <c r="S342" s="41">
        <v>40</v>
      </c>
      <c r="T342" s="42">
        <v>20</v>
      </c>
      <c r="U342" s="43">
        <v>40</v>
      </c>
      <c r="V342" s="44">
        <v>20</v>
      </c>
      <c r="W342" s="45">
        <f t="shared" si="111"/>
        <v>190</v>
      </c>
      <c r="X342" s="19">
        <f t="shared" si="112"/>
        <v>31.67</v>
      </c>
      <c r="Y342" s="3">
        <v>50</v>
      </c>
      <c r="Z342" s="4">
        <v>20</v>
      </c>
      <c r="AA342" s="5">
        <v>40</v>
      </c>
      <c r="AB342" s="6">
        <v>20</v>
      </c>
      <c r="AC342" s="7">
        <v>40</v>
      </c>
      <c r="AD342" s="8">
        <v>20</v>
      </c>
      <c r="AE342" s="1">
        <v>190</v>
      </c>
      <c r="AF342" s="19">
        <v>31.67</v>
      </c>
      <c r="AG342" s="139">
        <v>50</v>
      </c>
      <c r="AH342" s="140">
        <v>20</v>
      </c>
      <c r="AI342" s="141">
        <v>40</v>
      </c>
      <c r="AJ342" s="142">
        <v>20</v>
      </c>
      <c r="AK342" s="143">
        <v>40</v>
      </c>
      <c r="AL342" s="144">
        <v>20</v>
      </c>
      <c r="AM342" s="138">
        <v>190</v>
      </c>
      <c r="AN342" s="153">
        <v>31.67</v>
      </c>
      <c r="AW342" s="45"/>
      <c r="AX342" s="174" t="b">
        <f>IF('Refined Compare'!$D$2="All",TRUE,IF(F342='Refined Compare'!$D$2,TRUE,IF(G342='Refined Compare'!$D$2,TRUE,FALSE)))</f>
        <v>0</v>
      </c>
      <c r="AY342" s="174" t="b">
        <f>IF('Refined Compare'!$D$3="All",TRUE,IF(F342='Refined Compare'!$D$3,TRUE,IF(G342='Refined Compare'!$D$3,TRUE,FALSE)))</f>
        <v>1</v>
      </c>
      <c r="AZ342" s="174" t="b">
        <f t="shared" si="113"/>
        <v>1</v>
      </c>
    </row>
    <row r="343" spans="1:52" x14ac:dyDescent="0.35">
      <c r="A343">
        <f t="shared" si="114"/>
        <v>342</v>
      </c>
      <c r="B343" s="18">
        <v>299</v>
      </c>
      <c r="C343" s="61">
        <v>3</v>
      </c>
      <c r="D343" s="118" t="b">
        <f>IF($AW$2&lt;4,TRUE,FALSE)</f>
        <v>0</v>
      </c>
      <c r="E343" s="61"/>
      <c r="F343" s="66" t="s">
        <v>818</v>
      </c>
      <c r="G343" s="66" t="s">
        <v>827</v>
      </c>
      <c r="H343" s="2" t="s">
        <v>71</v>
      </c>
      <c r="I343" s="39">
        <f t="shared" si="115"/>
        <v>30</v>
      </c>
      <c r="J343" s="40">
        <f t="shared" si="116"/>
        <v>45</v>
      </c>
      <c r="K343" s="41">
        <f t="shared" si="117"/>
        <v>135</v>
      </c>
      <c r="L343" s="42">
        <f t="shared" si="118"/>
        <v>45</v>
      </c>
      <c r="M343" s="43">
        <f t="shared" si="119"/>
        <v>90</v>
      </c>
      <c r="N343" s="44">
        <f t="shared" si="120"/>
        <v>30</v>
      </c>
      <c r="O343" s="45">
        <f t="shared" si="121"/>
        <v>375</v>
      </c>
      <c r="P343" s="19">
        <f t="shared" si="122"/>
        <v>62.5</v>
      </c>
      <c r="Q343" s="177">
        <v>30</v>
      </c>
      <c r="R343" s="40">
        <v>45</v>
      </c>
      <c r="S343" s="41">
        <v>135</v>
      </c>
      <c r="T343" s="42">
        <v>45</v>
      </c>
      <c r="U343" s="43">
        <v>90</v>
      </c>
      <c r="V343" s="44">
        <v>30</v>
      </c>
      <c r="W343" s="45">
        <f t="shared" si="111"/>
        <v>375</v>
      </c>
      <c r="X343" s="19">
        <f t="shared" si="112"/>
        <v>62.5</v>
      </c>
      <c r="Y343" s="3">
        <v>30</v>
      </c>
      <c r="Z343" s="4">
        <v>45</v>
      </c>
      <c r="AA343" s="5">
        <v>135</v>
      </c>
      <c r="AB343" s="6">
        <v>45</v>
      </c>
      <c r="AC343" s="7">
        <v>90</v>
      </c>
      <c r="AD343" s="8">
        <v>30</v>
      </c>
      <c r="AE343" s="1">
        <v>375</v>
      </c>
      <c r="AF343" s="19">
        <v>62.5</v>
      </c>
      <c r="AG343" s="139">
        <v>30</v>
      </c>
      <c r="AH343" s="140">
        <v>45</v>
      </c>
      <c r="AI343" s="141">
        <v>135</v>
      </c>
      <c r="AJ343" s="142">
        <v>45</v>
      </c>
      <c r="AK343" s="143">
        <v>90</v>
      </c>
      <c r="AL343" s="144">
        <v>30</v>
      </c>
      <c r="AM343" s="138">
        <v>375</v>
      </c>
      <c r="AN343" s="153">
        <v>62.5</v>
      </c>
      <c r="AW343" s="45"/>
      <c r="AX343" s="174" t="b">
        <f>IF('Refined Compare'!$D$2="All",TRUE,IF(F343='Refined Compare'!$D$2,TRUE,IF(G343='Refined Compare'!$D$2,TRUE,FALSE)))</f>
        <v>0</v>
      </c>
      <c r="AY343" s="174" t="b">
        <f>IF('Refined Compare'!$D$3="All",TRUE,IF(F343='Refined Compare'!$D$3,TRUE,IF(G343='Refined Compare'!$D$3,TRUE,FALSE)))</f>
        <v>1</v>
      </c>
      <c r="AZ343" s="174" t="b">
        <f t="shared" si="113"/>
        <v>1</v>
      </c>
    </row>
    <row r="344" spans="1:52" x14ac:dyDescent="0.35">
      <c r="A344">
        <f t="shared" si="114"/>
        <v>343</v>
      </c>
      <c r="B344" s="18">
        <v>300</v>
      </c>
      <c r="C344" s="61">
        <v>3</v>
      </c>
      <c r="D344" s="61" t="b">
        <v>0</v>
      </c>
      <c r="E344" s="61"/>
      <c r="F344" s="66" t="s">
        <v>812</v>
      </c>
      <c r="G344" s="66" t="s">
        <v>827</v>
      </c>
      <c r="H344" s="2" t="s">
        <v>229</v>
      </c>
      <c r="I344" s="39">
        <f t="shared" si="115"/>
        <v>50</v>
      </c>
      <c r="J344" s="40">
        <f t="shared" si="116"/>
        <v>45</v>
      </c>
      <c r="K344" s="41">
        <f t="shared" si="117"/>
        <v>45</v>
      </c>
      <c r="L344" s="42">
        <f t="shared" si="118"/>
        <v>35</v>
      </c>
      <c r="M344" s="43">
        <f t="shared" si="119"/>
        <v>35</v>
      </c>
      <c r="N344" s="44">
        <f t="shared" si="120"/>
        <v>50</v>
      </c>
      <c r="O344" s="45">
        <f t="shared" si="121"/>
        <v>260</v>
      </c>
      <c r="P344" s="19">
        <f t="shared" si="122"/>
        <v>43.33</v>
      </c>
      <c r="Q344" s="177">
        <v>50</v>
      </c>
      <c r="R344" s="40">
        <v>45</v>
      </c>
      <c r="S344" s="41">
        <v>45</v>
      </c>
      <c r="T344" s="42">
        <v>35</v>
      </c>
      <c r="U344" s="43">
        <v>35</v>
      </c>
      <c r="V344" s="44">
        <v>50</v>
      </c>
      <c r="W344" s="45">
        <f t="shared" si="111"/>
        <v>260</v>
      </c>
      <c r="X344" s="19">
        <f t="shared" si="112"/>
        <v>43.33</v>
      </c>
      <c r="Y344" s="3">
        <v>50</v>
      </c>
      <c r="Z344" s="4">
        <v>45</v>
      </c>
      <c r="AA344" s="5">
        <v>45</v>
      </c>
      <c r="AB344" s="6">
        <v>35</v>
      </c>
      <c r="AC344" s="7">
        <v>35</v>
      </c>
      <c r="AD344" s="8">
        <v>50</v>
      </c>
      <c r="AE344" s="1">
        <v>260</v>
      </c>
      <c r="AF344" s="19">
        <v>43.33</v>
      </c>
      <c r="AG344" s="139">
        <v>50</v>
      </c>
      <c r="AH344" s="140">
        <v>45</v>
      </c>
      <c r="AI344" s="141">
        <v>45</v>
      </c>
      <c r="AJ344" s="142">
        <v>35</v>
      </c>
      <c r="AK344" s="143">
        <v>35</v>
      </c>
      <c r="AL344" s="144">
        <v>50</v>
      </c>
      <c r="AM344" s="138">
        <v>260</v>
      </c>
      <c r="AN344" s="153">
        <v>43.33</v>
      </c>
      <c r="AW344" s="45"/>
      <c r="AX344" s="174" t="b">
        <f>IF('Refined Compare'!$D$2="All",TRUE,IF(F344='Refined Compare'!$D$2,TRUE,IF(G344='Refined Compare'!$D$2,TRUE,FALSE)))</f>
        <v>0</v>
      </c>
      <c r="AY344" s="174" t="b">
        <f>IF('Refined Compare'!$D$3="All",TRUE,IF(F344='Refined Compare'!$D$3,TRUE,IF(G344='Refined Compare'!$D$3,TRUE,FALSE)))</f>
        <v>1</v>
      </c>
      <c r="AZ344" s="174" t="b">
        <f t="shared" si="113"/>
        <v>1</v>
      </c>
    </row>
    <row r="345" spans="1:52" x14ac:dyDescent="0.35">
      <c r="A345">
        <f t="shared" si="114"/>
        <v>344</v>
      </c>
      <c r="B345" s="18">
        <v>301</v>
      </c>
      <c r="C345" s="61">
        <v>3</v>
      </c>
      <c r="D345" s="118" t="b">
        <v>1</v>
      </c>
      <c r="E345" s="61"/>
      <c r="F345" s="66" t="s">
        <v>812</v>
      </c>
      <c r="G345" s="66" t="s">
        <v>827</v>
      </c>
      <c r="H345" s="2" t="s">
        <v>440</v>
      </c>
      <c r="I345" s="39">
        <f t="shared" si="115"/>
        <v>70</v>
      </c>
      <c r="J345" s="40">
        <f t="shared" si="116"/>
        <v>65</v>
      </c>
      <c r="K345" s="41">
        <f t="shared" si="117"/>
        <v>65</v>
      </c>
      <c r="L345" s="42">
        <f t="shared" si="118"/>
        <v>55</v>
      </c>
      <c r="M345" s="43">
        <f t="shared" si="119"/>
        <v>55</v>
      </c>
      <c r="N345" s="44">
        <f t="shared" si="120"/>
        <v>70</v>
      </c>
      <c r="O345" s="45">
        <f t="shared" si="121"/>
        <v>380</v>
      </c>
      <c r="P345" s="19">
        <f t="shared" si="122"/>
        <v>63.33</v>
      </c>
      <c r="Q345" s="177">
        <v>70</v>
      </c>
      <c r="R345" s="40">
        <v>65</v>
      </c>
      <c r="S345" s="41">
        <v>65</v>
      </c>
      <c r="T345" s="42">
        <v>55</v>
      </c>
      <c r="U345" s="43">
        <v>55</v>
      </c>
      <c r="V345" s="44">
        <v>90</v>
      </c>
      <c r="W345" s="45">
        <f t="shared" si="111"/>
        <v>400</v>
      </c>
      <c r="X345" s="19">
        <f t="shared" si="112"/>
        <v>66.67</v>
      </c>
      <c r="Y345" s="3">
        <v>70</v>
      </c>
      <c r="Z345" s="4">
        <v>65</v>
      </c>
      <c r="AA345" s="5">
        <v>65</v>
      </c>
      <c r="AB345" s="6">
        <v>55</v>
      </c>
      <c r="AC345" s="7">
        <v>55</v>
      </c>
      <c r="AD345" s="8">
        <v>70</v>
      </c>
      <c r="AE345" s="1">
        <v>380</v>
      </c>
      <c r="AF345" s="19">
        <v>63.33</v>
      </c>
      <c r="AG345" s="139">
        <v>70</v>
      </c>
      <c r="AH345" s="140">
        <v>65</v>
      </c>
      <c r="AI345" s="141">
        <v>65</v>
      </c>
      <c r="AJ345" s="142">
        <v>55</v>
      </c>
      <c r="AK345" s="143">
        <v>55</v>
      </c>
      <c r="AL345" s="144">
        <v>70</v>
      </c>
      <c r="AM345" s="138">
        <v>380</v>
      </c>
      <c r="AN345" s="153">
        <v>63.33</v>
      </c>
      <c r="AW345" s="45"/>
      <c r="AX345" s="174" t="b">
        <f>IF('Refined Compare'!$D$2="All",TRUE,IF(F345='Refined Compare'!$D$2,TRUE,IF(G345='Refined Compare'!$D$2,TRUE,FALSE)))</f>
        <v>0</v>
      </c>
      <c r="AY345" s="174" t="b">
        <f>IF('Refined Compare'!$D$3="All",TRUE,IF(F345='Refined Compare'!$D$3,TRUE,IF(G345='Refined Compare'!$D$3,TRUE,FALSE)))</f>
        <v>1</v>
      </c>
      <c r="AZ345" s="174" t="b">
        <f t="shared" si="113"/>
        <v>1</v>
      </c>
    </row>
    <row r="346" spans="1:52" x14ac:dyDescent="0.35">
      <c r="A346">
        <f t="shared" si="114"/>
        <v>345</v>
      </c>
      <c r="B346" s="18">
        <v>302</v>
      </c>
      <c r="C346" s="61">
        <v>3</v>
      </c>
      <c r="D346" s="61" t="b">
        <f>IF($AW$2&lt;6,TRUE,FALSE)</f>
        <v>1</v>
      </c>
      <c r="E346" s="61"/>
      <c r="F346" s="66" t="s">
        <v>823</v>
      </c>
      <c r="G346" s="66" t="s">
        <v>821</v>
      </c>
      <c r="H346" s="2" t="s">
        <v>230</v>
      </c>
      <c r="I346" s="39">
        <f t="shared" si="115"/>
        <v>50</v>
      </c>
      <c r="J346" s="40">
        <f t="shared" si="116"/>
        <v>75</v>
      </c>
      <c r="K346" s="41">
        <f t="shared" si="117"/>
        <v>75</v>
      </c>
      <c r="L346" s="42">
        <f t="shared" si="118"/>
        <v>65</v>
      </c>
      <c r="M346" s="43">
        <f t="shared" si="119"/>
        <v>65</v>
      </c>
      <c r="N346" s="44">
        <f t="shared" si="120"/>
        <v>50</v>
      </c>
      <c r="O346" s="45">
        <f t="shared" si="121"/>
        <v>380</v>
      </c>
      <c r="P346" s="19">
        <f t="shared" si="122"/>
        <v>63.33</v>
      </c>
      <c r="Q346" s="177">
        <v>50</v>
      </c>
      <c r="R346" s="40">
        <v>75</v>
      </c>
      <c r="S346" s="41">
        <v>75</v>
      </c>
      <c r="T346" s="42">
        <v>65</v>
      </c>
      <c r="U346" s="43">
        <v>65</v>
      </c>
      <c r="V346" s="44">
        <v>50</v>
      </c>
      <c r="W346" s="45">
        <f t="shared" si="111"/>
        <v>380</v>
      </c>
      <c r="X346" s="19">
        <f t="shared" si="112"/>
        <v>63.33</v>
      </c>
      <c r="Y346" s="3">
        <v>50</v>
      </c>
      <c r="Z346" s="4">
        <v>75</v>
      </c>
      <c r="AA346" s="5">
        <v>75</v>
      </c>
      <c r="AB346" s="6">
        <v>65</v>
      </c>
      <c r="AC346" s="7">
        <v>65</v>
      </c>
      <c r="AD346" s="8">
        <v>50</v>
      </c>
      <c r="AE346" s="1">
        <v>380</v>
      </c>
      <c r="AF346" s="19">
        <v>63.33</v>
      </c>
      <c r="AG346" s="139">
        <v>50</v>
      </c>
      <c r="AH346" s="140">
        <v>75</v>
      </c>
      <c r="AI346" s="141">
        <v>75</v>
      </c>
      <c r="AJ346" s="142">
        <v>65</v>
      </c>
      <c r="AK346" s="143">
        <v>65</v>
      </c>
      <c r="AL346" s="144">
        <v>50</v>
      </c>
      <c r="AM346" s="138">
        <v>380</v>
      </c>
      <c r="AN346" s="153">
        <v>63.33</v>
      </c>
      <c r="AW346" s="45"/>
      <c r="AX346" s="174" t="b">
        <f>IF('Refined Compare'!$D$2="All",TRUE,IF(F346='Refined Compare'!$D$2,TRUE,IF(G346='Refined Compare'!$D$2,TRUE,FALSE)))</f>
        <v>1</v>
      </c>
      <c r="AY346" s="174" t="b">
        <f>IF('Refined Compare'!$D$3="All",TRUE,IF(F346='Refined Compare'!$D$3,TRUE,IF(G346='Refined Compare'!$D$3,TRUE,FALSE)))</f>
        <v>0</v>
      </c>
      <c r="AZ346" s="174" t="b">
        <f t="shared" si="113"/>
        <v>1</v>
      </c>
    </row>
    <row r="347" spans="1:52" x14ac:dyDescent="0.35">
      <c r="A347">
        <f t="shared" si="114"/>
        <v>346</v>
      </c>
      <c r="B347" s="62">
        <v>302</v>
      </c>
      <c r="C347" s="61">
        <v>6</v>
      </c>
      <c r="D347" s="118" t="b">
        <f>IF(AZ347,TRUE,FALSE)</f>
        <v>0</v>
      </c>
      <c r="E347" s="61" t="s">
        <v>801</v>
      </c>
      <c r="F347" s="66" t="s">
        <v>823</v>
      </c>
      <c r="G347" s="66" t="s">
        <v>821</v>
      </c>
      <c r="H347" s="2" t="s">
        <v>21</v>
      </c>
      <c r="I347" s="39">
        <f t="shared" si="115"/>
        <v>0</v>
      </c>
      <c r="J347" s="40">
        <f t="shared" si="116"/>
        <v>0</v>
      </c>
      <c r="K347" s="41">
        <f t="shared" si="117"/>
        <v>0</v>
      </c>
      <c r="L347" s="42">
        <f t="shared" si="118"/>
        <v>0</v>
      </c>
      <c r="M347" s="43">
        <f t="shared" si="119"/>
        <v>0</v>
      </c>
      <c r="N347" s="44">
        <f t="shared" si="120"/>
        <v>0</v>
      </c>
      <c r="O347" s="45">
        <f t="shared" si="121"/>
        <v>0</v>
      </c>
      <c r="P347" s="19">
        <f t="shared" si="122"/>
        <v>0</v>
      </c>
      <c r="Q347" s="177">
        <v>50</v>
      </c>
      <c r="R347" s="40">
        <v>85</v>
      </c>
      <c r="S347" s="41">
        <v>125</v>
      </c>
      <c r="T347" s="42">
        <v>85</v>
      </c>
      <c r="U347" s="43">
        <v>115</v>
      </c>
      <c r="V347" s="44">
        <v>20</v>
      </c>
      <c r="W347" s="45">
        <f t="shared" si="111"/>
        <v>480</v>
      </c>
      <c r="X347" s="19">
        <f t="shared" si="112"/>
        <v>80</v>
      </c>
      <c r="Y347" s="3">
        <v>50</v>
      </c>
      <c r="Z347" s="4">
        <v>85</v>
      </c>
      <c r="AA347" s="5">
        <v>125</v>
      </c>
      <c r="AB347" s="6">
        <v>85</v>
      </c>
      <c r="AC347" s="7">
        <v>115</v>
      </c>
      <c r="AD347" s="8">
        <v>20</v>
      </c>
      <c r="AE347" s="1">
        <v>480</v>
      </c>
      <c r="AF347" s="19">
        <v>80</v>
      </c>
      <c r="AN347" s="172"/>
      <c r="AV347" s="174"/>
      <c r="AW347" s="45"/>
      <c r="AX347" s="174" t="b">
        <f>IF('Refined Compare'!$D$2="All",TRUE,IF(F347='Refined Compare'!$D$2,TRUE,IF(G347='Refined Compare'!$D$2,TRUE,FALSE)))</f>
        <v>1</v>
      </c>
      <c r="AY347" s="174" t="b">
        <f>IF('Refined Compare'!$D$3="All",TRUE,IF(F347='Refined Compare'!$D$3,TRUE,IF(G347='Refined Compare'!$D$3,TRUE,FALSE)))</f>
        <v>0</v>
      </c>
      <c r="AZ347" s="174" t="b">
        <f t="shared" si="113"/>
        <v>0</v>
      </c>
    </row>
    <row r="348" spans="1:52" x14ac:dyDescent="0.35">
      <c r="A348">
        <f t="shared" si="114"/>
        <v>347</v>
      </c>
      <c r="B348" s="18">
        <v>303</v>
      </c>
      <c r="C348" s="61">
        <v>3</v>
      </c>
      <c r="D348" s="61" t="b">
        <f>IF($AW$2&lt;6,TRUE,FALSE)</f>
        <v>1</v>
      </c>
      <c r="E348" s="61"/>
      <c r="F348" s="66" t="s">
        <v>819</v>
      </c>
      <c r="G348" s="66" t="str">
        <f>IF($AW$2&lt;6,"Single type","Fairy")</f>
        <v>Single type</v>
      </c>
      <c r="H348" s="2" t="s">
        <v>231</v>
      </c>
      <c r="I348" s="39">
        <f t="shared" si="115"/>
        <v>50</v>
      </c>
      <c r="J348" s="40">
        <f t="shared" si="116"/>
        <v>85</v>
      </c>
      <c r="K348" s="41">
        <f t="shared" si="117"/>
        <v>85</v>
      </c>
      <c r="L348" s="42">
        <f t="shared" si="118"/>
        <v>55</v>
      </c>
      <c r="M348" s="43">
        <f t="shared" si="119"/>
        <v>55</v>
      </c>
      <c r="N348" s="44">
        <f t="shared" si="120"/>
        <v>50</v>
      </c>
      <c r="O348" s="45">
        <f t="shared" si="121"/>
        <v>380</v>
      </c>
      <c r="P348" s="19">
        <f t="shared" si="122"/>
        <v>63.33</v>
      </c>
      <c r="Q348" s="177">
        <v>50</v>
      </c>
      <c r="R348" s="40">
        <v>85</v>
      </c>
      <c r="S348" s="41">
        <v>85</v>
      </c>
      <c r="T348" s="42">
        <v>55</v>
      </c>
      <c r="U348" s="43">
        <v>55</v>
      </c>
      <c r="V348" s="44">
        <v>50</v>
      </c>
      <c r="W348" s="45">
        <f t="shared" ref="W348:W411" si="123">SUM(Q348:V348)</f>
        <v>380</v>
      </c>
      <c r="X348" s="19">
        <f t="shared" ref="X348:X411" si="124">ROUND(AVERAGE(Q348:V348),2)</f>
        <v>63.33</v>
      </c>
      <c r="Y348" s="3">
        <v>50</v>
      </c>
      <c r="Z348" s="4">
        <v>85</v>
      </c>
      <c r="AA348" s="5">
        <v>85</v>
      </c>
      <c r="AB348" s="6">
        <v>55</v>
      </c>
      <c r="AC348" s="7">
        <v>55</v>
      </c>
      <c r="AD348" s="8">
        <v>50</v>
      </c>
      <c r="AE348" s="1">
        <v>380</v>
      </c>
      <c r="AF348" s="19">
        <v>63.33</v>
      </c>
      <c r="AG348" s="139">
        <v>50</v>
      </c>
      <c r="AH348" s="140">
        <v>85</v>
      </c>
      <c r="AI348" s="141">
        <v>85</v>
      </c>
      <c r="AJ348" s="142">
        <v>55</v>
      </c>
      <c r="AK348" s="143">
        <v>55</v>
      </c>
      <c r="AL348" s="144">
        <v>50</v>
      </c>
      <c r="AM348" s="138">
        <v>380</v>
      </c>
      <c r="AN348" s="153">
        <v>63.33</v>
      </c>
      <c r="AW348" s="45"/>
      <c r="AX348" s="174" t="b">
        <f>IF('Refined Compare'!$D$2="All",TRUE,IF(F348='Refined Compare'!$D$2,TRUE,IF(G348='Refined Compare'!$D$2,TRUE,FALSE)))</f>
        <v>0</v>
      </c>
      <c r="AY348" s="174" t="b">
        <f>IF('Refined Compare'!$D$3="All",TRUE,IF(F348='Refined Compare'!$D$3,TRUE,IF(G348='Refined Compare'!$D$3,TRUE,FALSE)))</f>
        <v>1</v>
      </c>
      <c r="AZ348" s="174" t="b">
        <f t="shared" si="113"/>
        <v>1</v>
      </c>
    </row>
    <row r="349" spans="1:52" x14ac:dyDescent="0.35">
      <c r="A349">
        <f t="shared" si="114"/>
        <v>348</v>
      </c>
      <c r="B349" s="62">
        <v>303</v>
      </c>
      <c r="C349" s="61">
        <v>6</v>
      </c>
      <c r="D349" s="118" t="b">
        <f>IF(AZ349,TRUE,FALSE)</f>
        <v>0</v>
      </c>
      <c r="E349" s="61" t="s">
        <v>801</v>
      </c>
      <c r="F349" s="66" t="s">
        <v>819</v>
      </c>
      <c r="G349" s="66" t="s">
        <v>821</v>
      </c>
      <c r="H349" s="2" t="s">
        <v>232</v>
      </c>
      <c r="I349" s="39">
        <f t="shared" si="115"/>
        <v>0</v>
      </c>
      <c r="J349" s="40">
        <f t="shared" si="116"/>
        <v>0</v>
      </c>
      <c r="K349" s="41">
        <f t="shared" si="117"/>
        <v>0</v>
      </c>
      <c r="L349" s="42">
        <f t="shared" si="118"/>
        <v>0</v>
      </c>
      <c r="M349" s="43">
        <f t="shared" si="119"/>
        <v>0</v>
      </c>
      <c r="N349" s="44">
        <f t="shared" si="120"/>
        <v>0</v>
      </c>
      <c r="O349" s="45">
        <f t="shared" si="121"/>
        <v>0</v>
      </c>
      <c r="P349" s="19">
        <f t="shared" si="122"/>
        <v>0</v>
      </c>
      <c r="Q349" s="177">
        <v>50</v>
      </c>
      <c r="R349" s="40">
        <v>105</v>
      </c>
      <c r="S349" s="41">
        <v>125</v>
      </c>
      <c r="T349" s="42">
        <v>55</v>
      </c>
      <c r="U349" s="43">
        <v>95</v>
      </c>
      <c r="V349" s="44">
        <v>50</v>
      </c>
      <c r="W349" s="45">
        <f t="shared" si="123"/>
        <v>480</v>
      </c>
      <c r="X349" s="19">
        <f t="shared" si="124"/>
        <v>80</v>
      </c>
      <c r="Y349" s="3">
        <v>50</v>
      </c>
      <c r="Z349" s="4">
        <v>105</v>
      </c>
      <c r="AA349" s="5">
        <v>125</v>
      </c>
      <c r="AB349" s="6">
        <v>55</v>
      </c>
      <c r="AC349" s="7">
        <v>95</v>
      </c>
      <c r="AD349" s="8">
        <v>50</v>
      </c>
      <c r="AE349" s="1">
        <v>480</v>
      </c>
      <c r="AF349" s="19">
        <v>80</v>
      </c>
      <c r="AN349" s="172"/>
      <c r="AV349" s="174"/>
      <c r="AW349" s="45"/>
      <c r="AX349" s="174" t="b">
        <f>IF('Refined Compare'!$D$2="All",TRUE,IF(F349='Refined Compare'!$D$2,TRUE,IF(G349='Refined Compare'!$D$2,TRUE,FALSE)))</f>
        <v>0</v>
      </c>
      <c r="AY349" s="174" t="b">
        <f>IF('Refined Compare'!$D$3="All",TRUE,IF(F349='Refined Compare'!$D$3,TRUE,IF(G349='Refined Compare'!$D$3,TRUE,FALSE)))</f>
        <v>0</v>
      </c>
      <c r="AZ349" s="174" t="b">
        <f t="shared" si="113"/>
        <v>0</v>
      </c>
    </row>
    <row r="350" spans="1:52" x14ac:dyDescent="0.35">
      <c r="A350">
        <f t="shared" si="114"/>
        <v>349</v>
      </c>
      <c r="B350" s="18">
        <v>304</v>
      </c>
      <c r="C350" s="61">
        <v>3</v>
      </c>
      <c r="D350" s="61" t="b">
        <v>0</v>
      </c>
      <c r="E350" s="61"/>
      <c r="F350" s="66" t="s">
        <v>819</v>
      </c>
      <c r="G350" s="66" t="s">
        <v>818</v>
      </c>
      <c r="H350" s="2" t="s">
        <v>72</v>
      </c>
      <c r="I350" s="39">
        <f t="shared" si="115"/>
        <v>50</v>
      </c>
      <c r="J350" s="40">
        <f t="shared" si="116"/>
        <v>70</v>
      </c>
      <c r="K350" s="41">
        <f t="shared" si="117"/>
        <v>100</v>
      </c>
      <c r="L350" s="42">
        <f t="shared" si="118"/>
        <v>40</v>
      </c>
      <c r="M350" s="43">
        <f t="shared" si="119"/>
        <v>40</v>
      </c>
      <c r="N350" s="44">
        <f t="shared" si="120"/>
        <v>30</v>
      </c>
      <c r="O350" s="45">
        <f t="shared" si="121"/>
        <v>330</v>
      </c>
      <c r="P350" s="19">
        <f t="shared" si="122"/>
        <v>55</v>
      </c>
      <c r="Q350" s="177">
        <v>50</v>
      </c>
      <c r="R350" s="40">
        <v>70</v>
      </c>
      <c r="S350" s="41">
        <v>100</v>
      </c>
      <c r="T350" s="42">
        <v>40</v>
      </c>
      <c r="U350" s="43">
        <v>40</v>
      </c>
      <c r="V350" s="44">
        <v>30</v>
      </c>
      <c r="W350" s="45">
        <f t="shared" si="123"/>
        <v>330</v>
      </c>
      <c r="X350" s="19">
        <f t="shared" si="124"/>
        <v>55</v>
      </c>
      <c r="Y350" s="3">
        <v>50</v>
      </c>
      <c r="Z350" s="4">
        <v>70</v>
      </c>
      <c r="AA350" s="5">
        <v>100</v>
      </c>
      <c r="AB350" s="6">
        <v>40</v>
      </c>
      <c r="AC350" s="7">
        <v>40</v>
      </c>
      <c r="AD350" s="8">
        <v>30</v>
      </c>
      <c r="AE350" s="1">
        <v>330</v>
      </c>
      <c r="AF350" s="19">
        <v>55</v>
      </c>
      <c r="AG350" s="139">
        <v>50</v>
      </c>
      <c r="AH350" s="140">
        <v>70</v>
      </c>
      <c r="AI350" s="141">
        <v>100</v>
      </c>
      <c r="AJ350" s="142">
        <v>40</v>
      </c>
      <c r="AK350" s="143">
        <v>40</v>
      </c>
      <c r="AL350" s="144">
        <v>30</v>
      </c>
      <c r="AM350" s="138">
        <v>330</v>
      </c>
      <c r="AN350" s="153">
        <v>55</v>
      </c>
      <c r="AW350" s="45"/>
      <c r="AX350" s="174" t="b">
        <f>IF('Refined Compare'!$D$2="All",TRUE,IF(F350='Refined Compare'!$D$2,TRUE,IF(G350='Refined Compare'!$D$2,TRUE,FALSE)))</f>
        <v>0</v>
      </c>
      <c r="AY350" s="174" t="b">
        <f>IF('Refined Compare'!$D$3="All",TRUE,IF(F350='Refined Compare'!$D$3,TRUE,IF(G350='Refined Compare'!$D$3,TRUE,FALSE)))</f>
        <v>0</v>
      </c>
      <c r="AZ350" s="174" t="b">
        <f t="shared" si="113"/>
        <v>1</v>
      </c>
    </row>
    <row r="351" spans="1:52" x14ac:dyDescent="0.35">
      <c r="A351">
        <f t="shared" si="114"/>
        <v>350</v>
      </c>
      <c r="B351" s="18">
        <v>305</v>
      </c>
      <c r="C351" s="61">
        <v>3</v>
      </c>
      <c r="D351" s="61" t="b">
        <v>0</v>
      </c>
      <c r="E351" s="61"/>
      <c r="F351" s="66" t="s">
        <v>819</v>
      </c>
      <c r="G351" s="66" t="s">
        <v>818</v>
      </c>
      <c r="H351" s="2" t="s">
        <v>140</v>
      </c>
      <c r="I351" s="39">
        <f t="shared" si="115"/>
        <v>60</v>
      </c>
      <c r="J351" s="40">
        <f t="shared" si="116"/>
        <v>90</v>
      </c>
      <c r="K351" s="41">
        <f t="shared" si="117"/>
        <v>140</v>
      </c>
      <c r="L351" s="42">
        <f t="shared" si="118"/>
        <v>50</v>
      </c>
      <c r="M351" s="43">
        <f t="shared" si="119"/>
        <v>50</v>
      </c>
      <c r="N351" s="44">
        <f t="shared" si="120"/>
        <v>40</v>
      </c>
      <c r="O351" s="45">
        <f t="shared" si="121"/>
        <v>430</v>
      </c>
      <c r="P351" s="19">
        <f t="shared" si="122"/>
        <v>71.67</v>
      </c>
      <c r="Q351" s="177">
        <v>60</v>
      </c>
      <c r="R351" s="40">
        <v>90</v>
      </c>
      <c r="S351" s="41">
        <v>140</v>
      </c>
      <c r="T351" s="42">
        <v>50</v>
      </c>
      <c r="U351" s="43">
        <v>50</v>
      </c>
      <c r="V351" s="44">
        <v>40</v>
      </c>
      <c r="W351" s="45">
        <f t="shared" si="123"/>
        <v>430</v>
      </c>
      <c r="X351" s="19">
        <f t="shared" si="124"/>
        <v>71.67</v>
      </c>
      <c r="Y351" s="3">
        <v>60</v>
      </c>
      <c r="Z351" s="4">
        <v>90</v>
      </c>
      <c r="AA351" s="5">
        <v>140</v>
      </c>
      <c r="AB351" s="6">
        <v>50</v>
      </c>
      <c r="AC351" s="7">
        <v>50</v>
      </c>
      <c r="AD351" s="8">
        <v>40</v>
      </c>
      <c r="AE351" s="1">
        <v>430</v>
      </c>
      <c r="AF351" s="19">
        <v>71.67</v>
      </c>
      <c r="AG351" s="139">
        <v>60</v>
      </c>
      <c r="AH351" s="140">
        <v>90</v>
      </c>
      <c r="AI351" s="141">
        <v>140</v>
      </c>
      <c r="AJ351" s="142">
        <v>50</v>
      </c>
      <c r="AK351" s="143">
        <v>50</v>
      </c>
      <c r="AL351" s="144">
        <v>40</v>
      </c>
      <c r="AM351" s="138">
        <v>430</v>
      </c>
      <c r="AN351" s="153">
        <v>71.67</v>
      </c>
      <c r="AW351" s="45"/>
      <c r="AX351" s="174" t="b">
        <f>IF('Refined Compare'!$D$2="All",TRUE,IF(F351='Refined Compare'!$D$2,TRUE,IF(G351='Refined Compare'!$D$2,TRUE,FALSE)))</f>
        <v>0</v>
      </c>
      <c r="AY351" s="174" t="b">
        <f>IF('Refined Compare'!$D$3="All",TRUE,IF(F351='Refined Compare'!$D$3,TRUE,IF(G351='Refined Compare'!$D$3,TRUE,FALSE)))</f>
        <v>0</v>
      </c>
      <c r="AZ351" s="174" t="b">
        <f t="shared" si="113"/>
        <v>1</v>
      </c>
    </row>
    <row r="352" spans="1:52" x14ac:dyDescent="0.35">
      <c r="A352">
        <f t="shared" si="114"/>
        <v>351</v>
      </c>
      <c r="B352" s="18">
        <v>306</v>
      </c>
      <c r="C352" s="61">
        <v>3</v>
      </c>
      <c r="D352" s="61" t="b">
        <f>IF($AW$2&lt;6,TRUE,FALSE)</f>
        <v>1</v>
      </c>
      <c r="E352" s="61"/>
      <c r="F352" s="66" t="s">
        <v>819</v>
      </c>
      <c r="G352" s="66" t="s">
        <v>818</v>
      </c>
      <c r="H352" s="2" t="s">
        <v>233</v>
      </c>
      <c r="I352" s="39">
        <f t="shared" si="115"/>
        <v>70</v>
      </c>
      <c r="J352" s="40">
        <f t="shared" si="116"/>
        <v>110</v>
      </c>
      <c r="K352" s="41">
        <f t="shared" si="117"/>
        <v>180</v>
      </c>
      <c r="L352" s="42">
        <f t="shared" si="118"/>
        <v>60</v>
      </c>
      <c r="M352" s="43">
        <f t="shared" si="119"/>
        <v>60</v>
      </c>
      <c r="N352" s="44">
        <f t="shared" si="120"/>
        <v>50</v>
      </c>
      <c r="O352" s="45">
        <f t="shared" si="121"/>
        <v>530</v>
      </c>
      <c r="P352" s="19">
        <f t="shared" si="122"/>
        <v>88.33</v>
      </c>
      <c r="Q352" s="177">
        <v>70</v>
      </c>
      <c r="R352" s="40">
        <v>110</v>
      </c>
      <c r="S352" s="41">
        <v>180</v>
      </c>
      <c r="T352" s="42">
        <v>60</v>
      </c>
      <c r="U352" s="43">
        <v>60</v>
      </c>
      <c r="V352" s="44">
        <v>50</v>
      </c>
      <c r="W352" s="45">
        <f t="shared" si="123"/>
        <v>530</v>
      </c>
      <c r="X352" s="19">
        <f t="shared" si="124"/>
        <v>88.33</v>
      </c>
      <c r="Y352" s="3">
        <v>70</v>
      </c>
      <c r="Z352" s="4">
        <v>110</v>
      </c>
      <c r="AA352" s="5">
        <v>180</v>
      </c>
      <c r="AB352" s="6">
        <v>60</v>
      </c>
      <c r="AC352" s="7">
        <v>60</v>
      </c>
      <c r="AD352" s="8">
        <v>50</v>
      </c>
      <c r="AE352" s="1">
        <v>530</v>
      </c>
      <c r="AF352" s="19">
        <v>88.33</v>
      </c>
      <c r="AG352" s="139">
        <v>70</v>
      </c>
      <c r="AH352" s="140">
        <v>110</v>
      </c>
      <c r="AI352" s="141">
        <v>180</v>
      </c>
      <c r="AJ352" s="142">
        <v>60</v>
      </c>
      <c r="AK352" s="143">
        <v>60</v>
      </c>
      <c r="AL352" s="144">
        <v>50</v>
      </c>
      <c r="AM352" s="138">
        <v>530</v>
      </c>
      <c r="AN352" s="153">
        <v>88.33</v>
      </c>
      <c r="AW352" s="45"/>
      <c r="AX352" s="174" t="b">
        <f>IF('Refined Compare'!$D$2="All",TRUE,IF(F352='Refined Compare'!$D$2,TRUE,IF(G352='Refined Compare'!$D$2,TRUE,FALSE)))</f>
        <v>0</v>
      </c>
      <c r="AY352" s="174" t="b">
        <f>IF('Refined Compare'!$D$3="All",TRUE,IF(F352='Refined Compare'!$D$3,TRUE,IF(G352='Refined Compare'!$D$3,TRUE,FALSE)))</f>
        <v>0</v>
      </c>
      <c r="AZ352" s="174" t="b">
        <f t="shared" si="113"/>
        <v>1</v>
      </c>
    </row>
    <row r="353" spans="1:52" x14ac:dyDescent="0.35">
      <c r="A353">
        <f t="shared" si="114"/>
        <v>352</v>
      </c>
      <c r="B353" s="62">
        <v>306</v>
      </c>
      <c r="C353" s="61">
        <v>6</v>
      </c>
      <c r="D353" s="118" t="b">
        <f>IF(AZ353,TRUE,FALSE)</f>
        <v>0</v>
      </c>
      <c r="E353" s="61" t="s">
        <v>801</v>
      </c>
      <c r="F353" s="66" t="s">
        <v>819</v>
      </c>
      <c r="G353" s="66" t="s">
        <v>827</v>
      </c>
      <c r="H353" s="2" t="s">
        <v>234</v>
      </c>
      <c r="I353" s="39">
        <f t="shared" si="115"/>
        <v>0</v>
      </c>
      <c r="J353" s="40">
        <f t="shared" si="116"/>
        <v>0</v>
      </c>
      <c r="K353" s="41">
        <f t="shared" si="117"/>
        <v>0</v>
      </c>
      <c r="L353" s="42">
        <f t="shared" si="118"/>
        <v>0</v>
      </c>
      <c r="M353" s="43">
        <f t="shared" si="119"/>
        <v>0</v>
      </c>
      <c r="N353" s="44">
        <f t="shared" si="120"/>
        <v>0</v>
      </c>
      <c r="O353" s="45">
        <f t="shared" si="121"/>
        <v>0</v>
      </c>
      <c r="P353" s="19">
        <f t="shared" si="122"/>
        <v>0</v>
      </c>
      <c r="Q353" s="177">
        <v>70</v>
      </c>
      <c r="R353" s="40">
        <v>140</v>
      </c>
      <c r="S353" s="41">
        <v>230</v>
      </c>
      <c r="T353" s="42">
        <v>60</v>
      </c>
      <c r="U353" s="43">
        <v>80</v>
      </c>
      <c r="V353" s="44">
        <v>50</v>
      </c>
      <c r="W353" s="45">
        <f t="shared" si="123"/>
        <v>630</v>
      </c>
      <c r="X353" s="19">
        <f t="shared" si="124"/>
        <v>105</v>
      </c>
      <c r="Y353" s="3">
        <v>70</v>
      </c>
      <c r="Z353" s="4">
        <v>140</v>
      </c>
      <c r="AA353" s="5">
        <v>230</v>
      </c>
      <c r="AB353" s="6">
        <v>60</v>
      </c>
      <c r="AC353" s="7">
        <v>80</v>
      </c>
      <c r="AD353" s="8">
        <v>50</v>
      </c>
      <c r="AE353" s="1">
        <v>630</v>
      </c>
      <c r="AF353" s="19">
        <v>105</v>
      </c>
      <c r="AN353" s="172"/>
      <c r="AV353" s="174"/>
      <c r="AW353" s="45"/>
      <c r="AX353" s="174" t="b">
        <f>IF('Refined Compare'!$D$2="All",TRUE,IF(F353='Refined Compare'!$D$2,TRUE,IF(G353='Refined Compare'!$D$2,TRUE,FALSE)))</f>
        <v>0</v>
      </c>
      <c r="AY353" s="174" t="b">
        <f>IF('Refined Compare'!$D$3="All",TRUE,IF(F353='Refined Compare'!$D$3,TRUE,IF(G353='Refined Compare'!$D$3,TRUE,FALSE)))</f>
        <v>1</v>
      </c>
      <c r="AZ353" s="174" t="b">
        <f t="shared" si="113"/>
        <v>0</v>
      </c>
    </row>
    <row r="354" spans="1:52" x14ac:dyDescent="0.35">
      <c r="A354">
        <f t="shared" si="114"/>
        <v>353</v>
      </c>
      <c r="B354" s="18">
        <v>307</v>
      </c>
      <c r="C354" s="61">
        <v>3</v>
      </c>
      <c r="D354" s="61" t="b">
        <v>0</v>
      </c>
      <c r="E354" s="61"/>
      <c r="F354" s="66" t="s">
        <v>816</v>
      </c>
      <c r="G354" s="66" t="s">
        <v>817</v>
      </c>
      <c r="H354" s="2" t="s">
        <v>327</v>
      </c>
      <c r="I354" s="39">
        <f t="shared" si="115"/>
        <v>30</v>
      </c>
      <c r="J354" s="40">
        <f t="shared" si="116"/>
        <v>40</v>
      </c>
      <c r="K354" s="41">
        <f t="shared" si="117"/>
        <v>55</v>
      </c>
      <c r="L354" s="42">
        <f t="shared" si="118"/>
        <v>40</v>
      </c>
      <c r="M354" s="43">
        <f t="shared" si="119"/>
        <v>55</v>
      </c>
      <c r="N354" s="44">
        <f t="shared" si="120"/>
        <v>60</v>
      </c>
      <c r="O354" s="45">
        <f t="shared" si="121"/>
        <v>280</v>
      </c>
      <c r="P354" s="19">
        <f t="shared" si="122"/>
        <v>46.67</v>
      </c>
      <c r="Q354" s="177">
        <v>30</v>
      </c>
      <c r="R354" s="40">
        <v>40</v>
      </c>
      <c r="S354" s="41">
        <v>55</v>
      </c>
      <c r="T354" s="42">
        <v>40</v>
      </c>
      <c r="U354" s="43">
        <v>55</v>
      </c>
      <c r="V354" s="44">
        <v>60</v>
      </c>
      <c r="W354" s="45">
        <f t="shared" si="123"/>
        <v>280</v>
      </c>
      <c r="X354" s="19">
        <f t="shared" si="124"/>
        <v>46.67</v>
      </c>
      <c r="Y354" s="3">
        <v>30</v>
      </c>
      <c r="Z354" s="4">
        <v>40</v>
      </c>
      <c r="AA354" s="5">
        <v>55</v>
      </c>
      <c r="AB354" s="6">
        <v>40</v>
      </c>
      <c r="AC354" s="7">
        <v>55</v>
      </c>
      <c r="AD354" s="8">
        <v>60</v>
      </c>
      <c r="AE354" s="1">
        <v>280</v>
      </c>
      <c r="AF354" s="19">
        <v>46.67</v>
      </c>
      <c r="AG354" s="139">
        <v>30</v>
      </c>
      <c r="AH354" s="140">
        <v>40</v>
      </c>
      <c r="AI354" s="141">
        <v>55</v>
      </c>
      <c r="AJ354" s="142">
        <v>40</v>
      </c>
      <c r="AK354" s="143">
        <v>55</v>
      </c>
      <c r="AL354" s="144">
        <v>60</v>
      </c>
      <c r="AM354" s="138">
        <v>280</v>
      </c>
      <c r="AN354" s="153">
        <v>46.67</v>
      </c>
      <c r="AW354" s="45"/>
      <c r="AX354" s="174" t="b">
        <f>IF('Refined Compare'!$D$2="All",TRUE,IF(F354='Refined Compare'!$D$2,TRUE,IF(G354='Refined Compare'!$D$2,TRUE,FALSE)))</f>
        <v>0</v>
      </c>
      <c r="AY354" s="174" t="b">
        <f>IF('Refined Compare'!$D$3="All",TRUE,IF(F354='Refined Compare'!$D$3,TRUE,IF(G354='Refined Compare'!$D$3,TRUE,FALSE)))</f>
        <v>0</v>
      </c>
      <c r="AZ354" s="174" t="b">
        <f t="shared" si="113"/>
        <v>1</v>
      </c>
    </row>
    <row r="355" spans="1:52" x14ac:dyDescent="0.35">
      <c r="A355">
        <f t="shared" si="114"/>
        <v>354</v>
      </c>
      <c r="B355" s="18">
        <v>308</v>
      </c>
      <c r="C355" s="61">
        <v>3</v>
      </c>
      <c r="D355" s="61" t="b">
        <f>IF($AW$2&lt;6,TRUE,FALSE)</f>
        <v>1</v>
      </c>
      <c r="E355" s="61"/>
      <c r="F355" s="66" t="s">
        <v>816</v>
      </c>
      <c r="G355" s="66" t="s">
        <v>817</v>
      </c>
      <c r="H355" s="2" t="s">
        <v>510</v>
      </c>
      <c r="I355" s="39">
        <f t="shared" si="115"/>
        <v>60</v>
      </c>
      <c r="J355" s="40">
        <f t="shared" si="116"/>
        <v>60</v>
      </c>
      <c r="K355" s="41">
        <f t="shared" si="117"/>
        <v>75</v>
      </c>
      <c r="L355" s="42">
        <f t="shared" si="118"/>
        <v>60</v>
      </c>
      <c r="M355" s="43">
        <f t="shared" si="119"/>
        <v>75</v>
      </c>
      <c r="N355" s="44">
        <f t="shared" si="120"/>
        <v>80</v>
      </c>
      <c r="O355" s="45">
        <f t="shared" si="121"/>
        <v>410</v>
      </c>
      <c r="P355" s="19">
        <f t="shared" si="122"/>
        <v>68.33</v>
      </c>
      <c r="Q355" s="177">
        <v>60</v>
      </c>
      <c r="R355" s="40">
        <v>60</v>
      </c>
      <c r="S355" s="41">
        <v>75</v>
      </c>
      <c r="T355" s="42">
        <v>60</v>
      </c>
      <c r="U355" s="43">
        <v>75</v>
      </c>
      <c r="V355" s="44">
        <v>80</v>
      </c>
      <c r="W355" s="45">
        <f t="shared" si="123"/>
        <v>410</v>
      </c>
      <c r="X355" s="19">
        <f t="shared" si="124"/>
        <v>68.33</v>
      </c>
      <c r="Y355" s="3">
        <v>60</v>
      </c>
      <c r="Z355" s="4">
        <v>60</v>
      </c>
      <c r="AA355" s="5">
        <v>75</v>
      </c>
      <c r="AB355" s="6">
        <v>60</v>
      </c>
      <c r="AC355" s="7">
        <v>75</v>
      </c>
      <c r="AD355" s="8">
        <v>80</v>
      </c>
      <c r="AE355" s="1">
        <v>410</v>
      </c>
      <c r="AF355" s="19">
        <v>68.33</v>
      </c>
      <c r="AG355" s="139">
        <v>60</v>
      </c>
      <c r="AH355" s="140">
        <v>60</v>
      </c>
      <c r="AI355" s="141">
        <v>75</v>
      </c>
      <c r="AJ355" s="142">
        <v>60</v>
      </c>
      <c r="AK355" s="143">
        <v>75</v>
      </c>
      <c r="AL355" s="144">
        <v>80</v>
      </c>
      <c r="AM355" s="138">
        <v>410</v>
      </c>
      <c r="AN355" s="153">
        <v>68.33</v>
      </c>
      <c r="AW355" s="45"/>
      <c r="AX355" s="174" t="b">
        <f>IF('Refined Compare'!$D$2="All",TRUE,IF(F355='Refined Compare'!$D$2,TRUE,IF(G355='Refined Compare'!$D$2,TRUE,FALSE)))</f>
        <v>0</v>
      </c>
      <c r="AY355" s="174" t="b">
        <f>IF('Refined Compare'!$D$3="All",TRUE,IF(F355='Refined Compare'!$D$3,TRUE,IF(G355='Refined Compare'!$D$3,TRUE,FALSE)))</f>
        <v>0</v>
      </c>
      <c r="AZ355" s="174" t="b">
        <f t="shared" si="113"/>
        <v>1</v>
      </c>
    </row>
    <row r="356" spans="1:52" x14ac:dyDescent="0.35">
      <c r="A356">
        <f t="shared" si="114"/>
        <v>355</v>
      </c>
      <c r="B356" s="62">
        <v>308</v>
      </c>
      <c r="C356" s="61">
        <v>6</v>
      </c>
      <c r="D356" s="118" t="b">
        <f>IF(AZ356,TRUE,FALSE)</f>
        <v>0</v>
      </c>
      <c r="E356" s="61" t="s">
        <v>801</v>
      </c>
      <c r="F356" s="66" t="s">
        <v>816</v>
      </c>
      <c r="G356" s="66" t="s">
        <v>817</v>
      </c>
      <c r="H356" s="2" t="s">
        <v>671</v>
      </c>
      <c r="I356" s="39">
        <f t="shared" si="115"/>
        <v>0</v>
      </c>
      <c r="J356" s="40">
        <f t="shared" si="116"/>
        <v>0</v>
      </c>
      <c r="K356" s="41">
        <f t="shared" si="117"/>
        <v>0</v>
      </c>
      <c r="L356" s="42">
        <f t="shared" si="118"/>
        <v>0</v>
      </c>
      <c r="M356" s="43">
        <f t="shared" si="119"/>
        <v>0</v>
      </c>
      <c r="N356" s="44">
        <f t="shared" si="120"/>
        <v>0</v>
      </c>
      <c r="O356" s="45">
        <f t="shared" si="121"/>
        <v>0</v>
      </c>
      <c r="P356" s="19">
        <f t="shared" si="122"/>
        <v>0</v>
      </c>
      <c r="Q356" s="177">
        <v>60</v>
      </c>
      <c r="R356" s="40">
        <v>100</v>
      </c>
      <c r="S356" s="41">
        <v>85</v>
      </c>
      <c r="T356" s="42">
        <v>80</v>
      </c>
      <c r="U356" s="43">
        <v>85</v>
      </c>
      <c r="V356" s="44">
        <v>100</v>
      </c>
      <c r="W356" s="45">
        <f t="shared" si="123"/>
        <v>510</v>
      </c>
      <c r="X356" s="19">
        <f t="shared" si="124"/>
        <v>85</v>
      </c>
      <c r="Y356" s="3">
        <v>60</v>
      </c>
      <c r="Z356" s="4">
        <v>100</v>
      </c>
      <c r="AA356" s="5">
        <v>85</v>
      </c>
      <c r="AB356" s="6">
        <v>80</v>
      </c>
      <c r="AC356" s="7">
        <v>85</v>
      </c>
      <c r="AD356" s="8">
        <v>100</v>
      </c>
      <c r="AE356" s="1">
        <v>510</v>
      </c>
      <c r="AF356" s="19">
        <v>85</v>
      </c>
      <c r="AN356" s="172"/>
      <c r="AV356" s="174"/>
      <c r="AW356" s="45"/>
      <c r="AX356" s="174" t="b">
        <f>IF('Refined Compare'!$D$2="All",TRUE,IF(F356='Refined Compare'!$D$2,TRUE,IF(G356='Refined Compare'!$D$2,TRUE,FALSE)))</f>
        <v>0</v>
      </c>
      <c r="AY356" s="174" t="b">
        <f>IF('Refined Compare'!$D$3="All",TRUE,IF(F356='Refined Compare'!$D$3,TRUE,IF(G356='Refined Compare'!$D$3,TRUE,FALSE)))</f>
        <v>0</v>
      </c>
      <c r="AZ356" s="174" t="b">
        <f t="shared" si="113"/>
        <v>0</v>
      </c>
    </row>
    <row r="357" spans="1:52" x14ac:dyDescent="0.35">
      <c r="A357">
        <f t="shared" si="114"/>
        <v>356</v>
      </c>
      <c r="B357" s="18">
        <v>309</v>
      </c>
      <c r="C357" s="61">
        <v>3</v>
      </c>
      <c r="D357" s="61" t="b">
        <v>0</v>
      </c>
      <c r="E357" s="61"/>
      <c r="F357" s="66" t="s">
        <v>813</v>
      </c>
      <c r="G357" s="66" t="s">
        <v>827</v>
      </c>
      <c r="H357" s="2" t="s">
        <v>382</v>
      </c>
      <c r="I357" s="39">
        <f t="shared" si="115"/>
        <v>40</v>
      </c>
      <c r="J357" s="40">
        <f t="shared" si="116"/>
        <v>45</v>
      </c>
      <c r="K357" s="41">
        <f t="shared" si="117"/>
        <v>40</v>
      </c>
      <c r="L357" s="42">
        <f t="shared" si="118"/>
        <v>65</v>
      </c>
      <c r="M357" s="43">
        <f t="shared" si="119"/>
        <v>40</v>
      </c>
      <c r="N357" s="44">
        <f t="shared" si="120"/>
        <v>65</v>
      </c>
      <c r="O357" s="45">
        <f t="shared" si="121"/>
        <v>295</v>
      </c>
      <c r="P357" s="19">
        <f t="shared" si="122"/>
        <v>49.17</v>
      </c>
      <c r="Q357" s="177">
        <v>40</v>
      </c>
      <c r="R357" s="40">
        <v>45</v>
      </c>
      <c r="S357" s="41">
        <v>40</v>
      </c>
      <c r="T357" s="42">
        <v>65</v>
      </c>
      <c r="U357" s="43">
        <v>40</v>
      </c>
      <c r="V357" s="44">
        <v>65</v>
      </c>
      <c r="W357" s="45">
        <f t="shared" si="123"/>
        <v>295</v>
      </c>
      <c r="X357" s="19">
        <f t="shared" si="124"/>
        <v>49.17</v>
      </c>
      <c r="Y357" s="3">
        <v>40</v>
      </c>
      <c r="Z357" s="4">
        <v>45</v>
      </c>
      <c r="AA357" s="5">
        <v>40</v>
      </c>
      <c r="AB357" s="6">
        <v>65</v>
      </c>
      <c r="AC357" s="7">
        <v>40</v>
      </c>
      <c r="AD357" s="8">
        <v>65</v>
      </c>
      <c r="AE357" s="1">
        <v>295</v>
      </c>
      <c r="AF357" s="19">
        <v>49.17</v>
      </c>
      <c r="AG357" s="139">
        <v>40</v>
      </c>
      <c r="AH357" s="140">
        <v>45</v>
      </c>
      <c r="AI357" s="141">
        <v>40</v>
      </c>
      <c r="AJ357" s="142">
        <v>65</v>
      </c>
      <c r="AK357" s="143">
        <v>40</v>
      </c>
      <c r="AL357" s="144">
        <v>65</v>
      </c>
      <c r="AM357" s="138">
        <v>295</v>
      </c>
      <c r="AN357" s="153">
        <v>49.17</v>
      </c>
      <c r="AW357" s="45"/>
      <c r="AX357" s="174" t="b">
        <f>IF('Refined Compare'!$D$2="All",TRUE,IF(F357='Refined Compare'!$D$2,TRUE,IF(G357='Refined Compare'!$D$2,TRUE,FALSE)))</f>
        <v>0</v>
      </c>
      <c r="AY357" s="174" t="b">
        <f>IF('Refined Compare'!$D$3="All",TRUE,IF(F357='Refined Compare'!$D$3,TRUE,IF(G357='Refined Compare'!$D$3,TRUE,FALSE)))</f>
        <v>1</v>
      </c>
      <c r="AZ357" s="174" t="b">
        <f t="shared" si="113"/>
        <v>1</v>
      </c>
    </row>
    <row r="358" spans="1:52" x14ac:dyDescent="0.35">
      <c r="A358">
        <f t="shared" si="114"/>
        <v>357</v>
      </c>
      <c r="B358" s="18">
        <v>310</v>
      </c>
      <c r="C358" s="61">
        <v>3</v>
      </c>
      <c r="D358" s="61" t="b">
        <f>IF($AW$2&lt;6,TRUE,FALSE)</f>
        <v>1</v>
      </c>
      <c r="E358" s="61"/>
      <c r="F358" s="66" t="s">
        <v>813</v>
      </c>
      <c r="G358" s="66" t="s">
        <v>827</v>
      </c>
      <c r="H358" s="2" t="s">
        <v>698</v>
      </c>
      <c r="I358" s="39">
        <f t="shared" si="115"/>
        <v>70</v>
      </c>
      <c r="J358" s="40">
        <f t="shared" si="116"/>
        <v>75</v>
      </c>
      <c r="K358" s="41">
        <f t="shared" si="117"/>
        <v>60</v>
      </c>
      <c r="L358" s="42">
        <f t="shared" si="118"/>
        <v>105</v>
      </c>
      <c r="M358" s="43">
        <f t="shared" si="119"/>
        <v>60</v>
      </c>
      <c r="N358" s="44">
        <f t="shared" si="120"/>
        <v>105</v>
      </c>
      <c r="O358" s="45">
        <f t="shared" si="121"/>
        <v>475</v>
      </c>
      <c r="P358" s="19">
        <f t="shared" si="122"/>
        <v>79.17</v>
      </c>
      <c r="Q358" s="177">
        <v>70</v>
      </c>
      <c r="R358" s="40">
        <v>75</v>
      </c>
      <c r="S358" s="41">
        <v>60</v>
      </c>
      <c r="T358" s="42">
        <v>105</v>
      </c>
      <c r="U358" s="43">
        <v>60</v>
      </c>
      <c r="V358" s="44">
        <v>105</v>
      </c>
      <c r="W358" s="45">
        <f t="shared" si="123"/>
        <v>475</v>
      </c>
      <c r="X358" s="19">
        <f t="shared" si="124"/>
        <v>79.17</v>
      </c>
      <c r="Y358" s="3">
        <v>70</v>
      </c>
      <c r="Z358" s="4">
        <v>75</v>
      </c>
      <c r="AA358" s="5">
        <v>60</v>
      </c>
      <c r="AB358" s="6">
        <v>105</v>
      </c>
      <c r="AC358" s="7">
        <v>60</v>
      </c>
      <c r="AD358" s="8">
        <v>105</v>
      </c>
      <c r="AE358" s="1">
        <v>475</v>
      </c>
      <c r="AF358" s="19">
        <v>79.17</v>
      </c>
      <c r="AG358" s="139">
        <v>70</v>
      </c>
      <c r="AH358" s="140">
        <v>75</v>
      </c>
      <c r="AI358" s="141">
        <v>60</v>
      </c>
      <c r="AJ358" s="142">
        <v>105</v>
      </c>
      <c r="AK358" s="143">
        <v>60</v>
      </c>
      <c r="AL358" s="144">
        <v>105</v>
      </c>
      <c r="AM358" s="138">
        <v>475</v>
      </c>
      <c r="AN358" s="153">
        <v>79.17</v>
      </c>
      <c r="AW358" s="45"/>
      <c r="AX358" s="174" t="b">
        <f>IF('Refined Compare'!$D$2="All",TRUE,IF(F358='Refined Compare'!$D$2,TRUE,IF(G358='Refined Compare'!$D$2,TRUE,FALSE)))</f>
        <v>0</v>
      </c>
      <c r="AY358" s="174" t="b">
        <f>IF('Refined Compare'!$D$3="All",TRUE,IF(F358='Refined Compare'!$D$3,TRUE,IF(G358='Refined Compare'!$D$3,TRUE,FALSE)))</f>
        <v>1</v>
      </c>
      <c r="AZ358" s="174" t="b">
        <f t="shared" si="113"/>
        <v>1</v>
      </c>
    </row>
    <row r="359" spans="1:52" x14ac:dyDescent="0.35">
      <c r="A359">
        <f t="shared" si="114"/>
        <v>358</v>
      </c>
      <c r="B359" s="62">
        <v>310</v>
      </c>
      <c r="C359" s="61">
        <v>6</v>
      </c>
      <c r="D359" s="118" t="b">
        <f>IF(AZ359,TRUE,FALSE)</f>
        <v>0</v>
      </c>
      <c r="E359" s="61" t="s">
        <v>801</v>
      </c>
      <c r="F359" s="66" t="s">
        <v>813</v>
      </c>
      <c r="G359" s="66" t="s">
        <v>827</v>
      </c>
      <c r="H359" s="2" t="s">
        <v>768</v>
      </c>
      <c r="I359" s="39">
        <f t="shared" si="115"/>
        <v>0</v>
      </c>
      <c r="J359" s="40">
        <f t="shared" si="116"/>
        <v>0</v>
      </c>
      <c r="K359" s="41">
        <f t="shared" si="117"/>
        <v>0</v>
      </c>
      <c r="L359" s="42">
        <f t="shared" si="118"/>
        <v>0</v>
      </c>
      <c r="M359" s="43">
        <f t="shared" si="119"/>
        <v>0</v>
      </c>
      <c r="N359" s="44">
        <f t="shared" si="120"/>
        <v>0</v>
      </c>
      <c r="O359" s="45">
        <f t="shared" si="121"/>
        <v>0</v>
      </c>
      <c r="P359" s="19">
        <f t="shared" si="122"/>
        <v>0</v>
      </c>
      <c r="Q359" s="177">
        <v>70</v>
      </c>
      <c r="R359" s="40">
        <v>75</v>
      </c>
      <c r="S359" s="41">
        <v>80</v>
      </c>
      <c r="T359" s="42">
        <v>135</v>
      </c>
      <c r="U359" s="43">
        <v>80</v>
      </c>
      <c r="V359" s="44">
        <v>135</v>
      </c>
      <c r="W359" s="45">
        <f t="shared" si="123"/>
        <v>575</v>
      </c>
      <c r="X359" s="19">
        <f t="shared" si="124"/>
        <v>95.83</v>
      </c>
      <c r="Y359" s="3">
        <v>70</v>
      </c>
      <c r="Z359" s="4">
        <v>75</v>
      </c>
      <c r="AA359" s="5">
        <v>80</v>
      </c>
      <c r="AB359" s="6">
        <v>135</v>
      </c>
      <c r="AC359" s="7">
        <v>80</v>
      </c>
      <c r="AD359" s="8">
        <v>135</v>
      </c>
      <c r="AE359" s="1">
        <v>575</v>
      </c>
      <c r="AF359" s="19">
        <v>95.83</v>
      </c>
      <c r="AN359" s="172"/>
      <c r="AV359" s="174"/>
      <c r="AW359" s="45"/>
      <c r="AX359" s="174" t="b">
        <f>IF('Refined Compare'!$D$2="All",TRUE,IF(F359='Refined Compare'!$D$2,TRUE,IF(G359='Refined Compare'!$D$2,TRUE,FALSE)))</f>
        <v>0</v>
      </c>
      <c r="AY359" s="174" t="b">
        <f>IF('Refined Compare'!$D$3="All",TRUE,IF(F359='Refined Compare'!$D$3,TRUE,IF(G359='Refined Compare'!$D$3,TRUE,FALSE)))</f>
        <v>1</v>
      </c>
      <c r="AZ359" s="174" t="b">
        <f t="shared" si="113"/>
        <v>0</v>
      </c>
    </row>
    <row r="360" spans="1:52" x14ac:dyDescent="0.35">
      <c r="A360">
        <f t="shared" si="114"/>
        <v>359</v>
      </c>
      <c r="B360" s="18">
        <v>311</v>
      </c>
      <c r="C360" s="61">
        <v>3</v>
      </c>
      <c r="D360" s="118" t="b">
        <v>1</v>
      </c>
      <c r="E360" s="61"/>
      <c r="F360" s="66" t="s">
        <v>813</v>
      </c>
      <c r="G360" s="66" t="s">
        <v>827</v>
      </c>
      <c r="H360" s="2" t="s">
        <v>625</v>
      </c>
      <c r="I360" s="39">
        <f t="shared" si="115"/>
        <v>60</v>
      </c>
      <c r="J360" s="40">
        <f t="shared" si="116"/>
        <v>50</v>
      </c>
      <c r="K360" s="41">
        <f t="shared" si="117"/>
        <v>40</v>
      </c>
      <c r="L360" s="42">
        <f t="shared" si="118"/>
        <v>85</v>
      </c>
      <c r="M360" s="43">
        <f t="shared" si="119"/>
        <v>75</v>
      </c>
      <c r="N360" s="44">
        <f t="shared" si="120"/>
        <v>95</v>
      </c>
      <c r="O360" s="45">
        <f t="shared" si="121"/>
        <v>405</v>
      </c>
      <c r="P360" s="19">
        <f t="shared" si="122"/>
        <v>67.5</v>
      </c>
      <c r="Q360" s="177">
        <v>60</v>
      </c>
      <c r="R360" s="40">
        <v>50</v>
      </c>
      <c r="S360" s="41">
        <v>40</v>
      </c>
      <c r="T360" s="42">
        <v>85</v>
      </c>
      <c r="U360" s="43">
        <v>75</v>
      </c>
      <c r="V360" s="44">
        <v>95</v>
      </c>
      <c r="W360" s="45">
        <f t="shared" si="123"/>
        <v>405</v>
      </c>
      <c r="X360" s="19">
        <f t="shared" si="124"/>
        <v>67.5</v>
      </c>
      <c r="Y360" s="3">
        <v>60</v>
      </c>
      <c r="Z360" s="4">
        <v>50</v>
      </c>
      <c r="AA360" s="5">
        <v>40</v>
      </c>
      <c r="AB360" s="6">
        <v>85</v>
      </c>
      <c r="AC360" s="7">
        <v>75</v>
      </c>
      <c r="AD360" s="8">
        <v>95</v>
      </c>
      <c r="AE360" s="1">
        <v>405</v>
      </c>
      <c r="AF360" s="19">
        <v>67.5</v>
      </c>
      <c r="AG360" s="139">
        <v>60</v>
      </c>
      <c r="AH360" s="140">
        <v>50</v>
      </c>
      <c r="AI360" s="141">
        <v>40</v>
      </c>
      <c r="AJ360" s="142">
        <v>85</v>
      </c>
      <c r="AK360" s="143">
        <v>75</v>
      </c>
      <c r="AL360" s="144">
        <v>95</v>
      </c>
      <c r="AM360" s="138">
        <v>405</v>
      </c>
      <c r="AN360" s="153">
        <v>67.5</v>
      </c>
      <c r="AW360" s="45"/>
      <c r="AX360" s="174" t="b">
        <f>IF('Refined Compare'!$D$2="All",TRUE,IF(F360='Refined Compare'!$D$2,TRUE,IF(G360='Refined Compare'!$D$2,TRUE,FALSE)))</f>
        <v>0</v>
      </c>
      <c r="AY360" s="174" t="b">
        <f>IF('Refined Compare'!$D$3="All",TRUE,IF(F360='Refined Compare'!$D$3,TRUE,IF(G360='Refined Compare'!$D$3,TRUE,FALSE)))</f>
        <v>1</v>
      </c>
      <c r="AZ360" s="174" t="b">
        <f t="shared" si="113"/>
        <v>1</v>
      </c>
    </row>
    <row r="361" spans="1:52" x14ac:dyDescent="0.35">
      <c r="A361">
        <f t="shared" si="114"/>
        <v>360</v>
      </c>
      <c r="B361" s="18">
        <v>312</v>
      </c>
      <c r="C361" s="61">
        <v>3</v>
      </c>
      <c r="D361" s="118" t="b">
        <v>1</v>
      </c>
      <c r="E361" s="61"/>
      <c r="F361" s="66" t="s">
        <v>813</v>
      </c>
      <c r="G361" s="66" t="s">
        <v>827</v>
      </c>
      <c r="H361" s="2" t="s">
        <v>626</v>
      </c>
      <c r="I361" s="39">
        <f t="shared" si="115"/>
        <v>60</v>
      </c>
      <c r="J361" s="40">
        <f t="shared" si="116"/>
        <v>40</v>
      </c>
      <c r="K361" s="41">
        <f t="shared" si="117"/>
        <v>50</v>
      </c>
      <c r="L361" s="42">
        <f t="shared" si="118"/>
        <v>75</v>
      </c>
      <c r="M361" s="43">
        <f t="shared" si="119"/>
        <v>85</v>
      </c>
      <c r="N361" s="44">
        <f t="shared" si="120"/>
        <v>95</v>
      </c>
      <c r="O361" s="45">
        <f t="shared" si="121"/>
        <v>405</v>
      </c>
      <c r="P361" s="19">
        <f t="shared" si="122"/>
        <v>67.5</v>
      </c>
      <c r="Q361" s="177">
        <v>60</v>
      </c>
      <c r="R361" s="40">
        <v>40</v>
      </c>
      <c r="S361" s="41">
        <v>50</v>
      </c>
      <c r="T361" s="42">
        <v>75</v>
      </c>
      <c r="U361" s="43">
        <v>85</v>
      </c>
      <c r="V361" s="44">
        <v>95</v>
      </c>
      <c r="W361" s="45">
        <f t="shared" si="123"/>
        <v>405</v>
      </c>
      <c r="X361" s="19">
        <f t="shared" si="124"/>
        <v>67.5</v>
      </c>
      <c r="Y361" s="3">
        <v>60</v>
      </c>
      <c r="Z361" s="4">
        <v>40</v>
      </c>
      <c r="AA361" s="5">
        <v>50</v>
      </c>
      <c r="AB361" s="6">
        <v>75</v>
      </c>
      <c r="AC361" s="7">
        <v>85</v>
      </c>
      <c r="AD361" s="8">
        <v>95</v>
      </c>
      <c r="AE361" s="1">
        <v>405</v>
      </c>
      <c r="AF361" s="19">
        <v>67.5</v>
      </c>
      <c r="AG361" s="139">
        <v>60</v>
      </c>
      <c r="AH361" s="140">
        <v>40</v>
      </c>
      <c r="AI361" s="141">
        <v>50</v>
      </c>
      <c r="AJ361" s="142">
        <v>75</v>
      </c>
      <c r="AK361" s="143">
        <v>85</v>
      </c>
      <c r="AL361" s="144">
        <v>95</v>
      </c>
      <c r="AM361" s="138">
        <v>405</v>
      </c>
      <c r="AN361" s="153">
        <v>67.5</v>
      </c>
      <c r="AW361" s="45"/>
      <c r="AX361" s="174" t="b">
        <f>IF('Refined Compare'!$D$2="All",TRUE,IF(F361='Refined Compare'!$D$2,TRUE,IF(G361='Refined Compare'!$D$2,TRUE,FALSE)))</f>
        <v>0</v>
      </c>
      <c r="AY361" s="174" t="b">
        <f>IF('Refined Compare'!$D$3="All",TRUE,IF(F361='Refined Compare'!$D$3,TRUE,IF(G361='Refined Compare'!$D$3,TRUE,FALSE)))</f>
        <v>1</v>
      </c>
      <c r="AZ361" s="174" t="b">
        <f t="shared" si="113"/>
        <v>1</v>
      </c>
    </row>
    <row r="362" spans="1:52" x14ac:dyDescent="0.35">
      <c r="A362">
        <f t="shared" si="114"/>
        <v>361</v>
      </c>
      <c r="B362" s="18">
        <v>313</v>
      </c>
      <c r="C362" s="61">
        <v>3</v>
      </c>
      <c r="D362" s="118" t="b">
        <v>1</v>
      </c>
      <c r="E362" s="61"/>
      <c r="F362" s="66" t="s">
        <v>811</v>
      </c>
      <c r="G362" s="66" t="s">
        <v>827</v>
      </c>
      <c r="H362" s="2" t="s">
        <v>557</v>
      </c>
      <c r="I362" s="39">
        <f t="shared" si="115"/>
        <v>65</v>
      </c>
      <c r="J362" s="40">
        <f t="shared" si="116"/>
        <v>73</v>
      </c>
      <c r="K362" s="41">
        <f t="shared" si="117"/>
        <v>55</v>
      </c>
      <c r="L362" s="42">
        <f t="shared" si="118"/>
        <v>47</v>
      </c>
      <c r="M362" s="43">
        <f t="shared" si="119"/>
        <v>75</v>
      </c>
      <c r="N362" s="44">
        <f t="shared" si="120"/>
        <v>85</v>
      </c>
      <c r="O362" s="45">
        <f t="shared" si="121"/>
        <v>400</v>
      </c>
      <c r="P362" s="19">
        <f t="shared" si="122"/>
        <v>66.67</v>
      </c>
      <c r="Q362" s="177">
        <v>65</v>
      </c>
      <c r="R362" s="40">
        <v>73</v>
      </c>
      <c r="S362" s="41">
        <v>75</v>
      </c>
      <c r="T362" s="42">
        <v>47</v>
      </c>
      <c r="U362" s="43">
        <v>85</v>
      </c>
      <c r="V362" s="44">
        <v>85</v>
      </c>
      <c r="W362" s="45">
        <f t="shared" si="123"/>
        <v>430</v>
      </c>
      <c r="X362" s="19">
        <f t="shared" si="124"/>
        <v>71.67</v>
      </c>
      <c r="Y362" s="3">
        <v>65</v>
      </c>
      <c r="Z362" s="4">
        <v>73</v>
      </c>
      <c r="AA362" s="5">
        <v>55</v>
      </c>
      <c r="AB362" s="6">
        <v>47</v>
      </c>
      <c r="AC362" s="7">
        <v>75</v>
      </c>
      <c r="AD362" s="8">
        <v>85</v>
      </c>
      <c r="AE362" s="1">
        <v>400</v>
      </c>
      <c r="AF362" s="19">
        <v>66.67</v>
      </c>
      <c r="AG362" s="139">
        <v>65</v>
      </c>
      <c r="AH362" s="140">
        <v>73</v>
      </c>
      <c r="AI362" s="141">
        <v>55</v>
      </c>
      <c r="AJ362" s="142">
        <v>47</v>
      </c>
      <c r="AK362" s="143">
        <v>75</v>
      </c>
      <c r="AL362" s="144">
        <v>85</v>
      </c>
      <c r="AM362" s="138">
        <v>400</v>
      </c>
      <c r="AN362" s="153">
        <v>66.67</v>
      </c>
      <c r="AW362" s="45"/>
      <c r="AX362" s="174" t="b">
        <f>IF('Refined Compare'!$D$2="All",TRUE,IF(F362='Refined Compare'!$D$2,TRUE,IF(G362='Refined Compare'!$D$2,TRUE,FALSE)))</f>
        <v>0</v>
      </c>
      <c r="AY362" s="174" t="b">
        <f>IF('Refined Compare'!$D$3="All",TRUE,IF(F362='Refined Compare'!$D$3,TRUE,IF(G362='Refined Compare'!$D$3,TRUE,FALSE)))</f>
        <v>1</v>
      </c>
      <c r="AZ362" s="174" t="b">
        <f t="shared" si="113"/>
        <v>1</v>
      </c>
    </row>
    <row r="363" spans="1:52" x14ac:dyDescent="0.35">
      <c r="A363">
        <f t="shared" si="114"/>
        <v>362</v>
      </c>
      <c r="B363" s="18">
        <v>314</v>
      </c>
      <c r="C363" s="61">
        <v>3</v>
      </c>
      <c r="D363" s="118" t="b">
        <v>1</v>
      </c>
      <c r="E363" s="61"/>
      <c r="F363" s="66" t="s">
        <v>811</v>
      </c>
      <c r="G363" s="66" t="s">
        <v>827</v>
      </c>
      <c r="H363" s="2" t="s">
        <v>558</v>
      </c>
      <c r="I363" s="39">
        <f t="shared" si="115"/>
        <v>65</v>
      </c>
      <c r="J363" s="40">
        <f t="shared" si="116"/>
        <v>47</v>
      </c>
      <c r="K363" s="41">
        <f t="shared" si="117"/>
        <v>55</v>
      </c>
      <c r="L363" s="42">
        <f t="shared" si="118"/>
        <v>73</v>
      </c>
      <c r="M363" s="43">
        <f t="shared" si="119"/>
        <v>75</v>
      </c>
      <c r="N363" s="44">
        <f t="shared" si="120"/>
        <v>85</v>
      </c>
      <c r="O363" s="45">
        <f t="shared" si="121"/>
        <v>400</v>
      </c>
      <c r="P363" s="19">
        <f t="shared" si="122"/>
        <v>66.67</v>
      </c>
      <c r="Q363" s="177">
        <v>65</v>
      </c>
      <c r="R363" s="40">
        <v>47</v>
      </c>
      <c r="S363" s="41">
        <v>75</v>
      </c>
      <c r="T363" s="42">
        <v>73</v>
      </c>
      <c r="U363" s="43">
        <v>85</v>
      </c>
      <c r="V363" s="44">
        <v>85</v>
      </c>
      <c r="W363" s="45">
        <f t="shared" si="123"/>
        <v>430</v>
      </c>
      <c r="X363" s="19">
        <f t="shared" si="124"/>
        <v>71.67</v>
      </c>
      <c r="Y363" s="3">
        <v>65</v>
      </c>
      <c r="Z363" s="4">
        <v>47</v>
      </c>
      <c r="AA363" s="5">
        <v>55</v>
      </c>
      <c r="AB363" s="6">
        <v>73</v>
      </c>
      <c r="AC363" s="7">
        <v>75</v>
      </c>
      <c r="AD363" s="8">
        <v>85</v>
      </c>
      <c r="AE363" s="1">
        <v>400</v>
      </c>
      <c r="AF363" s="19">
        <v>66.67</v>
      </c>
      <c r="AG363" s="139">
        <v>65</v>
      </c>
      <c r="AH363" s="140">
        <v>47</v>
      </c>
      <c r="AI363" s="141">
        <v>55</v>
      </c>
      <c r="AJ363" s="142">
        <v>73</v>
      </c>
      <c r="AK363" s="143">
        <v>75</v>
      </c>
      <c r="AL363" s="144">
        <v>85</v>
      </c>
      <c r="AM363" s="138">
        <v>400</v>
      </c>
      <c r="AN363" s="153">
        <v>66.67</v>
      </c>
      <c r="AW363" s="45"/>
      <c r="AX363" s="174" t="b">
        <f>IF('Refined Compare'!$D$2="All",TRUE,IF(F363='Refined Compare'!$D$2,TRUE,IF(G363='Refined Compare'!$D$2,TRUE,FALSE)))</f>
        <v>0</v>
      </c>
      <c r="AY363" s="174" t="b">
        <f>IF('Refined Compare'!$D$3="All",TRUE,IF(F363='Refined Compare'!$D$3,TRUE,IF(G363='Refined Compare'!$D$3,TRUE,FALSE)))</f>
        <v>1</v>
      </c>
      <c r="AZ363" s="174" t="b">
        <f t="shared" si="113"/>
        <v>1</v>
      </c>
    </row>
    <row r="364" spans="1:52" x14ac:dyDescent="0.35">
      <c r="A364">
        <f t="shared" si="114"/>
        <v>363</v>
      </c>
      <c r="B364" s="18">
        <v>315</v>
      </c>
      <c r="C364" s="61">
        <v>3</v>
      </c>
      <c r="D364" s="118" t="b">
        <f>IF($AW$2&lt;4,TRUE,FALSE)</f>
        <v>0</v>
      </c>
      <c r="E364" s="61"/>
      <c r="F364" s="66" t="s">
        <v>806</v>
      </c>
      <c r="G364" s="66" t="s">
        <v>807</v>
      </c>
      <c r="H364" s="2" t="s">
        <v>383</v>
      </c>
      <c r="I364" s="39">
        <f t="shared" si="115"/>
        <v>50</v>
      </c>
      <c r="J364" s="40">
        <f t="shared" si="116"/>
        <v>60</v>
      </c>
      <c r="K364" s="41">
        <f t="shared" si="117"/>
        <v>45</v>
      </c>
      <c r="L364" s="42">
        <f t="shared" si="118"/>
        <v>100</v>
      </c>
      <c r="M364" s="43">
        <f t="shared" si="119"/>
        <v>80</v>
      </c>
      <c r="N364" s="44">
        <f t="shared" si="120"/>
        <v>65</v>
      </c>
      <c r="O364" s="45">
        <f t="shared" si="121"/>
        <v>400</v>
      </c>
      <c r="P364" s="19">
        <f t="shared" si="122"/>
        <v>66.67</v>
      </c>
      <c r="Q364" s="177">
        <v>50</v>
      </c>
      <c r="R364" s="40">
        <v>60</v>
      </c>
      <c r="S364" s="41">
        <v>45</v>
      </c>
      <c r="T364" s="42">
        <v>100</v>
      </c>
      <c r="U364" s="43">
        <v>80</v>
      </c>
      <c r="V364" s="44">
        <v>65</v>
      </c>
      <c r="W364" s="45">
        <f t="shared" si="123"/>
        <v>400</v>
      </c>
      <c r="X364" s="19">
        <f t="shared" si="124"/>
        <v>66.67</v>
      </c>
      <c r="Y364" s="3">
        <v>50</v>
      </c>
      <c r="Z364" s="4">
        <v>60</v>
      </c>
      <c r="AA364" s="5">
        <v>45</v>
      </c>
      <c r="AB364" s="6">
        <v>100</v>
      </c>
      <c r="AC364" s="7">
        <v>80</v>
      </c>
      <c r="AD364" s="8">
        <v>65</v>
      </c>
      <c r="AE364" s="1">
        <v>400</v>
      </c>
      <c r="AF364" s="19">
        <v>66.67</v>
      </c>
      <c r="AG364" s="139">
        <v>50</v>
      </c>
      <c r="AH364" s="140">
        <v>60</v>
      </c>
      <c r="AI364" s="141">
        <v>45</v>
      </c>
      <c r="AJ364" s="142">
        <v>100</v>
      </c>
      <c r="AK364" s="143">
        <v>80</v>
      </c>
      <c r="AL364" s="144">
        <v>65</v>
      </c>
      <c r="AM364" s="138">
        <v>400</v>
      </c>
      <c r="AN364" s="153">
        <v>66.67</v>
      </c>
      <c r="AW364" s="45"/>
      <c r="AX364" s="174" t="b">
        <f>IF('Refined Compare'!$D$2="All",TRUE,IF(F364='Refined Compare'!$D$2,TRUE,IF(G364='Refined Compare'!$D$2,TRUE,FALSE)))</f>
        <v>0</v>
      </c>
      <c r="AY364" s="174" t="b">
        <f>IF('Refined Compare'!$D$3="All",TRUE,IF(F364='Refined Compare'!$D$3,TRUE,IF(G364='Refined Compare'!$D$3,TRUE,FALSE)))</f>
        <v>0</v>
      </c>
      <c r="AZ364" s="174" t="b">
        <f t="shared" si="113"/>
        <v>1</v>
      </c>
    </row>
    <row r="365" spans="1:52" x14ac:dyDescent="0.35">
      <c r="A365">
        <f t="shared" si="114"/>
        <v>364</v>
      </c>
      <c r="B365" s="18">
        <v>316</v>
      </c>
      <c r="C365" s="61">
        <v>3</v>
      </c>
      <c r="D365" s="61" t="b">
        <v>0</v>
      </c>
      <c r="E365" s="61"/>
      <c r="F365" s="66" t="s">
        <v>807</v>
      </c>
      <c r="G365" s="66" t="s">
        <v>827</v>
      </c>
      <c r="H365" s="2" t="s">
        <v>141</v>
      </c>
      <c r="I365" s="39">
        <f t="shared" si="115"/>
        <v>70</v>
      </c>
      <c r="J365" s="40">
        <f t="shared" si="116"/>
        <v>43</v>
      </c>
      <c r="K365" s="41">
        <f t="shared" si="117"/>
        <v>53</v>
      </c>
      <c r="L365" s="42">
        <f t="shared" si="118"/>
        <v>43</v>
      </c>
      <c r="M365" s="43">
        <f t="shared" si="119"/>
        <v>53</v>
      </c>
      <c r="N365" s="44">
        <f t="shared" si="120"/>
        <v>40</v>
      </c>
      <c r="O365" s="45">
        <f t="shared" si="121"/>
        <v>302</v>
      </c>
      <c r="P365" s="19">
        <f t="shared" si="122"/>
        <v>50.33</v>
      </c>
      <c r="Q365" s="177">
        <v>70</v>
      </c>
      <c r="R365" s="40">
        <v>43</v>
      </c>
      <c r="S365" s="41">
        <v>53</v>
      </c>
      <c r="T365" s="42">
        <v>43</v>
      </c>
      <c r="U365" s="43">
        <v>53</v>
      </c>
      <c r="V365" s="44">
        <v>40</v>
      </c>
      <c r="W365" s="45">
        <f t="shared" si="123"/>
        <v>302</v>
      </c>
      <c r="X365" s="19">
        <f t="shared" si="124"/>
        <v>50.33</v>
      </c>
      <c r="Y365" s="3">
        <v>70</v>
      </c>
      <c r="Z365" s="4">
        <v>43</v>
      </c>
      <c r="AA365" s="5">
        <v>53</v>
      </c>
      <c r="AB365" s="6">
        <v>43</v>
      </c>
      <c r="AC365" s="7">
        <v>53</v>
      </c>
      <c r="AD365" s="8">
        <v>40</v>
      </c>
      <c r="AE365" s="1">
        <v>302</v>
      </c>
      <c r="AF365" s="19">
        <v>50.33</v>
      </c>
      <c r="AG365" s="139">
        <v>70</v>
      </c>
      <c r="AH365" s="140">
        <v>43</v>
      </c>
      <c r="AI365" s="141">
        <v>53</v>
      </c>
      <c r="AJ365" s="142">
        <v>43</v>
      </c>
      <c r="AK365" s="143">
        <v>53</v>
      </c>
      <c r="AL365" s="144">
        <v>40</v>
      </c>
      <c r="AM365" s="138">
        <v>302</v>
      </c>
      <c r="AN365" s="153">
        <v>50.33</v>
      </c>
      <c r="AW365" s="45"/>
      <c r="AX365" s="174" t="b">
        <f>IF('Refined Compare'!$D$2="All",TRUE,IF(F365='Refined Compare'!$D$2,TRUE,IF(G365='Refined Compare'!$D$2,TRUE,FALSE)))</f>
        <v>0</v>
      </c>
      <c r="AY365" s="174" t="b">
        <f>IF('Refined Compare'!$D$3="All",TRUE,IF(F365='Refined Compare'!$D$3,TRUE,IF(G365='Refined Compare'!$D$3,TRUE,FALSE)))</f>
        <v>1</v>
      </c>
      <c r="AZ365" s="174" t="b">
        <f t="shared" si="113"/>
        <v>1</v>
      </c>
    </row>
    <row r="366" spans="1:52" x14ac:dyDescent="0.35">
      <c r="A366">
        <f t="shared" si="114"/>
        <v>365</v>
      </c>
      <c r="B366" s="18">
        <v>317</v>
      </c>
      <c r="C366" s="61">
        <v>3</v>
      </c>
      <c r="D366" s="118" t="b">
        <v>1</v>
      </c>
      <c r="E366" s="61"/>
      <c r="F366" s="66" t="s">
        <v>807</v>
      </c>
      <c r="G366" s="66" t="s">
        <v>827</v>
      </c>
      <c r="H366" s="2" t="s">
        <v>278</v>
      </c>
      <c r="I366" s="39">
        <f t="shared" si="115"/>
        <v>100</v>
      </c>
      <c r="J366" s="40">
        <f t="shared" si="116"/>
        <v>73</v>
      </c>
      <c r="K366" s="41">
        <f t="shared" si="117"/>
        <v>83</v>
      </c>
      <c r="L366" s="42">
        <f t="shared" si="118"/>
        <v>73</v>
      </c>
      <c r="M366" s="43">
        <f t="shared" si="119"/>
        <v>83</v>
      </c>
      <c r="N366" s="44">
        <f t="shared" si="120"/>
        <v>55</v>
      </c>
      <c r="O366" s="45">
        <f t="shared" si="121"/>
        <v>467</v>
      </c>
      <c r="P366" s="19">
        <f t="shared" si="122"/>
        <v>77.83</v>
      </c>
      <c r="Q366" s="177">
        <v>100</v>
      </c>
      <c r="R366" s="40">
        <v>73</v>
      </c>
      <c r="S366" s="41">
        <v>83</v>
      </c>
      <c r="T366" s="42">
        <v>73</v>
      </c>
      <c r="U366" s="43">
        <v>83</v>
      </c>
      <c r="V366" s="44">
        <v>55</v>
      </c>
      <c r="W366" s="45">
        <f t="shared" si="123"/>
        <v>467</v>
      </c>
      <c r="X366" s="19">
        <f t="shared" si="124"/>
        <v>77.83</v>
      </c>
      <c r="Y366" s="3">
        <v>100</v>
      </c>
      <c r="Z366" s="4">
        <v>73</v>
      </c>
      <c r="AA366" s="5">
        <v>83</v>
      </c>
      <c r="AB366" s="6">
        <v>73</v>
      </c>
      <c r="AC366" s="7">
        <v>83</v>
      </c>
      <c r="AD366" s="8">
        <v>55</v>
      </c>
      <c r="AE366" s="1">
        <v>467</v>
      </c>
      <c r="AF366" s="19">
        <v>77.83</v>
      </c>
      <c r="AG366" s="139">
        <v>100</v>
      </c>
      <c r="AH366" s="140">
        <v>73</v>
      </c>
      <c r="AI366" s="141">
        <v>83</v>
      </c>
      <c r="AJ366" s="142">
        <v>73</v>
      </c>
      <c r="AK366" s="143">
        <v>83</v>
      </c>
      <c r="AL366" s="144">
        <v>55</v>
      </c>
      <c r="AM366" s="138">
        <v>467</v>
      </c>
      <c r="AN366" s="153">
        <v>77.83</v>
      </c>
      <c r="AW366" s="45"/>
      <c r="AX366" s="174" t="b">
        <f>IF('Refined Compare'!$D$2="All",TRUE,IF(F366='Refined Compare'!$D$2,TRUE,IF(G366='Refined Compare'!$D$2,TRUE,FALSE)))</f>
        <v>0</v>
      </c>
      <c r="AY366" s="174" t="b">
        <f>IF('Refined Compare'!$D$3="All",TRUE,IF(F366='Refined Compare'!$D$3,TRUE,IF(G366='Refined Compare'!$D$3,TRUE,FALSE)))</f>
        <v>1</v>
      </c>
      <c r="AZ366" s="174" t="b">
        <f t="shared" si="113"/>
        <v>1</v>
      </c>
    </row>
    <row r="367" spans="1:52" x14ac:dyDescent="0.35">
      <c r="A367">
        <f t="shared" si="114"/>
        <v>366</v>
      </c>
      <c r="B367" s="18">
        <v>318</v>
      </c>
      <c r="C367" s="61">
        <v>3</v>
      </c>
      <c r="D367" s="61" t="b">
        <v>0</v>
      </c>
      <c r="E367" s="61"/>
      <c r="F367" s="66" t="s">
        <v>810</v>
      </c>
      <c r="G367" s="66" t="s">
        <v>823</v>
      </c>
      <c r="H367" s="2" t="s">
        <v>384</v>
      </c>
      <c r="I367" s="39">
        <f t="shared" si="115"/>
        <v>45</v>
      </c>
      <c r="J367" s="40">
        <f t="shared" si="116"/>
        <v>90</v>
      </c>
      <c r="K367" s="41">
        <f t="shared" si="117"/>
        <v>20</v>
      </c>
      <c r="L367" s="42">
        <f t="shared" si="118"/>
        <v>65</v>
      </c>
      <c r="M367" s="43">
        <f t="shared" si="119"/>
        <v>20</v>
      </c>
      <c r="N367" s="44">
        <f t="shared" si="120"/>
        <v>65</v>
      </c>
      <c r="O367" s="45">
        <f t="shared" si="121"/>
        <v>305</v>
      </c>
      <c r="P367" s="19">
        <f t="shared" si="122"/>
        <v>50.83</v>
      </c>
      <c r="Q367" s="177">
        <v>45</v>
      </c>
      <c r="R367" s="40">
        <v>90</v>
      </c>
      <c r="S367" s="41">
        <v>20</v>
      </c>
      <c r="T367" s="42">
        <v>65</v>
      </c>
      <c r="U367" s="43">
        <v>20</v>
      </c>
      <c r="V367" s="44">
        <v>65</v>
      </c>
      <c r="W367" s="45">
        <f t="shared" si="123"/>
        <v>305</v>
      </c>
      <c r="X367" s="19">
        <f t="shared" si="124"/>
        <v>50.83</v>
      </c>
      <c r="Y367" s="3">
        <v>45</v>
      </c>
      <c r="Z367" s="4">
        <v>90</v>
      </c>
      <c r="AA367" s="5">
        <v>20</v>
      </c>
      <c r="AB367" s="6">
        <v>65</v>
      </c>
      <c r="AC367" s="7">
        <v>20</v>
      </c>
      <c r="AD367" s="8">
        <v>65</v>
      </c>
      <c r="AE367" s="1">
        <v>305</v>
      </c>
      <c r="AF367" s="19">
        <v>50.83</v>
      </c>
      <c r="AG367" s="139">
        <v>45</v>
      </c>
      <c r="AH367" s="140">
        <v>90</v>
      </c>
      <c r="AI367" s="141">
        <v>20</v>
      </c>
      <c r="AJ367" s="142">
        <v>65</v>
      </c>
      <c r="AK367" s="143">
        <v>20</v>
      </c>
      <c r="AL367" s="144">
        <v>65</v>
      </c>
      <c r="AM367" s="138">
        <v>305</v>
      </c>
      <c r="AN367" s="153">
        <v>50.83</v>
      </c>
      <c r="AW367" s="45"/>
      <c r="AX367" s="174" t="b">
        <f>IF('Refined Compare'!$D$2="All",TRUE,IF(F367='Refined Compare'!$D$2,TRUE,IF(G367='Refined Compare'!$D$2,TRUE,FALSE)))</f>
        <v>1</v>
      </c>
      <c r="AY367" s="174" t="b">
        <f>IF('Refined Compare'!$D$3="All",TRUE,IF(F367='Refined Compare'!$D$3,TRUE,IF(G367='Refined Compare'!$D$3,TRUE,FALSE)))</f>
        <v>0</v>
      </c>
      <c r="AZ367" s="174" t="b">
        <f t="shared" si="113"/>
        <v>1</v>
      </c>
    </row>
    <row r="368" spans="1:52" x14ac:dyDescent="0.35">
      <c r="A368">
        <f t="shared" si="114"/>
        <v>367</v>
      </c>
      <c r="B368" s="18">
        <v>319</v>
      </c>
      <c r="C368" s="61">
        <v>3</v>
      </c>
      <c r="D368" s="61" t="b">
        <f>IF($AW$2&lt;6,TRUE,FALSE)</f>
        <v>1</v>
      </c>
      <c r="E368" s="61"/>
      <c r="F368" s="66" t="s">
        <v>810</v>
      </c>
      <c r="G368" s="66" t="s">
        <v>823</v>
      </c>
      <c r="H368" s="2" t="s">
        <v>627</v>
      </c>
      <c r="I368" s="39">
        <f t="shared" si="115"/>
        <v>70</v>
      </c>
      <c r="J368" s="40">
        <f t="shared" si="116"/>
        <v>120</v>
      </c>
      <c r="K368" s="41">
        <f t="shared" si="117"/>
        <v>40</v>
      </c>
      <c r="L368" s="42">
        <f t="shared" si="118"/>
        <v>95</v>
      </c>
      <c r="M368" s="43">
        <f t="shared" si="119"/>
        <v>40</v>
      </c>
      <c r="N368" s="44">
        <f t="shared" si="120"/>
        <v>95</v>
      </c>
      <c r="O368" s="45">
        <f t="shared" si="121"/>
        <v>460</v>
      </c>
      <c r="P368" s="19">
        <f t="shared" si="122"/>
        <v>76.67</v>
      </c>
      <c r="Q368" s="177">
        <v>70</v>
      </c>
      <c r="R368" s="40">
        <v>120</v>
      </c>
      <c r="S368" s="41">
        <v>40</v>
      </c>
      <c r="T368" s="42">
        <v>95</v>
      </c>
      <c r="U368" s="43">
        <v>40</v>
      </c>
      <c r="V368" s="44">
        <v>95</v>
      </c>
      <c r="W368" s="45">
        <f t="shared" si="123"/>
        <v>460</v>
      </c>
      <c r="X368" s="19">
        <f t="shared" si="124"/>
        <v>76.67</v>
      </c>
      <c r="Y368" s="3">
        <v>70</v>
      </c>
      <c r="Z368" s="4">
        <v>120</v>
      </c>
      <c r="AA368" s="5">
        <v>40</v>
      </c>
      <c r="AB368" s="6">
        <v>95</v>
      </c>
      <c r="AC368" s="7">
        <v>40</v>
      </c>
      <c r="AD368" s="8">
        <v>95</v>
      </c>
      <c r="AE368" s="1">
        <v>460</v>
      </c>
      <c r="AF368" s="19">
        <v>76.67</v>
      </c>
      <c r="AG368" s="139">
        <v>70</v>
      </c>
      <c r="AH368" s="140">
        <v>120</v>
      </c>
      <c r="AI368" s="141">
        <v>40</v>
      </c>
      <c r="AJ368" s="142">
        <v>95</v>
      </c>
      <c r="AK368" s="143">
        <v>40</v>
      </c>
      <c r="AL368" s="144">
        <v>95</v>
      </c>
      <c r="AM368" s="138">
        <v>460</v>
      </c>
      <c r="AN368" s="153">
        <v>76.67</v>
      </c>
      <c r="AW368" s="45"/>
      <c r="AX368" s="174" t="b">
        <f>IF('Refined Compare'!$D$2="All",TRUE,IF(F368='Refined Compare'!$D$2,TRUE,IF(G368='Refined Compare'!$D$2,TRUE,FALSE)))</f>
        <v>1</v>
      </c>
      <c r="AY368" s="174" t="b">
        <f>IF('Refined Compare'!$D$3="All",TRUE,IF(F368='Refined Compare'!$D$3,TRUE,IF(G368='Refined Compare'!$D$3,TRUE,FALSE)))</f>
        <v>0</v>
      </c>
      <c r="AZ368" s="174" t="b">
        <f t="shared" si="113"/>
        <v>1</v>
      </c>
    </row>
    <row r="369" spans="1:52" x14ac:dyDescent="0.35">
      <c r="A369">
        <f t="shared" si="114"/>
        <v>368</v>
      </c>
      <c r="B369" s="62">
        <v>319</v>
      </c>
      <c r="C369" s="61">
        <v>6</v>
      </c>
      <c r="D369" s="118" t="b">
        <f>IF(AZ369,TRUE,FALSE)</f>
        <v>0</v>
      </c>
      <c r="E369" s="61" t="s">
        <v>801</v>
      </c>
      <c r="F369" s="66" t="s">
        <v>810</v>
      </c>
      <c r="G369" s="66" t="s">
        <v>823</v>
      </c>
      <c r="H369" s="2" t="s">
        <v>699</v>
      </c>
      <c r="I369" s="39">
        <f t="shared" si="115"/>
        <v>0</v>
      </c>
      <c r="J369" s="40">
        <f t="shared" si="116"/>
        <v>0</v>
      </c>
      <c r="K369" s="41">
        <f t="shared" si="117"/>
        <v>0</v>
      </c>
      <c r="L369" s="42">
        <f t="shared" si="118"/>
        <v>0</v>
      </c>
      <c r="M369" s="43">
        <f t="shared" si="119"/>
        <v>0</v>
      </c>
      <c r="N369" s="44">
        <f t="shared" si="120"/>
        <v>0</v>
      </c>
      <c r="O369" s="45">
        <f t="shared" si="121"/>
        <v>0</v>
      </c>
      <c r="P369" s="19">
        <f t="shared" si="122"/>
        <v>0</v>
      </c>
      <c r="Q369" s="177">
        <v>70</v>
      </c>
      <c r="R369" s="40">
        <v>140</v>
      </c>
      <c r="S369" s="41">
        <v>70</v>
      </c>
      <c r="T369" s="42">
        <v>110</v>
      </c>
      <c r="U369" s="43">
        <v>65</v>
      </c>
      <c r="V369" s="44">
        <v>105</v>
      </c>
      <c r="W369" s="45">
        <f t="shared" si="123"/>
        <v>560</v>
      </c>
      <c r="X369" s="19">
        <f t="shared" si="124"/>
        <v>93.33</v>
      </c>
      <c r="Y369" s="3">
        <v>70</v>
      </c>
      <c r="Z369" s="4">
        <v>140</v>
      </c>
      <c r="AA369" s="5">
        <v>70</v>
      </c>
      <c r="AB369" s="6">
        <v>110</v>
      </c>
      <c r="AC369" s="7">
        <v>65</v>
      </c>
      <c r="AD369" s="8">
        <v>105</v>
      </c>
      <c r="AE369" s="1">
        <v>560</v>
      </c>
      <c r="AF369" s="19">
        <v>93.33</v>
      </c>
      <c r="AN369" s="172"/>
      <c r="AV369" s="174"/>
      <c r="AW369" s="45"/>
      <c r="AX369" s="174" t="b">
        <f>IF('Refined Compare'!$D$2="All",TRUE,IF(F369='Refined Compare'!$D$2,TRUE,IF(G369='Refined Compare'!$D$2,TRUE,FALSE)))</f>
        <v>1</v>
      </c>
      <c r="AY369" s="174" t="b">
        <f>IF('Refined Compare'!$D$3="All",TRUE,IF(F369='Refined Compare'!$D$3,TRUE,IF(G369='Refined Compare'!$D$3,TRUE,FALSE)))</f>
        <v>0</v>
      </c>
      <c r="AZ369" s="174" t="b">
        <f t="shared" si="113"/>
        <v>0</v>
      </c>
    </row>
    <row r="370" spans="1:52" x14ac:dyDescent="0.35">
      <c r="A370">
        <f t="shared" si="114"/>
        <v>369</v>
      </c>
      <c r="B370" s="18">
        <v>320</v>
      </c>
      <c r="C370" s="61">
        <v>3</v>
      </c>
      <c r="D370" s="61" t="b">
        <v>0</v>
      </c>
      <c r="E370" s="61"/>
      <c r="F370" s="66" t="s">
        <v>810</v>
      </c>
      <c r="G370" s="66" t="s">
        <v>827</v>
      </c>
      <c r="H370" s="2" t="s">
        <v>328</v>
      </c>
      <c r="I370" s="39">
        <f t="shared" si="115"/>
        <v>130</v>
      </c>
      <c r="J370" s="40">
        <f t="shared" si="116"/>
        <v>70</v>
      </c>
      <c r="K370" s="41">
        <f t="shared" si="117"/>
        <v>35</v>
      </c>
      <c r="L370" s="42">
        <f t="shared" si="118"/>
        <v>70</v>
      </c>
      <c r="M370" s="43">
        <f t="shared" si="119"/>
        <v>35</v>
      </c>
      <c r="N370" s="44">
        <f t="shared" si="120"/>
        <v>60</v>
      </c>
      <c r="O370" s="45">
        <f t="shared" si="121"/>
        <v>400</v>
      </c>
      <c r="P370" s="19">
        <f t="shared" si="122"/>
        <v>66.67</v>
      </c>
      <c r="Q370" s="177">
        <v>130</v>
      </c>
      <c r="R370" s="40">
        <v>70</v>
      </c>
      <c r="S370" s="41">
        <v>35</v>
      </c>
      <c r="T370" s="42">
        <v>70</v>
      </c>
      <c r="U370" s="43">
        <v>35</v>
      </c>
      <c r="V370" s="44">
        <v>60</v>
      </c>
      <c r="W370" s="45">
        <f t="shared" si="123"/>
        <v>400</v>
      </c>
      <c r="X370" s="19">
        <f t="shared" si="124"/>
        <v>66.67</v>
      </c>
      <c r="Y370" s="3">
        <v>130</v>
      </c>
      <c r="Z370" s="4">
        <v>70</v>
      </c>
      <c r="AA370" s="5">
        <v>35</v>
      </c>
      <c r="AB370" s="6">
        <v>70</v>
      </c>
      <c r="AC370" s="7">
        <v>35</v>
      </c>
      <c r="AD370" s="8">
        <v>60</v>
      </c>
      <c r="AE370" s="1">
        <v>400</v>
      </c>
      <c r="AF370" s="19">
        <v>66.67</v>
      </c>
      <c r="AG370" s="139">
        <v>130</v>
      </c>
      <c r="AH370" s="140">
        <v>70</v>
      </c>
      <c r="AI370" s="141">
        <v>35</v>
      </c>
      <c r="AJ370" s="142">
        <v>70</v>
      </c>
      <c r="AK370" s="143">
        <v>35</v>
      </c>
      <c r="AL370" s="144">
        <v>60</v>
      </c>
      <c r="AM370" s="138">
        <v>400</v>
      </c>
      <c r="AN370" s="153">
        <v>66.67</v>
      </c>
      <c r="AW370" s="45"/>
      <c r="AX370" s="174" t="b">
        <f>IF('Refined Compare'!$D$2="All",TRUE,IF(F370='Refined Compare'!$D$2,TRUE,IF(G370='Refined Compare'!$D$2,TRUE,FALSE)))</f>
        <v>0</v>
      </c>
      <c r="AY370" s="174" t="b">
        <f>IF('Refined Compare'!$D$3="All",TRUE,IF(F370='Refined Compare'!$D$3,TRUE,IF(G370='Refined Compare'!$D$3,TRUE,FALSE)))</f>
        <v>1</v>
      </c>
      <c r="AZ370" s="174" t="b">
        <f t="shared" si="113"/>
        <v>1</v>
      </c>
    </row>
    <row r="371" spans="1:52" x14ac:dyDescent="0.35">
      <c r="A371">
        <f t="shared" si="114"/>
        <v>370</v>
      </c>
      <c r="B371" s="18">
        <v>321</v>
      </c>
      <c r="C371" s="61">
        <v>3</v>
      </c>
      <c r="D371" s="118" t="b">
        <v>1</v>
      </c>
      <c r="E371" s="61"/>
      <c r="F371" s="66" t="s">
        <v>810</v>
      </c>
      <c r="G371" s="66" t="s">
        <v>827</v>
      </c>
      <c r="H371" s="2" t="s">
        <v>329</v>
      </c>
      <c r="I371" s="39">
        <f t="shared" si="115"/>
        <v>170</v>
      </c>
      <c r="J371" s="40">
        <f t="shared" si="116"/>
        <v>90</v>
      </c>
      <c r="K371" s="41">
        <f t="shared" si="117"/>
        <v>45</v>
      </c>
      <c r="L371" s="42">
        <f t="shared" si="118"/>
        <v>90</v>
      </c>
      <c r="M371" s="43">
        <f t="shared" si="119"/>
        <v>45</v>
      </c>
      <c r="N371" s="44">
        <f t="shared" si="120"/>
        <v>60</v>
      </c>
      <c r="O371" s="45">
        <f t="shared" si="121"/>
        <v>500</v>
      </c>
      <c r="P371" s="19">
        <f t="shared" si="122"/>
        <v>83.33</v>
      </c>
      <c r="Q371" s="177">
        <v>170</v>
      </c>
      <c r="R371" s="40">
        <v>90</v>
      </c>
      <c r="S371" s="41">
        <v>45</v>
      </c>
      <c r="T371" s="42">
        <v>90</v>
      </c>
      <c r="U371" s="43">
        <v>45</v>
      </c>
      <c r="V371" s="44">
        <v>60</v>
      </c>
      <c r="W371" s="45">
        <f t="shared" si="123"/>
        <v>500</v>
      </c>
      <c r="X371" s="19">
        <f t="shared" si="124"/>
        <v>83.33</v>
      </c>
      <c r="Y371" s="3">
        <v>170</v>
      </c>
      <c r="Z371" s="4">
        <v>90</v>
      </c>
      <c r="AA371" s="5">
        <v>45</v>
      </c>
      <c r="AB371" s="6">
        <v>90</v>
      </c>
      <c r="AC371" s="7">
        <v>45</v>
      </c>
      <c r="AD371" s="8">
        <v>60</v>
      </c>
      <c r="AE371" s="1">
        <v>500</v>
      </c>
      <c r="AF371" s="19">
        <v>83.33</v>
      </c>
      <c r="AG371" s="139">
        <v>170</v>
      </c>
      <c r="AH371" s="140">
        <v>90</v>
      </c>
      <c r="AI371" s="141">
        <v>45</v>
      </c>
      <c r="AJ371" s="142">
        <v>90</v>
      </c>
      <c r="AK371" s="143">
        <v>45</v>
      </c>
      <c r="AL371" s="144">
        <v>60</v>
      </c>
      <c r="AM371" s="138">
        <v>500</v>
      </c>
      <c r="AN371" s="153">
        <v>83.33</v>
      </c>
      <c r="AW371" s="45"/>
      <c r="AX371" s="174" t="b">
        <f>IF('Refined Compare'!$D$2="All",TRUE,IF(F371='Refined Compare'!$D$2,TRUE,IF(G371='Refined Compare'!$D$2,TRUE,FALSE)))</f>
        <v>0</v>
      </c>
      <c r="AY371" s="174" t="b">
        <f>IF('Refined Compare'!$D$3="All",TRUE,IF(F371='Refined Compare'!$D$3,TRUE,IF(G371='Refined Compare'!$D$3,TRUE,FALSE)))</f>
        <v>1</v>
      </c>
      <c r="AZ371" s="174" t="b">
        <f t="shared" si="113"/>
        <v>1</v>
      </c>
    </row>
    <row r="372" spans="1:52" x14ac:dyDescent="0.35">
      <c r="A372">
        <f t="shared" si="114"/>
        <v>371</v>
      </c>
      <c r="B372" s="18">
        <v>322</v>
      </c>
      <c r="C372" s="61">
        <v>3</v>
      </c>
      <c r="D372" s="61" t="b">
        <v>0</v>
      </c>
      <c r="E372" s="61"/>
      <c r="F372" s="66" t="s">
        <v>808</v>
      </c>
      <c r="G372" s="66" t="s">
        <v>814</v>
      </c>
      <c r="H372" s="2" t="s">
        <v>108</v>
      </c>
      <c r="I372" s="39">
        <f t="shared" si="115"/>
        <v>60</v>
      </c>
      <c r="J372" s="40">
        <f t="shared" si="116"/>
        <v>60</v>
      </c>
      <c r="K372" s="41">
        <f t="shared" si="117"/>
        <v>40</v>
      </c>
      <c r="L372" s="42">
        <f t="shared" si="118"/>
        <v>65</v>
      </c>
      <c r="M372" s="43">
        <f t="shared" si="119"/>
        <v>45</v>
      </c>
      <c r="N372" s="44">
        <f t="shared" si="120"/>
        <v>35</v>
      </c>
      <c r="O372" s="45">
        <f t="shared" si="121"/>
        <v>305</v>
      </c>
      <c r="P372" s="19">
        <f t="shared" si="122"/>
        <v>50.83</v>
      </c>
      <c r="Q372" s="177">
        <v>60</v>
      </c>
      <c r="R372" s="40">
        <v>60</v>
      </c>
      <c r="S372" s="41">
        <v>40</v>
      </c>
      <c r="T372" s="42">
        <v>65</v>
      </c>
      <c r="U372" s="43">
        <v>45</v>
      </c>
      <c r="V372" s="44">
        <v>35</v>
      </c>
      <c r="W372" s="45">
        <f t="shared" si="123"/>
        <v>305</v>
      </c>
      <c r="X372" s="19">
        <f t="shared" si="124"/>
        <v>50.83</v>
      </c>
      <c r="Y372" s="3">
        <v>60</v>
      </c>
      <c r="Z372" s="4">
        <v>60</v>
      </c>
      <c r="AA372" s="5">
        <v>40</v>
      </c>
      <c r="AB372" s="6">
        <v>65</v>
      </c>
      <c r="AC372" s="7">
        <v>45</v>
      </c>
      <c r="AD372" s="8">
        <v>35</v>
      </c>
      <c r="AE372" s="1">
        <v>305</v>
      </c>
      <c r="AF372" s="19">
        <v>50.83</v>
      </c>
      <c r="AG372" s="139">
        <v>60</v>
      </c>
      <c r="AH372" s="140">
        <v>60</v>
      </c>
      <c r="AI372" s="141">
        <v>40</v>
      </c>
      <c r="AJ372" s="142">
        <v>65</v>
      </c>
      <c r="AK372" s="143">
        <v>45</v>
      </c>
      <c r="AL372" s="144">
        <v>35</v>
      </c>
      <c r="AM372" s="138">
        <v>305</v>
      </c>
      <c r="AN372" s="153">
        <v>50.83</v>
      </c>
      <c r="AW372" s="45"/>
      <c r="AX372" s="174" t="b">
        <f>IF('Refined Compare'!$D$2="All",TRUE,IF(F372='Refined Compare'!$D$2,TRUE,IF(G372='Refined Compare'!$D$2,TRUE,FALSE)))</f>
        <v>0</v>
      </c>
      <c r="AY372" s="174" t="b">
        <f>IF('Refined Compare'!$D$3="All",TRUE,IF(F372='Refined Compare'!$D$3,TRUE,IF(G372='Refined Compare'!$D$3,TRUE,FALSE)))</f>
        <v>0</v>
      </c>
      <c r="AZ372" s="174" t="b">
        <f t="shared" si="113"/>
        <v>1</v>
      </c>
    </row>
    <row r="373" spans="1:52" x14ac:dyDescent="0.35">
      <c r="A373">
        <f t="shared" si="114"/>
        <v>372</v>
      </c>
      <c r="B373" s="18">
        <v>323</v>
      </c>
      <c r="C373" s="61">
        <v>3</v>
      </c>
      <c r="D373" s="61" t="b">
        <f>IF($AW$2&lt;6,TRUE,FALSE)</f>
        <v>1</v>
      </c>
      <c r="E373" s="61"/>
      <c r="F373" s="66" t="s">
        <v>808</v>
      </c>
      <c r="G373" s="66" t="s">
        <v>814</v>
      </c>
      <c r="H373" s="2" t="s">
        <v>142</v>
      </c>
      <c r="I373" s="39">
        <f t="shared" si="115"/>
        <v>70</v>
      </c>
      <c r="J373" s="40">
        <f t="shared" si="116"/>
        <v>100</v>
      </c>
      <c r="K373" s="41">
        <f t="shared" si="117"/>
        <v>70</v>
      </c>
      <c r="L373" s="42">
        <f t="shared" si="118"/>
        <v>105</v>
      </c>
      <c r="M373" s="43">
        <f t="shared" si="119"/>
        <v>75</v>
      </c>
      <c r="N373" s="44">
        <f t="shared" si="120"/>
        <v>40</v>
      </c>
      <c r="O373" s="45">
        <f t="shared" si="121"/>
        <v>460</v>
      </c>
      <c r="P373" s="19">
        <f t="shared" si="122"/>
        <v>76.67</v>
      </c>
      <c r="Q373" s="177">
        <v>70</v>
      </c>
      <c r="R373" s="40">
        <v>100</v>
      </c>
      <c r="S373" s="41">
        <v>70</v>
      </c>
      <c r="T373" s="42">
        <v>105</v>
      </c>
      <c r="U373" s="43">
        <v>75</v>
      </c>
      <c r="V373" s="44">
        <v>40</v>
      </c>
      <c r="W373" s="45">
        <f t="shared" si="123"/>
        <v>460</v>
      </c>
      <c r="X373" s="19">
        <f t="shared" si="124"/>
        <v>76.67</v>
      </c>
      <c r="Y373" s="3">
        <v>70</v>
      </c>
      <c r="Z373" s="4">
        <v>100</v>
      </c>
      <c r="AA373" s="5">
        <v>70</v>
      </c>
      <c r="AB373" s="6">
        <v>105</v>
      </c>
      <c r="AC373" s="7">
        <v>75</v>
      </c>
      <c r="AD373" s="8">
        <v>40</v>
      </c>
      <c r="AE373" s="1">
        <v>460</v>
      </c>
      <c r="AF373" s="19">
        <v>76.67</v>
      </c>
      <c r="AG373" s="139">
        <v>70</v>
      </c>
      <c r="AH373" s="140">
        <v>100</v>
      </c>
      <c r="AI373" s="141">
        <v>70</v>
      </c>
      <c r="AJ373" s="142">
        <v>105</v>
      </c>
      <c r="AK373" s="143">
        <v>75</v>
      </c>
      <c r="AL373" s="144">
        <v>40</v>
      </c>
      <c r="AM373" s="138">
        <v>460</v>
      </c>
      <c r="AN373" s="153">
        <v>76.67</v>
      </c>
      <c r="AW373" s="45"/>
      <c r="AX373" s="174" t="b">
        <f>IF('Refined Compare'!$D$2="All",TRUE,IF(F373='Refined Compare'!$D$2,TRUE,IF(G373='Refined Compare'!$D$2,TRUE,FALSE)))</f>
        <v>0</v>
      </c>
      <c r="AY373" s="174" t="b">
        <f>IF('Refined Compare'!$D$3="All",TRUE,IF(F373='Refined Compare'!$D$3,TRUE,IF(G373='Refined Compare'!$D$3,TRUE,FALSE)))</f>
        <v>0</v>
      </c>
      <c r="AZ373" s="174" t="b">
        <f t="shared" si="113"/>
        <v>1</v>
      </c>
    </row>
    <row r="374" spans="1:52" x14ac:dyDescent="0.35">
      <c r="A374">
        <f t="shared" si="114"/>
        <v>373</v>
      </c>
      <c r="B374" s="62">
        <v>323</v>
      </c>
      <c r="C374" s="61">
        <v>6</v>
      </c>
      <c r="D374" s="118" t="b">
        <f>IF(AZ374,TRUE,FALSE)</f>
        <v>0</v>
      </c>
      <c r="E374" s="61" t="s">
        <v>801</v>
      </c>
      <c r="F374" s="66" t="s">
        <v>808</v>
      </c>
      <c r="G374" s="66" t="s">
        <v>814</v>
      </c>
      <c r="H374" s="2" t="s">
        <v>22</v>
      </c>
      <c r="I374" s="39">
        <f t="shared" si="115"/>
        <v>0</v>
      </c>
      <c r="J374" s="40">
        <f t="shared" si="116"/>
        <v>0</v>
      </c>
      <c r="K374" s="41">
        <f t="shared" si="117"/>
        <v>0</v>
      </c>
      <c r="L374" s="42">
        <f t="shared" si="118"/>
        <v>0</v>
      </c>
      <c r="M374" s="43">
        <f t="shared" si="119"/>
        <v>0</v>
      </c>
      <c r="N374" s="44">
        <f t="shared" si="120"/>
        <v>0</v>
      </c>
      <c r="O374" s="45">
        <f t="shared" si="121"/>
        <v>0</v>
      </c>
      <c r="P374" s="19">
        <f t="shared" si="122"/>
        <v>0</v>
      </c>
      <c r="Q374" s="177">
        <v>70</v>
      </c>
      <c r="R374" s="40">
        <v>120</v>
      </c>
      <c r="S374" s="41">
        <v>100</v>
      </c>
      <c r="T374" s="42">
        <v>145</v>
      </c>
      <c r="U374" s="43">
        <v>105</v>
      </c>
      <c r="V374" s="44">
        <v>20</v>
      </c>
      <c r="W374" s="45">
        <f t="shared" si="123"/>
        <v>560</v>
      </c>
      <c r="X374" s="19">
        <f t="shared" si="124"/>
        <v>93.33</v>
      </c>
      <c r="Y374" s="3">
        <v>70</v>
      </c>
      <c r="Z374" s="4">
        <v>120</v>
      </c>
      <c r="AA374" s="5">
        <v>100</v>
      </c>
      <c r="AB374" s="6">
        <v>145</v>
      </c>
      <c r="AC374" s="7">
        <v>105</v>
      </c>
      <c r="AD374" s="8">
        <v>20</v>
      </c>
      <c r="AE374" s="1">
        <v>560</v>
      </c>
      <c r="AF374" s="19">
        <v>93.33</v>
      </c>
      <c r="AN374" s="172"/>
      <c r="AV374" s="174"/>
      <c r="AW374" s="45"/>
      <c r="AX374" s="174" t="b">
        <f>IF('Refined Compare'!$D$2="All",TRUE,IF(F374='Refined Compare'!$D$2,TRUE,IF(G374='Refined Compare'!$D$2,TRUE,FALSE)))</f>
        <v>0</v>
      </c>
      <c r="AY374" s="174" t="b">
        <f>IF('Refined Compare'!$D$3="All",TRUE,IF(F374='Refined Compare'!$D$3,TRUE,IF(G374='Refined Compare'!$D$3,TRUE,FALSE)))</f>
        <v>0</v>
      </c>
      <c r="AZ374" s="174" t="b">
        <f t="shared" si="113"/>
        <v>0</v>
      </c>
    </row>
    <row r="375" spans="1:52" x14ac:dyDescent="0.35">
      <c r="A375">
        <f t="shared" si="114"/>
        <v>374</v>
      </c>
      <c r="B375" s="18">
        <v>324</v>
      </c>
      <c r="C375" s="61">
        <v>3</v>
      </c>
      <c r="D375" s="118" t="b">
        <v>1</v>
      </c>
      <c r="E375" s="61"/>
      <c r="F375" s="66" t="s">
        <v>808</v>
      </c>
      <c r="G375" s="66" t="s">
        <v>827</v>
      </c>
      <c r="H375" s="2" t="s">
        <v>23</v>
      </c>
      <c r="I375" s="39">
        <f t="shared" si="115"/>
        <v>70</v>
      </c>
      <c r="J375" s="40">
        <f t="shared" si="116"/>
        <v>85</v>
      </c>
      <c r="K375" s="41">
        <f t="shared" si="117"/>
        <v>140</v>
      </c>
      <c r="L375" s="42">
        <f t="shared" si="118"/>
        <v>85</v>
      </c>
      <c r="M375" s="43">
        <f t="shared" si="119"/>
        <v>70</v>
      </c>
      <c r="N375" s="44">
        <f t="shared" si="120"/>
        <v>20</v>
      </c>
      <c r="O375" s="45">
        <f t="shared" si="121"/>
        <v>470</v>
      </c>
      <c r="P375" s="19">
        <f t="shared" si="122"/>
        <v>78.33</v>
      </c>
      <c r="Q375" s="177">
        <v>70</v>
      </c>
      <c r="R375" s="40">
        <v>85</v>
      </c>
      <c r="S375" s="41">
        <v>140</v>
      </c>
      <c r="T375" s="42">
        <v>85</v>
      </c>
      <c r="U375" s="43">
        <v>70</v>
      </c>
      <c r="V375" s="44">
        <v>20</v>
      </c>
      <c r="W375" s="45">
        <f t="shared" si="123"/>
        <v>470</v>
      </c>
      <c r="X375" s="19">
        <f t="shared" si="124"/>
        <v>78.33</v>
      </c>
      <c r="Y375" s="3">
        <v>70</v>
      </c>
      <c r="Z375" s="4">
        <v>85</v>
      </c>
      <c r="AA375" s="5">
        <v>140</v>
      </c>
      <c r="AB375" s="6">
        <v>85</v>
      </c>
      <c r="AC375" s="7">
        <v>70</v>
      </c>
      <c r="AD375" s="8">
        <v>20</v>
      </c>
      <c r="AE375" s="1">
        <v>470</v>
      </c>
      <c r="AF375" s="19">
        <v>78.33</v>
      </c>
      <c r="AG375" s="139">
        <v>70</v>
      </c>
      <c r="AH375" s="140">
        <v>85</v>
      </c>
      <c r="AI375" s="141">
        <v>140</v>
      </c>
      <c r="AJ375" s="142">
        <v>85</v>
      </c>
      <c r="AK375" s="143">
        <v>70</v>
      </c>
      <c r="AL375" s="144">
        <v>20</v>
      </c>
      <c r="AM375" s="138">
        <v>470</v>
      </c>
      <c r="AN375" s="153">
        <v>78.33</v>
      </c>
      <c r="AW375" s="45"/>
      <c r="AX375" s="174" t="b">
        <f>IF('Refined Compare'!$D$2="All",TRUE,IF(F375='Refined Compare'!$D$2,TRUE,IF(G375='Refined Compare'!$D$2,TRUE,FALSE)))</f>
        <v>0</v>
      </c>
      <c r="AY375" s="174" t="b">
        <f>IF('Refined Compare'!$D$3="All",TRUE,IF(F375='Refined Compare'!$D$3,TRUE,IF(G375='Refined Compare'!$D$3,TRUE,FALSE)))</f>
        <v>1</v>
      </c>
      <c r="AZ375" s="174" t="b">
        <f t="shared" si="113"/>
        <v>1</v>
      </c>
    </row>
    <row r="376" spans="1:52" x14ac:dyDescent="0.35">
      <c r="A376">
        <f t="shared" si="114"/>
        <v>375</v>
      </c>
      <c r="B376" s="18">
        <v>325</v>
      </c>
      <c r="C376" s="61">
        <v>3</v>
      </c>
      <c r="D376" s="61" t="b">
        <v>0</v>
      </c>
      <c r="E376" s="61"/>
      <c r="F376" s="66" t="s">
        <v>817</v>
      </c>
      <c r="G376" s="66" t="s">
        <v>827</v>
      </c>
      <c r="H376" s="2" t="s">
        <v>330</v>
      </c>
      <c r="I376" s="39">
        <f t="shared" si="115"/>
        <v>60</v>
      </c>
      <c r="J376" s="40">
        <f t="shared" si="116"/>
        <v>25</v>
      </c>
      <c r="K376" s="41">
        <f t="shared" si="117"/>
        <v>35</v>
      </c>
      <c r="L376" s="42">
        <f t="shared" si="118"/>
        <v>70</v>
      </c>
      <c r="M376" s="43">
        <f t="shared" si="119"/>
        <v>80</v>
      </c>
      <c r="N376" s="44">
        <f t="shared" si="120"/>
        <v>60</v>
      </c>
      <c r="O376" s="45">
        <f t="shared" si="121"/>
        <v>330</v>
      </c>
      <c r="P376" s="19">
        <f t="shared" si="122"/>
        <v>55</v>
      </c>
      <c r="Q376" s="177">
        <v>60</v>
      </c>
      <c r="R376" s="40">
        <v>25</v>
      </c>
      <c r="S376" s="41">
        <v>35</v>
      </c>
      <c r="T376" s="42">
        <v>70</v>
      </c>
      <c r="U376" s="43">
        <v>80</v>
      </c>
      <c r="V376" s="44">
        <v>60</v>
      </c>
      <c r="W376" s="45">
        <f t="shared" si="123"/>
        <v>330</v>
      </c>
      <c r="X376" s="19">
        <f t="shared" si="124"/>
        <v>55</v>
      </c>
      <c r="Y376" s="3">
        <v>60</v>
      </c>
      <c r="Z376" s="4">
        <v>25</v>
      </c>
      <c r="AA376" s="5">
        <v>35</v>
      </c>
      <c r="AB376" s="6">
        <v>70</v>
      </c>
      <c r="AC376" s="7">
        <v>80</v>
      </c>
      <c r="AD376" s="8">
        <v>60</v>
      </c>
      <c r="AE376" s="1">
        <v>330</v>
      </c>
      <c r="AF376" s="19">
        <v>55</v>
      </c>
      <c r="AG376" s="139">
        <v>60</v>
      </c>
      <c r="AH376" s="140">
        <v>25</v>
      </c>
      <c r="AI376" s="141">
        <v>35</v>
      </c>
      <c r="AJ376" s="142">
        <v>70</v>
      </c>
      <c r="AK376" s="143">
        <v>80</v>
      </c>
      <c r="AL376" s="144">
        <v>60</v>
      </c>
      <c r="AM376" s="138">
        <v>330</v>
      </c>
      <c r="AN376" s="153">
        <v>55</v>
      </c>
      <c r="AW376" s="45"/>
      <c r="AX376" s="174" t="b">
        <f>IF('Refined Compare'!$D$2="All",TRUE,IF(F376='Refined Compare'!$D$2,TRUE,IF(G376='Refined Compare'!$D$2,TRUE,FALSE)))</f>
        <v>0</v>
      </c>
      <c r="AY376" s="174" t="b">
        <f>IF('Refined Compare'!$D$3="All",TRUE,IF(F376='Refined Compare'!$D$3,TRUE,IF(G376='Refined Compare'!$D$3,TRUE,FALSE)))</f>
        <v>1</v>
      </c>
      <c r="AZ376" s="174" t="b">
        <f t="shared" si="113"/>
        <v>1</v>
      </c>
    </row>
    <row r="377" spans="1:52" x14ac:dyDescent="0.35">
      <c r="A377">
        <f t="shared" si="114"/>
        <v>376</v>
      </c>
      <c r="B377" s="18">
        <v>326</v>
      </c>
      <c r="C377" s="61">
        <v>3</v>
      </c>
      <c r="D377" s="118" t="b">
        <v>1</v>
      </c>
      <c r="E377" s="61"/>
      <c r="F377" s="66" t="s">
        <v>817</v>
      </c>
      <c r="G377" s="66" t="s">
        <v>827</v>
      </c>
      <c r="H377" s="2" t="s">
        <v>511</v>
      </c>
      <c r="I377" s="39">
        <f t="shared" si="115"/>
        <v>80</v>
      </c>
      <c r="J377" s="40">
        <f t="shared" si="116"/>
        <v>45</v>
      </c>
      <c r="K377" s="41">
        <f t="shared" si="117"/>
        <v>65</v>
      </c>
      <c r="L377" s="42">
        <f t="shared" si="118"/>
        <v>90</v>
      </c>
      <c r="M377" s="43">
        <f t="shared" si="119"/>
        <v>110</v>
      </c>
      <c r="N377" s="44">
        <f t="shared" si="120"/>
        <v>80</v>
      </c>
      <c r="O377" s="45">
        <f t="shared" si="121"/>
        <v>470</v>
      </c>
      <c r="P377" s="19">
        <f t="shared" si="122"/>
        <v>78.33</v>
      </c>
      <c r="Q377" s="177">
        <v>80</v>
      </c>
      <c r="R377" s="40">
        <v>45</v>
      </c>
      <c r="S377" s="41">
        <v>65</v>
      </c>
      <c r="T377" s="42">
        <v>90</v>
      </c>
      <c r="U377" s="43">
        <v>110</v>
      </c>
      <c r="V377" s="44">
        <v>80</v>
      </c>
      <c r="W377" s="45">
        <f t="shared" si="123"/>
        <v>470</v>
      </c>
      <c r="X377" s="19">
        <f t="shared" si="124"/>
        <v>78.33</v>
      </c>
      <c r="Y377" s="3">
        <v>80</v>
      </c>
      <c r="Z377" s="4">
        <v>45</v>
      </c>
      <c r="AA377" s="5">
        <v>65</v>
      </c>
      <c r="AB377" s="6">
        <v>90</v>
      </c>
      <c r="AC377" s="7">
        <v>110</v>
      </c>
      <c r="AD377" s="8">
        <v>80</v>
      </c>
      <c r="AE377" s="1">
        <v>470</v>
      </c>
      <c r="AF377" s="19">
        <v>78.33</v>
      </c>
      <c r="AG377" s="139">
        <v>80</v>
      </c>
      <c r="AH377" s="140">
        <v>45</v>
      </c>
      <c r="AI377" s="141">
        <v>65</v>
      </c>
      <c r="AJ377" s="142">
        <v>90</v>
      </c>
      <c r="AK377" s="143">
        <v>110</v>
      </c>
      <c r="AL377" s="144">
        <v>80</v>
      </c>
      <c r="AM377" s="138">
        <v>470</v>
      </c>
      <c r="AN377" s="153">
        <v>78.33</v>
      </c>
      <c r="AW377" s="45"/>
      <c r="AX377" s="174" t="b">
        <f>IF('Refined Compare'!$D$2="All",TRUE,IF(F377='Refined Compare'!$D$2,TRUE,IF(G377='Refined Compare'!$D$2,TRUE,FALSE)))</f>
        <v>0</v>
      </c>
      <c r="AY377" s="174" t="b">
        <f>IF('Refined Compare'!$D$3="All",TRUE,IF(F377='Refined Compare'!$D$3,TRUE,IF(G377='Refined Compare'!$D$3,TRUE,FALSE)))</f>
        <v>1</v>
      </c>
      <c r="AZ377" s="174" t="b">
        <f t="shared" si="113"/>
        <v>1</v>
      </c>
    </row>
    <row r="378" spans="1:52" x14ac:dyDescent="0.35">
      <c r="A378">
        <f t="shared" si="114"/>
        <v>377</v>
      </c>
      <c r="B378" s="18">
        <v>327</v>
      </c>
      <c r="C378" s="61">
        <v>3</v>
      </c>
      <c r="D378" s="118" t="b">
        <v>1</v>
      </c>
      <c r="E378" s="61"/>
      <c r="F378" s="66" t="s">
        <v>812</v>
      </c>
      <c r="G378" s="66" t="s">
        <v>827</v>
      </c>
      <c r="H378" s="2" t="s">
        <v>331</v>
      </c>
      <c r="I378" s="39">
        <f t="shared" si="115"/>
        <v>60</v>
      </c>
      <c r="J378" s="40">
        <f t="shared" si="116"/>
        <v>60</v>
      </c>
      <c r="K378" s="41">
        <f t="shared" si="117"/>
        <v>60</v>
      </c>
      <c r="L378" s="42">
        <f t="shared" si="118"/>
        <v>60</v>
      </c>
      <c r="M378" s="43">
        <f t="shared" si="119"/>
        <v>60</v>
      </c>
      <c r="N378" s="44">
        <f t="shared" si="120"/>
        <v>60</v>
      </c>
      <c r="O378" s="45">
        <f t="shared" si="121"/>
        <v>360</v>
      </c>
      <c r="P378" s="19">
        <f t="shared" si="122"/>
        <v>60</v>
      </c>
      <c r="Q378" s="177">
        <v>60</v>
      </c>
      <c r="R378" s="40">
        <v>60</v>
      </c>
      <c r="S378" s="41">
        <v>60</v>
      </c>
      <c r="T378" s="42">
        <v>60</v>
      </c>
      <c r="U378" s="43">
        <v>60</v>
      </c>
      <c r="V378" s="44">
        <v>60</v>
      </c>
      <c r="W378" s="45">
        <f t="shared" si="123"/>
        <v>360</v>
      </c>
      <c r="X378" s="19">
        <f t="shared" si="124"/>
        <v>60</v>
      </c>
      <c r="Y378" s="3">
        <v>60</v>
      </c>
      <c r="Z378" s="4">
        <v>60</v>
      </c>
      <c r="AA378" s="5">
        <v>60</v>
      </c>
      <c r="AB378" s="6">
        <v>60</v>
      </c>
      <c r="AC378" s="7">
        <v>60</v>
      </c>
      <c r="AD378" s="8">
        <v>60</v>
      </c>
      <c r="AE378" s="1">
        <v>360</v>
      </c>
      <c r="AF378" s="19">
        <v>60</v>
      </c>
      <c r="AG378" s="139">
        <v>60</v>
      </c>
      <c r="AH378" s="140">
        <v>60</v>
      </c>
      <c r="AI378" s="141">
        <v>60</v>
      </c>
      <c r="AJ378" s="142">
        <v>60</v>
      </c>
      <c r="AK378" s="143">
        <v>60</v>
      </c>
      <c r="AL378" s="144">
        <v>60</v>
      </c>
      <c r="AM378" s="138">
        <v>360</v>
      </c>
      <c r="AN378" s="153">
        <v>60</v>
      </c>
      <c r="AW378" s="45"/>
      <c r="AX378" s="174" t="b">
        <f>IF('Refined Compare'!$D$2="All",TRUE,IF(F378='Refined Compare'!$D$2,TRUE,IF(G378='Refined Compare'!$D$2,TRUE,FALSE)))</f>
        <v>0</v>
      </c>
      <c r="AY378" s="174" t="b">
        <f>IF('Refined Compare'!$D$3="All",TRUE,IF(F378='Refined Compare'!$D$3,TRUE,IF(G378='Refined Compare'!$D$3,TRUE,FALSE)))</f>
        <v>1</v>
      </c>
      <c r="AZ378" s="174" t="b">
        <f t="shared" si="113"/>
        <v>1</v>
      </c>
    </row>
    <row r="379" spans="1:52" x14ac:dyDescent="0.35">
      <c r="A379">
        <f t="shared" si="114"/>
        <v>378</v>
      </c>
      <c r="B379" s="18">
        <v>328</v>
      </c>
      <c r="C379" s="61">
        <v>3</v>
      </c>
      <c r="D379" s="61" t="b">
        <v>0</v>
      </c>
      <c r="E379" s="61"/>
      <c r="F379" s="66" t="s">
        <v>814</v>
      </c>
      <c r="G379" s="66" t="s">
        <v>827</v>
      </c>
      <c r="H379" s="2" t="s">
        <v>2</v>
      </c>
      <c r="I379" s="39">
        <f t="shared" si="115"/>
        <v>45</v>
      </c>
      <c r="J379" s="40">
        <f t="shared" si="116"/>
        <v>100</v>
      </c>
      <c r="K379" s="41">
        <f t="shared" si="117"/>
        <v>45</v>
      </c>
      <c r="L379" s="42">
        <f t="shared" si="118"/>
        <v>45</v>
      </c>
      <c r="M379" s="43">
        <f t="shared" si="119"/>
        <v>45</v>
      </c>
      <c r="N379" s="44">
        <f t="shared" si="120"/>
        <v>10</v>
      </c>
      <c r="O379" s="45">
        <f t="shared" si="121"/>
        <v>290</v>
      </c>
      <c r="P379" s="19">
        <f t="shared" si="122"/>
        <v>48.33</v>
      </c>
      <c r="Q379" s="177">
        <v>45</v>
      </c>
      <c r="R379" s="40">
        <v>100</v>
      </c>
      <c r="S379" s="41">
        <v>45</v>
      </c>
      <c r="T379" s="42">
        <v>45</v>
      </c>
      <c r="U379" s="43">
        <v>45</v>
      </c>
      <c r="V379" s="44">
        <v>10</v>
      </c>
      <c r="W379" s="45">
        <f t="shared" si="123"/>
        <v>290</v>
      </c>
      <c r="X379" s="19">
        <f t="shared" si="124"/>
        <v>48.33</v>
      </c>
      <c r="Y379" s="3">
        <v>45</v>
      </c>
      <c r="Z379" s="4">
        <v>100</v>
      </c>
      <c r="AA379" s="5">
        <v>45</v>
      </c>
      <c r="AB379" s="6">
        <v>45</v>
      </c>
      <c r="AC379" s="7">
        <v>45</v>
      </c>
      <c r="AD379" s="8">
        <v>10</v>
      </c>
      <c r="AE379" s="1">
        <v>290</v>
      </c>
      <c r="AF379" s="19">
        <v>48.33</v>
      </c>
      <c r="AG379" s="139">
        <v>45</v>
      </c>
      <c r="AH379" s="140">
        <v>100</v>
      </c>
      <c r="AI379" s="141">
        <v>45</v>
      </c>
      <c r="AJ379" s="142">
        <v>45</v>
      </c>
      <c r="AK379" s="143">
        <v>45</v>
      </c>
      <c r="AL379" s="144">
        <v>10</v>
      </c>
      <c r="AM379" s="138">
        <v>290</v>
      </c>
      <c r="AN379" s="153">
        <v>48.33</v>
      </c>
      <c r="AW379" s="45"/>
      <c r="AX379" s="174" t="b">
        <f>IF('Refined Compare'!$D$2="All",TRUE,IF(F379='Refined Compare'!$D$2,TRUE,IF(G379='Refined Compare'!$D$2,TRUE,FALSE)))</f>
        <v>0</v>
      </c>
      <c r="AY379" s="174" t="b">
        <f>IF('Refined Compare'!$D$3="All",TRUE,IF(F379='Refined Compare'!$D$3,TRUE,IF(G379='Refined Compare'!$D$3,TRUE,FALSE)))</f>
        <v>1</v>
      </c>
      <c r="AZ379" s="174" t="b">
        <f t="shared" si="113"/>
        <v>1</v>
      </c>
    </row>
    <row r="380" spans="1:52" x14ac:dyDescent="0.35">
      <c r="A380">
        <f t="shared" si="114"/>
        <v>379</v>
      </c>
      <c r="B380" s="18">
        <v>329</v>
      </c>
      <c r="C380" s="61">
        <v>3</v>
      </c>
      <c r="D380" s="61" t="b">
        <v>0</v>
      </c>
      <c r="E380" s="61"/>
      <c r="F380" s="66" t="s">
        <v>814</v>
      </c>
      <c r="G380" s="66" t="s">
        <v>822</v>
      </c>
      <c r="H380" s="2" t="s">
        <v>441</v>
      </c>
      <c r="I380" s="39">
        <f t="shared" si="115"/>
        <v>50</v>
      </c>
      <c r="J380" s="40">
        <f t="shared" si="116"/>
        <v>70</v>
      </c>
      <c r="K380" s="41">
        <f t="shared" si="117"/>
        <v>50</v>
      </c>
      <c r="L380" s="42">
        <f t="shared" si="118"/>
        <v>50</v>
      </c>
      <c r="M380" s="43">
        <f t="shared" si="119"/>
        <v>50</v>
      </c>
      <c r="N380" s="44">
        <f t="shared" si="120"/>
        <v>70</v>
      </c>
      <c r="O380" s="45">
        <f t="shared" si="121"/>
        <v>340</v>
      </c>
      <c r="P380" s="19">
        <f t="shared" si="122"/>
        <v>56.67</v>
      </c>
      <c r="Q380" s="177">
        <v>50</v>
      </c>
      <c r="R380" s="40">
        <v>70</v>
      </c>
      <c r="S380" s="41">
        <v>50</v>
      </c>
      <c r="T380" s="42">
        <v>50</v>
      </c>
      <c r="U380" s="43">
        <v>50</v>
      </c>
      <c r="V380" s="44">
        <v>70</v>
      </c>
      <c r="W380" s="45">
        <f t="shared" si="123"/>
        <v>340</v>
      </c>
      <c r="X380" s="19">
        <f t="shared" si="124"/>
        <v>56.67</v>
      </c>
      <c r="Y380" s="3">
        <v>50</v>
      </c>
      <c r="Z380" s="4">
        <v>70</v>
      </c>
      <c r="AA380" s="5">
        <v>50</v>
      </c>
      <c r="AB380" s="6">
        <v>50</v>
      </c>
      <c r="AC380" s="7">
        <v>50</v>
      </c>
      <c r="AD380" s="8">
        <v>70</v>
      </c>
      <c r="AE380" s="1">
        <v>340</v>
      </c>
      <c r="AF380" s="19">
        <v>56.67</v>
      </c>
      <c r="AG380" s="139">
        <v>50</v>
      </c>
      <c r="AH380" s="140">
        <v>70</v>
      </c>
      <c r="AI380" s="141">
        <v>50</v>
      </c>
      <c r="AJ380" s="142">
        <v>50</v>
      </c>
      <c r="AK380" s="143">
        <v>50</v>
      </c>
      <c r="AL380" s="144">
        <v>70</v>
      </c>
      <c r="AM380" s="138">
        <v>340</v>
      </c>
      <c r="AN380" s="153">
        <v>56.67</v>
      </c>
      <c r="AW380" s="45"/>
      <c r="AX380" s="174" t="b">
        <f>IF('Refined Compare'!$D$2="All",TRUE,IF(F380='Refined Compare'!$D$2,TRUE,IF(G380='Refined Compare'!$D$2,TRUE,FALSE)))</f>
        <v>0</v>
      </c>
      <c r="AY380" s="174" t="b">
        <f>IF('Refined Compare'!$D$3="All",TRUE,IF(F380='Refined Compare'!$D$3,TRUE,IF(G380='Refined Compare'!$D$3,TRUE,FALSE)))</f>
        <v>0</v>
      </c>
      <c r="AZ380" s="174" t="b">
        <f t="shared" si="113"/>
        <v>1</v>
      </c>
    </row>
    <row r="381" spans="1:52" x14ac:dyDescent="0.35">
      <c r="A381">
        <f t="shared" si="114"/>
        <v>380</v>
      </c>
      <c r="B381" s="18">
        <v>330</v>
      </c>
      <c r="C381" s="61">
        <v>3</v>
      </c>
      <c r="D381" s="118" t="b">
        <v>1</v>
      </c>
      <c r="E381" s="61"/>
      <c r="F381" s="66" t="s">
        <v>814</v>
      </c>
      <c r="G381" s="66" t="s">
        <v>822</v>
      </c>
      <c r="H381" s="2" t="s">
        <v>672</v>
      </c>
      <c r="I381" s="39">
        <f t="shared" si="115"/>
        <v>80</v>
      </c>
      <c r="J381" s="40">
        <f t="shared" si="116"/>
        <v>100</v>
      </c>
      <c r="K381" s="41">
        <f t="shared" si="117"/>
        <v>80</v>
      </c>
      <c r="L381" s="42">
        <f t="shared" si="118"/>
        <v>80</v>
      </c>
      <c r="M381" s="43">
        <f t="shared" si="119"/>
        <v>80</v>
      </c>
      <c r="N381" s="44">
        <f t="shared" si="120"/>
        <v>100</v>
      </c>
      <c r="O381" s="45">
        <f t="shared" si="121"/>
        <v>520</v>
      </c>
      <c r="P381" s="19">
        <f t="shared" si="122"/>
        <v>86.67</v>
      </c>
      <c r="Q381" s="177">
        <v>80</v>
      </c>
      <c r="R381" s="40">
        <v>100</v>
      </c>
      <c r="S381" s="41">
        <v>80</v>
      </c>
      <c r="T381" s="42">
        <v>80</v>
      </c>
      <c r="U381" s="43">
        <v>80</v>
      </c>
      <c r="V381" s="44">
        <v>100</v>
      </c>
      <c r="W381" s="45">
        <f t="shared" si="123"/>
        <v>520</v>
      </c>
      <c r="X381" s="19">
        <f t="shared" si="124"/>
        <v>86.67</v>
      </c>
      <c r="Y381" s="3">
        <v>80</v>
      </c>
      <c r="Z381" s="4">
        <v>100</v>
      </c>
      <c r="AA381" s="5">
        <v>80</v>
      </c>
      <c r="AB381" s="6">
        <v>80</v>
      </c>
      <c r="AC381" s="7">
        <v>80</v>
      </c>
      <c r="AD381" s="8">
        <v>100</v>
      </c>
      <c r="AE381" s="1">
        <v>520</v>
      </c>
      <c r="AF381" s="19">
        <v>86.67</v>
      </c>
      <c r="AG381" s="139">
        <v>80</v>
      </c>
      <c r="AH381" s="140">
        <v>100</v>
      </c>
      <c r="AI381" s="141">
        <v>80</v>
      </c>
      <c r="AJ381" s="142">
        <v>80</v>
      </c>
      <c r="AK381" s="143">
        <v>80</v>
      </c>
      <c r="AL381" s="144">
        <v>100</v>
      </c>
      <c r="AM381" s="138">
        <v>520</v>
      </c>
      <c r="AN381" s="153">
        <v>86.67</v>
      </c>
      <c r="AW381" s="45"/>
      <c r="AX381" s="174" t="b">
        <f>IF('Refined Compare'!$D$2="All",TRUE,IF(F381='Refined Compare'!$D$2,TRUE,IF(G381='Refined Compare'!$D$2,TRUE,FALSE)))</f>
        <v>0</v>
      </c>
      <c r="AY381" s="174" t="b">
        <f>IF('Refined Compare'!$D$3="All",TRUE,IF(F381='Refined Compare'!$D$3,TRUE,IF(G381='Refined Compare'!$D$3,TRUE,FALSE)))</f>
        <v>0</v>
      </c>
      <c r="AZ381" s="174" t="b">
        <f t="shared" si="113"/>
        <v>1</v>
      </c>
    </row>
    <row r="382" spans="1:52" x14ac:dyDescent="0.35">
      <c r="A382">
        <f t="shared" si="114"/>
        <v>381</v>
      </c>
      <c r="B382" s="18">
        <v>331</v>
      </c>
      <c r="C382" s="61">
        <v>3</v>
      </c>
      <c r="D382" s="61" t="b">
        <v>0</v>
      </c>
      <c r="E382" s="61"/>
      <c r="F382" s="66" t="s">
        <v>806</v>
      </c>
      <c r="G382" s="66" t="s">
        <v>827</v>
      </c>
      <c r="H382" s="2" t="s">
        <v>109</v>
      </c>
      <c r="I382" s="39">
        <f t="shared" si="115"/>
        <v>50</v>
      </c>
      <c r="J382" s="40">
        <f t="shared" si="116"/>
        <v>85</v>
      </c>
      <c r="K382" s="41">
        <f t="shared" si="117"/>
        <v>40</v>
      </c>
      <c r="L382" s="42">
        <f t="shared" si="118"/>
        <v>85</v>
      </c>
      <c r="M382" s="43">
        <f t="shared" si="119"/>
        <v>40</v>
      </c>
      <c r="N382" s="44">
        <f t="shared" si="120"/>
        <v>35</v>
      </c>
      <c r="O382" s="45">
        <f t="shared" si="121"/>
        <v>335</v>
      </c>
      <c r="P382" s="19">
        <f t="shared" si="122"/>
        <v>55.83</v>
      </c>
      <c r="Q382" s="177">
        <v>50</v>
      </c>
      <c r="R382" s="40">
        <v>85</v>
      </c>
      <c r="S382" s="41">
        <v>40</v>
      </c>
      <c r="T382" s="42">
        <v>85</v>
      </c>
      <c r="U382" s="43">
        <v>40</v>
      </c>
      <c r="V382" s="44">
        <v>35</v>
      </c>
      <c r="W382" s="45">
        <f t="shared" si="123"/>
        <v>335</v>
      </c>
      <c r="X382" s="19">
        <f t="shared" si="124"/>
        <v>55.83</v>
      </c>
      <c r="Y382" s="3">
        <v>50</v>
      </c>
      <c r="Z382" s="4">
        <v>85</v>
      </c>
      <c r="AA382" s="5">
        <v>40</v>
      </c>
      <c r="AB382" s="6">
        <v>85</v>
      </c>
      <c r="AC382" s="7">
        <v>40</v>
      </c>
      <c r="AD382" s="8">
        <v>35</v>
      </c>
      <c r="AE382" s="1">
        <v>335</v>
      </c>
      <c r="AF382" s="19">
        <v>55.83</v>
      </c>
      <c r="AG382" s="139">
        <v>50</v>
      </c>
      <c r="AH382" s="140">
        <v>85</v>
      </c>
      <c r="AI382" s="141">
        <v>40</v>
      </c>
      <c r="AJ382" s="142">
        <v>85</v>
      </c>
      <c r="AK382" s="143">
        <v>40</v>
      </c>
      <c r="AL382" s="144">
        <v>35</v>
      </c>
      <c r="AM382" s="138">
        <v>335</v>
      </c>
      <c r="AN382" s="153">
        <v>55.83</v>
      </c>
      <c r="AW382" s="45"/>
      <c r="AX382" s="174" t="b">
        <f>IF('Refined Compare'!$D$2="All",TRUE,IF(F382='Refined Compare'!$D$2,TRUE,IF(G382='Refined Compare'!$D$2,TRUE,FALSE)))</f>
        <v>0</v>
      </c>
      <c r="AY382" s="174" t="b">
        <f>IF('Refined Compare'!$D$3="All",TRUE,IF(F382='Refined Compare'!$D$3,TRUE,IF(G382='Refined Compare'!$D$3,TRUE,FALSE)))</f>
        <v>1</v>
      </c>
      <c r="AZ382" s="174" t="b">
        <f t="shared" si="113"/>
        <v>1</v>
      </c>
    </row>
    <row r="383" spans="1:52" x14ac:dyDescent="0.35">
      <c r="A383">
        <f t="shared" si="114"/>
        <v>382</v>
      </c>
      <c r="B383" s="18">
        <v>332</v>
      </c>
      <c r="C383" s="61">
        <v>3</v>
      </c>
      <c r="D383" s="118" t="b">
        <v>1</v>
      </c>
      <c r="E383" s="61"/>
      <c r="F383" s="66" t="s">
        <v>806</v>
      </c>
      <c r="G383" s="66" t="s">
        <v>823</v>
      </c>
      <c r="H383" s="2" t="s">
        <v>279</v>
      </c>
      <c r="I383" s="39">
        <f t="shared" si="115"/>
        <v>70</v>
      </c>
      <c r="J383" s="40">
        <f t="shared" si="116"/>
        <v>115</v>
      </c>
      <c r="K383" s="41">
        <f t="shared" si="117"/>
        <v>60</v>
      </c>
      <c r="L383" s="42">
        <f t="shared" si="118"/>
        <v>115</v>
      </c>
      <c r="M383" s="43">
        <f t="shared" si="119"/>
        <v>60</v>
      </c>
      <c r="N383" s="44">
        <f t="shared" si="120"/>
        <v>55</v>
      </c>
      <c r="O383" s="45">
        <f t="shared" si="121"/>
        <v>475</v>
      </c>
      <c r="P383" s="19">
        <f t="shared" si="122"/>
        <v>79.17</v>
      </c>
      <c r="Q383" s="177">
        <v>70</v>
      </c>
      <c r="R383" s="40">
        <v>115</v>
      </c>
      <c r="S383" s="41">
        <v>60</v>
      </c>
      <c r="T383" s="42">
        <v>115</v>
      </c>
      <c r="U383" s="43">
        <v>60</v>
      </c>
      <c r="V383" s="44">
        <v>55</v>
      </c>
      <c r="W383" s="45">
        <f t="shared" si="123"/>
        <v>475</v>
      </c>
      <c r="X383" s="19">
        <f t="shared" si="124"/>
        <v>79.17</v>
      </c>
      <c r="Y383" s="3">
        <v>70</v>
      </c>
      <c r="Z383" s="4">
        <v>115</v>
      </c>
      <c r="AA383" s="5">
        <v>60</v>
      </c>
      <c r="AB383" s="6">
        <v>115</v>
      </c>
      <c r="AC383" s="7">
        <v>60</v>
      </c>
      <c r="AD383" s="8">
        <v>55</v>
      </c>
      <c r="AE383" s="1">
        <v>475</v>
      </c>
      <c r="AF383" s="19">
        <v>79.17</v>
      </c>
      <c r="AG383" s="139">
        <v>70</v>
      </c>
      <c r="AH383" s="140">
        <v>115</v>
      </c>
      <c r="AI383" s="141">
        <v>60</v>
      </c>
      <c r="AJ383" s="142">
        <v>115</v>
      </c>
      <c r="AK383" s="143">
        <v>60</v>
      </c>
      <c r="AL383" s="144">
        <v>55</v>
      </c>
      <c r="AM383" s="138">
        <v>475</v>
      </c>
      <c r="AN383" s="153">
        <v>79.17</v>
      </c>
      <c r="AW383" s="45"/>
      <c r="AX383" s="174" t="b">
        <f>IF('Refined Compare'!$D$2="All",TRUE,IF(F383='Refined Compare'!$D$2,TRUE,IF(G383='Refined Compare'!$D$2,TRUE,FALSE)))</f>
        <v>1</v>
      </c>
      <c r="AY383" s="174" t="b">
        <f>IF('Refined Compare'!$D$3="All",TRUE,IF(F383='Refined Compare'!$D$3,TRUE,IF(G383='Refined Compare'!$D$3,TRUE,FALSE)))</f>
        <v>0</v>
      </c>
      <c r="AZ383" s="174" t="b">
        <f t="shared" si="113"/>
        <v>1</v>
      </c>
    </row>
    <row r="384" spans="1:52" x14ac:dyDescent="0.35">
      <c r="A384">
        <f t="shared" si="114"/>
        <v>383</v>
      </c>
      <c r="B384" s="18">
        <v>333</v>
      </c>
      <c r="C384" s="61">
        <v>3</v>
      </c>
      <c r="D384" s="61" t="b">
        <v>0</v>
      </c>
      <c r="E384" s="61"/>
      <c r="F384" s="66" t="s">
        <v>812</v>
      </c>
      <c r="G384" s="66" t="s">
        <v>809</v>
      </c>
      <c r="H384" s="2" t="s">
        <v>235</v>
      </c>
      <c r="I384" s="39">
        <f t="shared" si="115"/>
        <v>45</v>
      </c>
      <c r="J384" s="40">
        <f t="shared" si="116"/>
        <v>40</v>
      </c>
      <c r="K384" s="41">
        <f t="shared" si="117"/>
        <v>60</v>
      </c>
      <c r="L384" s="42">
        <f t="shared" si="118"/>
        <v>40</v>
      </c>
      <c r="M384" s="43">
        <f t="shared" si="119"/>
        <v>75</v>
      </c>
      <c r="N384" s="44">
        <f t="shared" si="120"/>
        <v>50</v>
      </c>
      <c r="O384" s="45">
        <f t="shared" si="121"/>
        <v>310</v>
      </c>
      <c r="P384" s="19">
        <f t="shared" si="122"/>
        <v>51.67</v>
      </c>
      <c r="Q384" s="177">
        <v>45</v>
      </c>
      <c r="R384" s="40">
        <v>40</v>
      </c>
      <c r="S384" s="41">
        <v>60</v>
      </c>
      <c r="T384" s="42">
        <v>40</v>
      </c>
      <c r="U384" s="43">
        <v>75</v>
      </c>
      <c r="V384" s="44">
        <v>50</v>
      </c>
      <c r="W384" s="45">
        <f t="shared" si="123"/>
        <v>310</v>
      </c>
      <c r="X384" s="19">
        <f t="shared" si="124"/>
        <v>51.67</v>
      </c>
      <c r="Y384" s="3">
        <v>45</v>
      </c>
      <c r="Z384" s="4">
        <v>40</v>
      </c>
      <c r="AA384" s="5">
        <v>60</v>
      </c>
      <c r="AB384" s="6">
        <v>40</v>
      </c>
      <c r="AC384" s="7">
        <v>75</v>
      </c>
      <c r="AD384" s="8">
        <v>50</v>
      </c>
      <c r="AE384" s="1">
        <v>310</v>
      </c>
      <c r="AF384" s="19">
        <v>51.67</v>
      </c>
      <c r="AG384" s="139">
        <v>45</v>
      </c>
      <c r="AH384" s="140">
        <v>40</v>
      </c>
      <c r="AI384" s="141">
        <v>60</v>
      </c>
      <c r="AJ384" s="142">
        <v>40</v>
      </c>
      <c r="AK384" s="143">
        <v>75</v>
      </c>
      <c r="AL384" s="144">
        <v>50</v>
      </c>
      <c r="AM384" s="138">
        <v>310</v>
      </c>
      <c r="AN384" s="153">
        <v>51.67</v>
      </c>
      <c r="AW384" s="45"/>
      <c r="AX384" s="174" t="b">
        <f>IF('Refined Compare'!$D$2="All",TRUE,IF(F384='Refined Compare'!$D$2,TRUE,IF(G384='Refined Compare'!$D$2,TRUE,FALSE)))</f>
        <v>0</v>
      </c>
      <c r="AY384" s="174" t="b">
        <f>IF('Refined Compare'!$D$3="All",TRUE,IF(F384='Refined Compare'!$D$3,TRUE,IF(G384='Refined Compare'!$D$3,TRUE,FALSE)))</f>
        <v>0</v>
      </c>
      <c r="AZ384" s="174" t="b">
        <f t="shared" si="113"/>
        <v>1</v>
      </c>
    </row>
    <row r="385" spans="1:52" x14ac:dyDescent="0.35">
      <c r="A385">
        <f t="shared" si="114"/>
        <v>384</v>
      </c>
      <c r="B385" s="18">
        <v>334</v>
      </c>
      <c r="C385" s="61">
        <v>3</v>
      </c>
      <c r="D385" s="61" t="b">
        <f>IF($AW$2&lt;6,TRUE,FALSE)</f>
        <v>1</v>
      </c>
      <c r="E385" s="61"/>
      <c r="F385" s="66" t="s">
        <v>822</v>
      </c>
      <c r="G385" s="66" t="s">
        <v>809</v>
      </c>
      <c r="H385" s="2" t="s">
        <v>512</v>
      </c>
      <c r="I385" s="39">
        <f t="shared" si="115"/>
        <v>75</v>
      </c>
      <c r="J385" s="40">
        <f t="shared" si="116"/>
        <v>70</v>
      </c>
      <c r="K385" s="41">
        <f t="shared" si="117"/>
        <v>90</v>
      </c>
      <c r="L385" s="42">
        <f t="shared" si="118"/>
        <v>70</v>
      </c>
      <c r="M385" s="43">
        <f t="shared" si="119"/>
        <v>105</v>
      </c>
      <c r="N385" s="44">
        <f t="shared" si="120"/>
        <v>80</v>
      </c>
      <c r="O385" s="45">
        <f t="shared" si="121"/>
        <v>490</v>
      </c>
      <c r="P385" s="19">
        <f t="shared" si="122"/>
        <v>81.67</v>
      </c>
      <c r="Q385" s="177">
        <v>75</v>
      </c>
      <c r="R385" s="40">
        <v>70</v>
      </c>
      <c r="S385" s="41">
        <v>90</v>
      </c>
      <c r="T385" s="42">
        <v>70</v>
      </c>
      <c r="U385" s="43">
        <v>105</v>
      </c>
      <c r="V385" s="44">
        <v>80</v>
      </c>
      <c r="W385" s="45">
        <f t="shared" si="123"/>
        <v>490</v>
      </c>
      <c r="X385" s="19">
        <f t="shared" si="124"/>
        <v>81.67</v>
      </c>
      <c r="Y385" s="3">
        <v>75</v>
      </c>
      <c r="Z385" s="4">
        <v>70</v>
      </c>
      <c r="AA385" s="5">
        <v>90</v>
      </c>
      <c r="AB385" s="6">
        <v>70</v>
      </c>
      <c r="AC385" s="7">
        <v>105</v>
      </c>
      <c r="AD385" s="8">
        <v>80</v>
      </c>
      <c r="AE385" s="1">
        <v>490</v>
      </c>
      <c r="AF385" s="19">
        <v>81.67</v>
      </c>
      <c r="AG385" s="139">
        <v>75</v>
      </c>
      <c r="AH385" s="140">
        <v>70</v>
      </c>
      <c r="AI385" s="141">
        <v>90</v>
      </c>
      <c r="AJ385" s="142">
        <v>70</v>
      </c>
      <c r="AK385" s="143">
        <v>105</v>
      </c>
      <c r="AL385" s="144">
        <v>80</v>
      </c>
      <c r="AM385" s="138">
        <v>490</v>
      </c>
      <c r="AN385" s="153">
        <v>81.67</v>
      </c>
      <c r="AW385" s="45"/>
      <c r="AX385" s="174" t="b">
        <f>IF('Refined Compare'!$D$2="All",TRUE,IF(F385='Refined Compare'!$D$2,TRUE,IF(G385='Refined Compare'!$D$2,TRUE,FALSE)))</f>
        <v>0</v>
      </c>
      <c r="AY385" s="174" t="b">
        <f>IF('Refined Compare'!$D$3="All",TRUE,IF(F385='Refined Compare'!$D$3,TRUE,IF(G385='Refined Compare'!$D$3,TRUE,FALSE)))</f>
        <v>0</v>
      </c>
      <c r="AZ385" s="174" t="b">
        <f t="shared" si="113"/>
        <v>1</v>
      </c>
    </row>
    <row r="386" spans="1:52" x14ac:dyDescent="0.35">
      <c r="A386">
        <f t="shared" si="114"/>
        <v>385</v>
      </c>
      <c r="B386" s="62">
        <v>334</v>
      </c>
      <c r="C386" s="61">
        <v>6</v>
      </c>
      <c r="D386" s="118" t="b">
        <f>IF(AZ386,TRUE,FALSE)</f>
        <v>0</v>
      </c>
      <c r="E386" s="61" t="s">
        <v>801</v>
      </c>
      <c r="F386" s="66" t="s">
        <v>822</v>
      </c>
      <c r="G386" s="66" t="s">
        <v>815</v>
      </c>
      <c r="H386" s="2" t="s">
        <v>513</v>
      </c>
      <c r="I386" s="39">
        <f t="shared" si="115"/>
        <v>0</v>
      </c>
      <c r="J386" s="40">
        <f t="shared" si="116"/>
        <v>0</v>
      </c>
      <c r="K386" s="41">
        <f t="shared" si="117"/>
        <v>0</v>
      </c>
      <c r="L386" s="42">
        <f t="shared" si="118"/>
        <v>0</v>
      </c>
      <c r="M386" s="43">
        <f t="shared" si="119"/>
        <v>0</v>
      </c>
      <c r="N386" s="44">
        <f t="shared" si="120"/>
        <v>0</v>
      </c>
      <c r="O386" s="45">
        <f t="shared" si="121"/>
        <v>0</v>
      </c>
      <c r="P386" s="19">
        <f t="shared" si="122"/>
        <v>0</v>
      </c>
      <c r="Q386" s="177">
        <v>75</v>
      </c>
      <c r="R386" s="40">
        <v>110</v>
      </c>
      <c r="S386" s="41">
        <v>110</v>
      </c>
      <c r="T386" s="42">
        <v>110</v>
      </c>
      <c r="U386" s="43">
        <v>105</v>
      </c>
      <c r="V386" s="44">
        <v>80</v>
      </c>
      <c r="W386" s="45">
        <f t="shared" si="123"/>
        <v>590</v>
      </c>
      <c r="X386" s="19">
        <f t="shared" si="124"/>
        <v>98.33</v>
      </c>
      <c r="Y386" s="3">
        <v>75</v>
      </c>
      <c r="Z386" s="4">
        <v>110</v>
      </c>
      <c r="AA386" s="5">
        <v>110</v>
      </c>
      <c r="AB386" s="6">
        <v>110</v>
      </c>
      <c r="AC386" s="7">
        <v>105</v>
      </c>
      <c r="AD386" s="8">
        <v>80</v>
      </c>
      <c r="AE386" s="1">
        <v>590</v>
      </c>
      <c r="AF386" s="19">
        <v>98.33</v>
      </c>
      <c r="AN386" s="172"/>
      <c r="AV386" s="174"/>
      <c r="AW386" s="45"/>
      <c r="AX386" s="174" t="b">
        <f>IF('Refined Compare'!$D$2="All",TRUE,IF(F386='Refined Compare'!$D$2,TRUE,IF(G386='Refined Compare'!$D$2,TRUE,FALSE)))</f>
        <v>0</v>
      </c>
      <c r="AY386" s="174" t="b">
        <f>IF('Refined Compare'!$D$3="All",TRUE,IF(F386='Refined Compare'!$D$3,TRUE,IF(G386='Refined Compare'!$D$3,TRUE,FALSE)))</f>
        <v>0</v>
      </c>
      <c r="AZ386" s="174" t="b">
        <f t="shared" ref="AZ386:AZ449" si="125">IF(C386&lt;=$AW$2,TRUE,FALSE)</f>
        <v>0</v>
      </c>
    </row>
    <row r="387" spans="1:52" x14ac:dyDescent="0.35">
      <c r="A387">
        <f t="shared" si="114"/>
        <v>386</v>
      </c>
      <c r="B387" s="18">
        <v>335</v>
      </c>
      <c r="C387" s="61">
        <v>3</v>
      </c>
      <c r="D387" s="118" t="b">
        <v>1</v>
      </c>
      <c r="E387" s="61"/>
      <c r="F387" s="66" t="s">
        <v>812</v>
      </c>
      <c r="G387" s="66" t="s">
        <v>827</v>
      </c>
      <c r="H387" s="2" t="s">
        <v>588</v>
      </c>
      <c r="I387" s="39">
        <f t="shared" si="115"/>
        <v>73</v>
      </c>
      <c r="J387" s="40">
        <f t="shared" si="116"/>
        <v>115</v>
      </c>
      <c r="K387" s="41">
        <f t="shared" si="117"/>
        <v>60</v>
      </c>
      <c r="L387" s="42">
        <f t="shared" si="118"/>
        <v>60</v>
      </c>
      <c r="M387" s="43">
        <f t="shared" si="119"/>
        <v>60</v>
      </c>
      <c r="N387" s="44">
        <f t="shared" si="120"/>
        <v>90</v>
      </c>
      <c r="O387" s="45">
        <f t="shared" si="121"/>
        <v>458</v>
      </c>
      <c r="P387" s="19">
        <f t="shared" si="122"/>
        <v>76.33</v>
      </c>
      <c r="Q387" s="177">
        <v>73</v>
      </c>
      <c r="R387" s="40">
        <v>115</v>
      </c>
      <c r="S387" s="41">
        <v>60</v>
      </c>
      <c r="T387" s="42">
        <v>60</v>
      </c>
      <c r="U387" s="43">
        <v>60</v>
      </c>
      <c r="V387" s="44">
        <v>90</v>
      </c>
      <c r="W387" s="45">
        <f t="shared" si="123"/>
        <v>458</v>
      </c>
      <c r="X387" s="19">
        <f t="shared" si="124"/>
        <v>76.33</v>
      </c>
      <c r="Y387" s="3">
        <v>73</v>
      </c>
      <c r="Z387" s="4">
        <v>115</v>
      </c>
      <c r="AA387" s="5">
        <v>60</v>
      </c>
      <c r="AB387" s="6">
        <v>60</v>
      </c>
      <c r="AC387" s="7">
        <v>60</v>
      </c>
      <c r="AD387" s="8">
        <v>90</v>
      </c>
      <c r="AE387" s="1">
        <v>458</v>
      </c>
      <c r="AF387" s="19">
        <v>76.33</v>
      </c>
      <c r="AG387" s="139">
        <v>73</v>
      </c>
      <c r="AH387" s="140">
        <v>115</v>
      </c>
      <c r="AI387" s="141">
        <v>60</v>
      </c>
      <c r="AJ387" s="142">
        <v>60</v>
      </c>
      <c r="AK387" s="143">
        <v>60</v>
      </c>
      <c r="AL387" s="144">
        <v>90</v>
      </c>
      <c r="AM387" s="138">
        <v>458</v>
      </c>
      <c r="AN387" s="153">
        <v>76.33</v>
      </c>
      <c r="AW387" s="45"/>
      <c r="AX387" s="174" t="b">
        <f>IF('Refined Compare'!$D$2="All",TRUE,IF(F387='Refined Compare'!$D$2,TRUE,IF(G387='Refined Compare'!$D$2,TRUE,FALSE)))</f>
        <v>0</v>
      </c>
      <c r="AY387" s="174" t="b">
        <f>IF('Refined Compare'!$D$3="All",TRUE,IF(F387='Refined Compare'!$D$3,TRUE,IF(G387='Refined Compare'!$D$3,TRUE,FALSE)))</f>
        <v>1</v>
      </c>
      <c r="AZ387" s="174" t="b">
        <f t="shared" si="125"/>
        <v>1</v>
      </c>
    </row>
    <row r="388" spans="1:52" x14ac:dyDescent="0.35">
      <c r="A388">
        <f t="shared" si="114"/>
        <v>387</v>
      </c>
      <c r="B388" s="18">
        <v>336</v>
      </c>
      <c r="C388" s="61">
        <v>3</v>
      </c>
      <c r="D388" s="118" t="b">
        <v>1</v>
      </c>
      <c r="E388" s="61"/>
      <c r="F388" s="66" t="s">
        <v>807</v>
      </c>
      <c r="G388" s="66" t="s">
        <v>827</v>
      </c>
      <c r="H388" s="2" t="s">
        <v>385</v>
      </c>
      <c r="I388" s="39">
        <f t="shared" si="115"/>
        <v>73</v>
      </c>
      <c r="J388" s="40">
        <f t="shared" si="116"/>
        <v>100</v>
      </c>
      <c r="K388" s="41">
        <f t="shared" si="117"/>
        <v>60</v>
      </c>
      <c r="L388" s="42">
        <f t="shared" si="118"/>
        <v>100</v>
      </c>
      <c r="M388" s="43">
        <f t="shared" si="119"/>
        <v>60</v>
      </c>
      <c r="N388" s="44">
        <f t="shared" si="120"/>
        <v>65</v>
      </c>
      <c r="O388" s="45">
        <f t="shared" si="121"/>
        <v>458</v>
      </c>
      <c r="P388" s="19">
        <f t="shared" si="122"/>
        <v>76.33</v>
      </c>
      <c r="Q388" s="177">
        <v>73</v>
      </c>
      <c r="R388" s="40">
        <v>100</v>
      </c>
      <c r="S388" s="41">
        <v>60</v>
      </c>
      <c r="T388" s="42">
        <v>100</v>
      </c>
      <c r="U388" s="43">
        <v>60</v>
      </c>
      <c r="V388" s="44">
        <v>65</v>
      </c>
      <c r="W388" s="45">
        <f t="shared" si="123"/>
        <v>458</v>
      </c>
      <c r="X388" s="19">
        <f t="shared" si="124"/>
        <v>76.33</v>
      </c>
      <c r="Y388" s="3">
        <v>73</v>
      </c>
      <c r="Z388" s="4">
        <v>100</v>
      </c>
      <c r="AA388" s="5">
        <v>60</v>
      </c>
      <c r="AB388" s="6">
        <v>100</v>
      </c>
      <c r="AC388" s="7">
        <v>60</v>
      </c>
      <c r="AD388" s="8">
        <v>65</v>
      </c>
      <c r="AE388" s="1">
        <v>458</v>
      </c>
      <c r="AF388" s="19">
        <v>76.33</v>
      </c>
      <c r="AG388" s="139">
        <v>73</v>
      </c>
      <c r="AH388" s="140">
        <v>100</v>
      </c>
      <c r="AI388" s="141">
        <v>60</v>
      </c>
      <c r="AJ388" s="142">
        <v>100</v>
      </c>
      <c r="AK388" s="143">
        <v>60</v>
      </c>
      <c r="AL388" s="144">
        <v>65</v>
      </c>
      <c r="AM388" s="138">
        <v>458</v>
      </c>
      <c r="AN388" s="153">
        <v>76.33</v>
      </c>
      <c r="AW388" s="45"/>
      <c r="AX388" s="174" t="b">
        <f>IF('Refined Compare'!$D$2="All",TRUE,IF(F388='Refined Compare'!$D$2,TRUE,IF(G388='Refined Compare'!$D$2,TRUE,FALSE)))</f>
        <v>0</v>
      </c>
      <c r="AY388" s="174" t="b">
        <f>IF('Refined Compare'!$D$3="All",TRUE,IF(F388='Refined Compare'!$D$3,TRUE,IF(G388='Refined Compare'!$D$3,TRUE,FALSE)))</f>
        <v>1</v>
      </c>
      <c r="AZ388" s="174" t="b">
        <f t="shared" si="125"/>
        <v>1</v>
      </c>
    </row>
    <row r="389" spans="1:52" x14ac:dyDescent="0.35">
      <c r="A389">
        <f t="shared" si="114"/>
        <v>388</v>
      </c>
      <c r="B389" s="18">
        <v>337</v>
      </c>
      <c r="C389" s="61">
        <v>3</v>
      </c>
      <c r="D389" s="118" t="b">
        <v>1</v>
      </c>
      <c r="E389" s="61"/>
      <c r="F389" s="66" t="s">
        <v>818</v>
      </c>
      <c r="G389" s="66" t="s">
        <v>817</v>
      </c>
      <c r="H389" s="2" t="s">
        <v>442</v>
      </c>
      <c r="I389" s="39">
        <f t="shared" si="115"/>
        <v>70</v>
      </c>
      <c r="J389" s="40">
        <f t="shared" si="116"/>
        <v>55</v>
      </c>
      <c r="K389" s="41">
        <f t="shared" si="117"/>
        <v>65</v>
      </c>
      <c r="L389" s="42">
        <f t="shared" si="118"/>
        <v>95</v>
      </c>
      <c r="M389" s="43">
        <f t="shared" si="119"/>
        <v>85</v>
      </c>
      <c r="N389" s="44">
        <f t="shared" si="120"/>
        <v>70</v>
      </c>
      <c r="O389" s="45">
        <f t="shared" si="121"/>
        <v>440</v>
      </c>
      <c r="P389" s="19">
        <f t="shared" si="122"/>
        <v>73.33</v>
      </c>
      <c r="Q389" s="177">
        <v>90</v>
      </c>
      <c r="R389" s="40">
        <v>55</v>
      </c>
      <c r="S389" s="41">
        <v>65</v>
      </c>
      <c r="T389" s="42">
        <v>95</v>
      </c>
      <c r="U389" s="43">
        <v>85</v>
      </c>
      <c r="V389" s="44">
        <v>70</v>
      </c>
      <c r="W389" s="45">
        <f t="shared" si="123"/>
        <v>460</v>
      </c>
      <c r="X389" s="19">
        <f t="shared" si="124"/>
        <v>76.67</v>
      </c>
      <c r="Y389" s="3">
        <v>70</v>
      </c>
      <c r="Z389" s="4">
        <v>55</v>
      </c>
      <c r="AA389" s="5">
        <v>65</v>
      </c>
      <c r="AB389" s="6">
        <v>95</v>
      </c>
      <c r="AC389" s="7">
        <v>85</v>
      </c>
      <c r="AD389" s="8">
        <v>70</v>
      </c>
      <c r="AE389" s="1">
        <v>440</v>
      </c>
      <c r="AF389" s="19">
        <v>73.33</v>
      </c>
      <c r="AG389" s="139">
        <v>70</v>
      </c>
      <c r="AH389" s="140">
        <v>55</v>
      </c>
      <c r="AI389" s="141">
        <v>65</v>
      </c>
      <c r="AJ389" s="142">
        <v>95</v>
      </c>
      <c r="AK389" s="143">
        <v>85</v>
      </c>
      <c r="AL389" s="144">
        <v>70</v>
      </c>
      <c r="AM389" s="138">
        <v>440</v>
      </c>
      <c r="AN389" s="153">
        <v>73.33</v>
      </c>
      <c r="AW389" s="45"/>
      <c r="AX389" s="174" t="b">
        <f>IF('Refined Compare'!$D$2="All",TRUE,IF(F389='Refined Compare'!$D$2,TRUE,IF(G389='Refined Compare'!$D$2,TRUE,FALSE)))</f>
        <v>0</v>
      </c>
      <c r="AY389" s="174" t="b">
        <f>IF('Refined Compare'!$D$3="All",TRUE,IF(F389='Refined Compare'!$D$3,TRUE,IF(G389='Refined Compare'!$D$3,TRUE,FALSE)))</f>
        <v>0</v>
      </c>
      <c r="AZ389" s="174" t="b">
        <f t="shared" si="125"/>
        <v>1</v>
      </c>
    </row>
    <row r="390" spans="1:52" x14ac:dyDescent="0.35">
      <c r="A390">
        <f t="shared" si="114"/>
        <v>389</v>
      </c>
      <c r="B390" s="18">
        <v>338</v>
      </c>
      <c r="C390" s="61">
        <v>3</v>
      </c>
      <c r="D390" s="118" t="b">
        <v>1</v>
      </c>
      <c r="E390" s="61"/>
      <c r="F390" s="66" t="s">
        <v>818</v>
      </c>
      <c r="G390" s="66" t="s">
        <v>817</v>
      </c>
      <c r="H390" s="2" t="s">
        <v>443</v>
      </c>
      <c r="I390" s="39">
        <f t="shared" si="115"/>
        <v>70</v>
      </c>
      <c r="J390" s="40">
        <f t="shared" si="116"/>
        <v>95</v>
      </c>
      <c r="K390" s="41">
        <f t="shared" si="117"/>
        <v>85</v>
      </c>
      <c r="L390" s="42">
        <f t="shared" si="118"/>
        <v>55</v>
      </c>
      <c r="M390" s="43">
        <f t="shared" si="119"/>
        <v>65</v>
      </c>
      <c r="N390" s="44">
        <f t="shared" si="120"/>
        <v>70</v>
      </c>
      <c r="O390" s="45">
        <f t="shared" si="121"/>
        <v>440</v>
      </c>
      <c r="P390" s="19">
        <f t="shared" si="122"/>
        <v>73.33</v>
      </c>
      <c r="Q390" s="177">
        <v>90</v>
      </c>
      <c r="R390" s="40">
        <v>95</v>
      </c>
      <c r="S390" s="41">
        <v>85</v>
      </c>
      <c r="T390" s="42">
        <v>55</v>
      </c>
      <c r="U390" s="43">
        <v>65</v>
      </c>
      <c r="V390" s="44">
        <v>70</v>
      </c>
      <c r="W390" s="45">
        <f t="shared" si="123"/>
        <v>460</v>
      </c>
      <c r="X390" s="19">
        <f t="shared" si="124"/>
        <v>76.67</v>
      </c>
      <c r="Y390" s="3">
        <v>70</v>
      </c>
      <c r="Z390" s="4">
        <v>95</v>
      </c>
      <c r="AA390" s="5">
        <v>85</v>
      </c>
      <c r="AB390" s="6">
        <v>55</v>
      </c>
      <c r="AC390" s="7">
        <v>65</v>
      </c>
      <c r="AD390" s="8">
        <v>70</v>
      </c>
      <c r="AE390" s="1">
        <v>440</v>
      </c>
      <c r="AF390" s="19">
        <v>73.33</v>
      </c>
      <c r="AG390" s="139">
        <v>70</v>
      </c>
      <c r="AH390" s="140">
        <v>95</v>
      </c>
      <c r="AI390" s="141">
        <v>85</v>
      </c>
      <c r="AJ390" s="142">
        <v>55</v>
      </c>
      <c r="AK390" s="143">
        <v>65</v>
      </c>
      <c r="AL390" s="144">
        <v>70</v>
      </c>
      <c r="AM390" s="138">
        <v>440</v>
      </c>
      <c r="AN390" s="153">
        <v>73.33</v>
      </c>
      <c r="AW390" s="45"/>
      <c r="AX390" s="174" t="b">
        <f>IF('Refined Compare'!$D$2="All",TRUE,IF(F390='Refined Compare'!$D$2,TRUE,IF(G390='Refined Compare'!$D$2,TRUE,FALSE)))</f>
        <v>0</v>
      </c>
      <c r="AY390" s="174" t="b">
        <f>IF('Refined Compare'!$D$3="All",TRUE,IF(F390='Refined Compare'!$D$3,TRUE,IF(G390='Refined Compare'!$D$3,TRUE,FALSE)))</f>
        <v>0</v>
      </c>
      <c r="AZ390" s="174" t="b">
        <f t="shared" si="125"/>
        <v>1</v>
      </c>
    </row>
    <row r="391" spans="1:52" x14ac:dyDescent="0.35">
      <c r="A391">
        <f t="shared" si="114"/>
        <v>390</v>
      </c>
      <c r="B391" s="18">
        <v>339</v>
      </c>
      <c r="C391" s="61">
        <v>3</v>
      </c>
      <c r="D391" s="61" t="b">
        <v>0</v>
      </c>
      <c r="E391" s="61"/>
      <c r="F391" s="66" t="s">
        <v>810</v>
      </c>
      <c r="G391" s="66" t="s">
        <v>814</v>
      </c>
      <c r="H391" s="38" t="s">
        <v>332</v>
      </c>
      <c r="I391" s="39">
        <f t="shared" si="115"/>
        <v>50</v>
      </c>
      <c r="J391" s="40">
        <f t="shared" si="116"/>
        <v>48</v>
      </c>
      <c r="K391" s="41">
        <f t="shared" si="117"/>
        <v>43</v>
      </c>
      <c r="L391" s="42">
        <f t="shared" si="118"/>
        <v>46</v>
      </c>
      <c r="M391" s="43">
        <f t="shared" si="119"/>
        <v>41</v>
      </c>
      <c r="N391" s="44">
        <f t="shared" si="120"/>
        <v>60</v>
      </c>
      <c r="O391" s="45">
        <f t="shared" si="121"/>
        <v>288</v>
      </c>
      <c r="P391" s="19">
        <f t="shared" si="122"/>
        <v>48</v>
      </c>
      <c r="Q391" s="177">
        <v>50</v>
      </c>
      <c r="R391" s="40">
        <v>48</v>
      </c>
      <c r="S391" s="41">
        <v>43</v>
      </c>
      <c r="T391" s="42">
        <v>46</v>
      </c>
      <c r="U391" s="43">
        <v>41</v>
      </c>
      <c r="V391" s="44">
        <v>60</v>
      </c>
      <c r="W391" s="45">
        <f t="shared" si="123"/>
        <v>288</v>
      </c>
      <c r="X391" s="19">
        <f t="shared" si="124"/>
        <v>48</v>
      </c>
      <c r="Y391" s="3">
        <v>50</v>
      </c>
      <c r="Z391" s="4">
        <v>48</v>
      </c>
      <c r="AA391" s="5">
        <v>43</v>
      </c>
      <c r="AB391" s="6">
        <v>46</v>
      </c>
      <c r="AC391" s="7">
        <v>41</v>
      </c>
      <c r="AD391" s="8">
        <v>60</v>
      </c>
      <c r="AE391" s="1">
        <v>288</v>
      </c>
      <c r="AF391" s="19">
        <v>48</v>
      </c>
      <c r="AG391" s="139">
        <v>50</v>
      </c>
      <c r="AH391" s="140">
        <v>48</v>
      </c>
      <c r="AI391" s="141">
        <v>43</v>
      </c>
      <c r="AJ391" s="142">
        <v>46</v>
      </c>
      <c r="AK391" s="143">
        <v>41</v>
      </c>
      <c r="AL391" s="144">
        <v>60</v>
      </c>
      <c r="AM391" s="138">
        <v>288</v>
      </c>
      <c r="AN391" s="153">
        <v>48</v>
      </c>
      <c r="AW391" s="45"/>
      <c r="AX391" s="174" t="b">
        <f>IF('Refined Compare'!$D$2="All",TRUE,IF(F391='Refined Compare'!$D$2,TRUE,IF(G391='Refined Compare'!$D$2,TRUE,FALSE)))</f>
        <v>0</v>
      </c>
      <c r="AY391" s="174" t="b">
        <f>IF('Refined Compare'!$D$3="All",TRUE,IF(F391='Refined Compare'!$D$3,TRUE,IF(G391='Refined Compare'!$D$3,TRUE,FALSE)))</f>
        <v>0</v>
      </c>
      <c r="AZ391" s="174" t="b">
        <f t="shared" si="125"/>
        <v>1</v>
      </c>
    </row>
    <row r="392" spans="1:52" x14ac:dyDescent="0.35">
      <c r="A392">
        <f t="shared" si="114"/>
        <v>391</v>
      </c>
      <c r="B392" s="18">
        <v>340</v>
      </c>
      <c r="C392" s="61">
        <v>3</v>
      </c>
      <c r="D392" s="118" t="b">
        <v>1</v>
      </c>
      <c r="E392" s="61"/>
      <c r="F392" s="66" t="s">
        <v>810</v>
      </c>
      <c r="G392" s="66" t="s">
        <v>814</v>
      </c>
      <c r="H392" s="38" t="s">
        <v>333</v>
      </c>
      <c r="I392" s="39">
        <f t="shared" si="115"/>
        <v>110</v>
      </c>
      <c r="J392" s="40">
        <f t="shared" si="116"/>
        <v>78</v>
      </c>
      <c r="K392" s="41">
        <f t="shared" si="117"/>
        <v>73</v>
      </c>
      <c r="L392" s="42">
        <f t="shared" si="118"/>
        <v>76</v>
      </c>
      <c r="M392" s="43">
        <f t="shared" si="119"/>
        <v>71</v>
      </c>
      <c r="N392" s="44">
        <f t="shared" si="120"/>
        <v>60</v>
      </c>
      <c r="O392" s="45">
        <f t="shared" si="121"/>
        <v>468</v>
      </c>
      <c r="P392" s="19">
        <f t="shared" si="122"/>
        <v>78</v>
      </c>
      <c r="Q392" s="177">
        <v>110</v>
      </c>
      <c r="R392" s="40">
        <v>78</v>
      </c>
      <c r="S392" s="41">
        <v>73</v>
      </c>
      <c r="T392" s="42">
        <v>76</v>
      </c>
      <c r="U392" s="43">
        <v>71</v>
      </c>
      <c r="V392" s="44">
        <v>60</v>
      </c>
      <c r="W392" s="45">
        <f t="shared" si="123"/>
        <v>468</v>
      </c>
      <c r="X392" s="19">
        <f t="shared" si="124"/>
        <v>78</v>
      </c>
      <c r="Y392" s="3">
        <v>110</v>
      </c>
      <c r="Z392" s="4">
        <v>78</v>
      </c>
      <c r="AA392" s="5">
        <v>73</v>
      </c>
      <c r="AB392" s="6">
        <v>76</v>
      </c>
      <c r="AC392" s="7">
        <v>71</v>
      </c>
      <c r="AD392" s="8">
        <v>60</v>
      </c>
      <c r="AE392" s="1">
        <v>468</v>
      </c>
      <c r="AF392" s="19">
        <v>78</v>
      </c>
      <c r="AG392" s="139">
        <v>110</v>
      </c>
      <c r="AH392" s="140">
        <v>78</v>
      </c>
      <c r="AI392" s="141">
        <v>73</v>
      </c>
      <c r="AJ392" s="142">
        <v>76</v>
      </c>
      <c r="AK392" s="143">
        <v>71</v>
      </c>
      <c r="AL392" s="144">
        <v>60</v>
      </c>
      <c r="AM392" s="138">
        <v>468</v>
      </c>
      <c r="AN392" s="153">
        <v>78</v>
      </c>
      <c r="AW392" s="45"/>
      <c r="AX392" s="174" t="b">
        <f>IF('Refined Compare'!$D$2="All",TRUE,IF(F392='Refined Compare'!$D$2,TRUE,IF(G392='Refined Compare'!$D$2,TRUE,FALSE)))</f>
        <v>0</v>
      </c>
      <c r="AY392" s="174" t="b">
        <f>IF('Refined Compare'!$D$3="All",TRUE,IF(F392='Refined Compare'!$D$3,TRUE,IF(G392='Refined Compare'!$D$3,TRUE,FALSE)))</f>
        <v>0</v>
      </c>
      <c r="AZ392" s="174" t="b">
        <f t="shared" si="125"/>
        <v>1</v>
      </c>
    </row>
    <row r="393" spans="1:52" x14ac:dyDescent="0.35">
      <c r="A393">
        <f t="shared" si="114"/>
        <v>392</v>
      </c>
      <c r="B393" s="18">
        <v>341</v>
      </c>
      <c r="C393" s="61">
        <v>3</v>
      </c>
      <c r="D393" s="61" t="b">
        <v>0</v>
      </c>
      <c r="E393" s="61"/>
      <c r="F393" s="66" t="s">
        <v>810</v>
      </c>
      <c r="G393" s="66" t="s">
        <v>827</v>
      </c>
      <c r="H393" s="38" t="s">
        <v>110</v>
      </c>
      <c r="I393" s="39">
        <f t="shared" si="115"/>
        <v>43</v>
      </c>
      <c r="J393" s="40">
        <f t="shared" si="116"/>
        <v>80</v>
      </c>
      <c r="K393" s="41">
        <f t="shared" si="117"/>
        <v>65</v>
      </c>
      <c r="L393" s="42">
        <f t="shared" si="118"/>
        <v>50</v>
      </c>
      <c r="M393" s="43">
        <f t="shared" si="119"/>
        <v>35</v>
      </c>
      <c r="N393" s="44">
        <f t="shared" si="120"/>
        <v>35</v>
      </c>
      <c r="O393" s="45">
        <f t="shared" si="121"/>
        <v>308</v>
      </c>
      <c r="P393" s="19">
        <f t="shared" si="122"/>
        <v>51.33</v>
      </c>
      <c r="Q393" s="177">
        <v>43</v>
      </c>
      <c r="R393" s="40">
        <v>80</v>
      </c>
      <c r="S393" s="41">
        <v>65</v>
      </c>
      <c r="T393" s="42">
        <v>50</v>
      </c>
      <c r="U393" s="43">
        <v>35</v>
      </c>
      <c r="V393" s="44">
        <v>35</v>
      </c>
      <c r="W393" s="45">
        <f t="shared" si="123"/>
        <v>308</v>
      </c>
      <c r="X393" s="19">
        <f t="shared" si="124"/>
        <v>51.33</v>
      </c>
      <c r="Y393" s="3">
        <v>43</v>
      </c>
      <c r="Z393" s="4">
        <v>80</v>
      </c>
      <c r="AA393" s="5">
        <v>65</v>
      </c>
      <c r="AB393" s="6">
        <v>50</v>
      </c>
      <c r="AC393" s="7">
        <v>35</v>
      </c>
      <c r="AD393" s="8">
        <v>35</v>
      </c>
      <c r="AE393" s="1">
        <v>308</v>
      </c>
      <c r="AF393" s="19">
        <v>51.33</v>
      </c>
      <c r="AG393" s="139">
        <v>43</v>
      </c>
      <c r="AH393" s="140">
        <v>80</v>
      </c>
      <c r="AI393" s="141">
        <v>65</v>
      </c>
      <c r="AJ393" s="142">
        <v>50</v>
      </c>
      <c r="AK393" s="143">
        <v>35</v>
      </c>
      <c r="AL393" s="144">
        <v>35</v>
      </c>
      <c r="AM393" s="138">
        <v>308</v>
      </c>
      <c r="AN393" s="153">
        <v>51.33</v>
      </c>
      <c r="AW393" s="45"/>
      <c r="AX393" s="174" t="b">
        <f>IF('Refined Compare'!$D$2="All",TRUE,IF(F393='Refined Compare'!$D$2,TRUE,IF(G393='Refined Compare'!$D$2,TRUE,FALSE)))</f>
        <v>0</v>
      </c>
      <c r="AY393" s="174" t="b">
        <f>IF('Refined Compare'!$D$3="All",TRUE,IF(F393='Refined Compare'!$D$3,TRUE,IF(G393='Refined Compare'!$D$3,TRUE,FALSE)))</f>
        <v>1</v>
      </c>
      <c r="AZ393" s="174" t="b">
        <f t="shared" si="125"/>
        <v>1</v>
      </c>
    </row>
    <row r="394" spans="1:52" x14ac:dyDescent="0.35">
      <c r="A394">
        <f t="shared" si="114"/>
        <v>393</v>
      </c>
      <c r="B394" s="18">
        <v>342</v>
      </c>
      <c r="C394" s="61">
        <v>3</v>
      </c>
      <c r="D394" s="118" t="b">
        <v>1</v>
      </c>
      <c r="E394" s="61"/>
      <c r="F394" s="66" t="s">
        <v>810</v>
      </c>
      <c r="G394" s="66" t="s">
        <v>823</v>
      </c>
      <c r="H394" s="38" t="s">
        <v>280</v>
      </c>
      <c r="I394" s="39">
        <f t="shared" si="115"/>
        <v>63</v>
      </c>
      <c r="J394" s="40">
        <f t="shared" si="116"/>
        <v>120</v>
      </c>
      <c r="K394" s="41">
        <f t="shared" si="117"/>
        <v>85</v>
      </c>
      <c r="L394" s="42">
        <f t="shared" si="118"/>
        <v>90</v>
      </c>
      <c r="M394" s="43">
        <f t="shared" si="119"/>
        <v>55</v>
      </c>
      <c r="N394" s="44">
        <f t="shared" si="120"/>
        <v>55</v>
      </c>
      <c r="O394" s="45">
        <f t="shared" si="121"/>
        <v>468</v>
      </c>
      <c r="P394" s="19">
        <f t="shared" si="122"/>
        <v>78</v>
      </c>
      <c r="Q394" s="177">
        <v>63</v>
      </c>
      <c r="R394" s="40">
        <v>120</v>
      </c>
      <c r="S394" s="41">
        <v>85</v>
      </c>
      <c r="T394" s="42">
        <v>90</v>
      </c>
      <c r="U394" s="43">
        <v>55</v>
      </c>
      <c r="V394" s="44">
        <v>55</v>
      </c>
      <c r="W394" s="45">
        <f t="shared" si="123"/>
        <v>468</v>
      </c>
      <c r="X394" s="19">
        <f t="shared" si="124"/>
        <v>78</v>
      </c>
      <c r="Y394" s="3">
        <v>63</v>
      </c>
      <c r="Z394" s="4">
        <v>120</v>
      </c>
      <c r="AA394" s="5">
        <v>85</v>
      </c>
      <c r="AB394" s="6">
        <v>90</v>
      </c>
      <c r="AC394" s="7">
        <v>55</v>
      </c>
      <c r="AD394" s="8">
        <v>55</v>
      </c>
      <c r="AE394" s="1">
        <v>468</v>
      </c>
      <c r="AF394" s="19">
        <v>78</v>
      </c>
      <c r="AG394" s="139">
        <v>63</v>
      </c>
      <c r="AH394" s="140">
        <v>120</v>
      </c>
      <c r="AI394" s="141">
        <v>85</v>
      </c>
      <c r="AJ394" s="142">
        <v>90</v>
      </c>
      <c r="AK394" s="143">
        <v>55</v>
      </c>
      <c r="AL394" s="144">
        <v>55</v>
      </c>
      <c r="AM394" s="138">
        <v>468</v>
      </c>
      <c r="AN394" s="153">
        <v>78</v>
      </c>
      <c r="AW394" s="45"/>
      <c r="AX394" s="174" t="b">
        <f>IF('Refined Compare'!$D$2="All",TRUE,IF(F394='Refined Compare'!$D$2,TRUE,IF(G394='Refined Compare'!$D$2,TRUE,FALSE)))</f>
        <v>1</v>
      </c>
      <c r="AY394" s="174" t="b">
        <f>IF('Refined Compare'!$D$3="All",TRUE,IF(F394='Refined Compare'!$D$3,TRUE,IF(G394='Refined Compare'!$D$3,TRUE,FALSE)))</f>
        <v>0</v>
      </c>
      <c r="AZ394" s="174" t="b">
        <f t="shared" si="125"/>
        <v>1</v>
      </c>
    </row>
    <row r="395" spans="1:52" x14ac:dyDescent="0.35">
      <c r="A395">
        <f t="shared" si="114"/>
        <v>394</v>
      </c>
      <c r="B395" s="18">
        <v>343</v>
      </c>
      <c r="C395" s="61">
        <v>3</v>
      </c>
      <c r="D395" s="61" t="b">
        <v>0</v>
      </c>
      <c r="E395" s="61"/>
      <c r="F395" s="66" t="s">
        <v>814</v>
      </c>
      <c r="G395" s="66" t="s">
        <v>817</v>
      </c>
      <c r="H395" s="38" t="s">
        <v>281</v>
      </c>
      <c r="I395" s="39">
        <f t="shared" si="115"/>
        <v>40</v>
      </c>
      <c r="J395" s="40">
        <f t="shared" si="116"/>
        <v>40</v>
      </c>
      <c r="K395" s="41">
        <f t="shared" si="117"/>
        <v>55</v>
      </c>
      <c r="L395" s="42">
        <f t="shared" si="118"/>
        <v>40</v>
      </c>
      <c r="M395" s="43">
        <f t="shared" si="119"/>
        <v>70</v>
      </c>
      <c r="N395" s="44">
        <f t="shared" si="120"/>
        <v>55</v>
      </c>
      <c r="O395" s="45">
        <f t="shared" si="121"/>
        <v>300</v>
      </c>
      <c r="P395" s="19">
        <f t="shared" si="122"/>
        <v>50</v>
      </c>
      <c r="Q395" s="177">
        <v>40</v>
      </c>
      <c r="R395" s="40">
        <v>40</v>
      </c>
      <c r="S395" s="41">
        <v>55</v>
      </c>
      <c r="T395" s="42">
        <v>40</v>
      </c>
      <c r="U395" s="43">
        <v>70</v>
      </c>
      <c r="V395" s="44">
        <v>55</v>
      </c>
      <c r="W395" s="45">
        <f t="shared" si="123"/>
        <v>300</v>
      </c>
      <c r="X395" s="19">
        <f t="shared" si="124"/>
        <v>50</v>
      </c>
      <c r="Y395" s="3">
        <v>40</v>
      </c>
      <c r="Z395" s="4">
        <v>40</v>
      </c>
      <c r="AA395" s="5">
        <v>55</v>
      </c>
      <c r="AB395" s="6">
        <v>40</v>
      </c>
      <c r="AC395" s="7">
        <v>70</v>
      </c>
      <c r="AD395" s="8">
        <v>55</v>
      </c>
      <c r="AE395" s="1">
        <v>300</v>
      </c>
      <c r="AF395" s="19">
        <v>50</v>
      </c>
      <c r="AG395" s="139">
        <v>40</v>
      </c>
      <c r="AH395" s="140">
        <v>40</v>
      </c>
      <c r="AI395" s="141">
        <v>55</v>
      </c>
      <c r="AJ395" s="142">
        <v>40</v>
      </c>
      <c r="AK395" s="143">
        <v>70</v>
      </c>
      <c r="AL395" s="144">
        <v>55</v>
      </c>
      <c r="AM395" s="138">
        <v>300</v>
      </c>
      <c r="AN395" s="153">
        <v>50</v>
      </c>
      <c r="AW395" s="45"/>
      <c r="AX395" s="174" t="b">
        <f>IF('Refined Compare'!$D$2="All",TRUE,IF(F395='Refined Compare'!$D$2,TRUE,IF(G395='Refined Compare'!$D$2,TRUE,FALSE)))</f>
        <v>0</v>
      </c>
      <c r="AY395" s="174" t="b">
        <f>IF('Refined Compare'!$D$3="All",TRUE,IF(F395='Refined Compare'!$D$3,TRUE,IF(G395='Refined Compare'!$D$3,TRUE,FALSE)))</f>
        <v>0</v>
      </c>
      <c r="AZ395" s="174" t="b">
        <f t="shared" si="125"/>
        <v>1</v>
      </c>
    </row>
    <row r="396" spans="1:52" x14ac:dyDescent="0.35">
      <c r="A396">
        <f t="shared" si="114"/>
        <v>395</v>
      </c>
      <c r="B396" s="18">
        <v>344</v>
      </c>
      <c r="C396" s="61">
        <v>3</v>
      </c>
      <c r="D396" s="118" t="b">
        <v>1</v>
      </c>
      <c r="E396" s="61"/>
      <c r="F396" s="66" t="s">
        <v>814</v>
      </c>
      <c r="G396" s="66" t="s">
        <v>817</v>
      </c>
      <c r="H396" s="38" t="s">
        <v>477</v>
      </c>
      <c r="I396" s="39">
        <f t="shared" si="115"/>
        <v>60</v>
      </c>
      <c r="J396" s="40">
        <f t="shared" si="116"/>
        <v>70</v>
      </c>
      <c r="K396" s="41">
        <f t="shared" si="117"/>
        <v>105</v>
      </c>
      <c r="L396" s="42">
        <f t="shared" si="118"/>
        <v>70</v>
      </c>
      <c r="M396" s="43">
        <f t="shared" si="119"/>
        <v>120</v>
      </c>
      <c r="N396" s="44">
        <f t="shared" si="120"/>
        <v>75</v>
      </c>
      <c r="O396" s="45">
        <f t="shared" si="121"/>
        <v>500</v>
      </c>
      <c r="P396" s="19">
        <f t="shared" si="122"/>
        <v>83.33</v>
      </c>
      <c r="Q396" s="177">
        <v>60</v>
      </c>
      <c r="R396" s="40">
        <v>70</v>
      </c>
      <c r="S396" s="41">
        <v>105</v>
      </c>
      <c r="T396" s="42">
        <v>70</v>
      </c>
      <c r="U396" s="43">
        <v>120</v>
      </c>
      <c r="V396" s="44">
        <v>75</v>
      </c>
      <c r="W396" s="45">
        <f t="shared" si="123"/>
        <v>500</v>
      </c>
      <c r="X396" s="19">
        <f t="shared" si="124"/>
        <v>83.33</v>
      </c>
      <c r="Y396" s="3">
        <v>60</v>
      </c>
      <c r="Z396" s="4">
        <v>70</v>
      </c>
      <c r="AA396" s="5">
        <v>105</v>
      </c>
      <c r="AB396" s="6">
        <v>70</v>
      </c>
      <c r="AC396" s="7">
        <v>120</v>
      </c>
      <c r="AD396" s="8">
        <v>75</v>
      </c>
      <c r="AE396" s="1">
        <v>500</v>
      </c>
      <c r="AF396" s="19">
        <v>83.33</v>
      </c>
      <c r="AG396" s="139">
        <v>60</v>
      </c>
      <c r="AH396" s="140">
        <v>70</v>
      </c>
      <c r="AI396" s="141">
        <v>105</v>
      </c>
      <c r="AJ396" s="142">
        <v>70</v>
      </c>
      <c r="AK396" s="143">
        <v>120</v>
      </c>
      <c r="AL396" s="144">
        <v>75</v>
      </c>
      <c r="AM396" s="138">
        <v>500</v>
      </c>
      <c r="AN396" s="153">
        <v>83.33</v>
      </c>
      <c r="AW396" s="45"/>
      <c r="AX396" s="174" t="b">
        <f>IF('Refined Compare'!$D$2="All",TRUE,IF(F396='Refined Compare'!$D$2,TRUE,IF(G396='Refined Compare'!$D$2,TRUE,FALSE)))</f>
        <v>0</v>
      </c>
      <c r="AY396" s="174" t="b">
        <f>IF('Refined Compare'!$D$3="All",TRUE,IF(F396='Refined Compare'!$D$3,TRUE,IF(G396='Refined Compare'!$D$3,TRUE,FALSE)))</f>
        <v>0</v>
      </c>
      <c r="AZ396" s="174" t="b">
        <f t="shared" si="125"/>
        <v>1</v>
      </c>
    </row>
    <row r="397" spans="1:52" x14ac:dyDescent="0.35">
      <c r="A397">
        <f t="shared" si="114"/>
        <v>396</v>
      </c>
      <c r="B397" s="18">
        <v>345</v>
      </c>
      <c r="C397" s="61">
        <v>3</v>
      </c>
      <c r="D397" s="61" t="b">
        <v>0</v>
      </c>
      <c r="E397" s="61"/>
      <c r="F397" s="66" t="s">
        <v>818</v>
      </c>
      <c r="G397" s="66" t="s">
        <v>806</v>
      </c>
      <c r="H397" s="38" t="s">
        <v>30</v>
      </c>
      <c r="I397" s="39">
        <f t="shared" si="115"/>
        <v>66</v>
      </c>
      <c r="J397" s="40">
        <f t="shared" si="116"/>
        <v>41</v>
      </c>
      <c r="K397" s="41">
        <f t="shared" si="117"/>
        <v>77</v>
      </c>
      <c r="L397" s="42">
        <f t="shared" si="118"/>
        <v>61</v>
      </c>
      <c r="M397" s="43">
        <f t="shared" si="119"/>
        <v>87</v>
      </c>
      <c r="N397" s="44">
        <f t="shared" si="120"/>
        <v>23</v>
      </c>
      <c r="O397" s="45">
        <f t="shared" si="121"/>
        <v>355</v>
      </c>
      <c r="P397" s="19">
        <f t="shared" si="122"/>
        <v>59.17</v>
      </c>
      <c r="Q397" s="177">
        <v>66</v>
      </c>
      <c r="R397" s="40">
        <v>41</v>
      </c>
      <c r="S397" s="41">
        <v>77</v>
      </c>
      <c r="T397" s="42">
        <v>61</v>
      </c>
      <c r="U397" s="43">
        <v>87</v>
      </c>
      <c r="V397" s="44">
        <v>23</v>
      </c>
      <c r="W397" s="45">
        <f t="shared" si="123"/>
        <v>355</v>
      </c>
      <c r="X397" s="19">
        <f t="shared" si="124"/>
        <v>59.17</v>
      </c>
      <c r="Y397" s="3">
        <v>66</v>
      </c>
      <c r="Z397" s="4">
        <v>41</v>
      </c>
      <c r="AA397" s="5">
        <v>77</v>
      </c>
      <c r="AB397" s="6">
        <v>61</v>
      </c>
      <c r="AC397" s="7">
        <v>87</v>
      </c>
      <c r="AD397" s="8">
        <v>23</v>
      </c>
      <c r="AE397" s="1">
        <v>355</v>
      </c>
      <c r="AF397" s="19">
        <v>59.17</v>
      </c>
      <c r="AG397" s="139">
        <v>66</v>
      </c>
      <c r="AH397" s="140">
        <v>41</v>
      </c>
      <c r="AI397" s="141">
        <v>77</v>
      </c>
      <c r="AJ397" s="142">
        <v>61</v>
      </c>
      <c r="AK397" s="143">
        <v>87</v>
      </c>
      <c r="AL397" s="144">
        <v>23</v>
      </c>
      <c r="AM397" s="138">
        <v>355</v>
      </c>
      <c r="AN397" s="153">
        <v>59.17</v>
      </c>
      <c r="AW397" s="45"/>
      <c r="AX397" s="174" t="b">
        <f>IF('Refined Compare'!$D$2="All",TRUE,IF(F397='Refined Compare'!$D$2,TRUE,IF(G397='Refined Compare'!$D$2,TRUE,FALSE)))</f>
        <v>0</v>
      </c>
      <c r="AY397" s="174" t="b">
        <f>IF('Refined Compare'!$D$3="All",TRUE,IF(F397='Refined Compare'!$D$3,TRUE,IF(G397='Refined Compare'!$D$3,TRUE,FALSE)))</f>
        <v>0</v>
      </c>
      <c r="AZ397" s="174" t="b">
        <f t="shared" si="125"/>
        <v>1</v>
      </c>
    </row>
    <row r="398" spans="1:52" x14ac:dyDescent="0.35">
      <c r="A398">
        <f t="shared" si="114"/>
        <v>397</v>
      </c>
      <c r="B398" s="18">
        <v>346</v>
      </c>
      <c r="C398" s="61">
        <v>3</v>
      </c>
      <c r="D398" s="118" t="b">
        <v>1</v>
      </c>
      <c r="E398" s="61"/>
      <c r="F398" s="66" t="s">
        <v>818</v>
      </c>
      <c r="G398" s="66" t="s">
        <v>806</v>
      </c>
      <c r="H398" s="38" t="s">
        <v>165</v>
      </c>
      <c r="I398" s="39">
        <f t="shared" si="115"/>
        <v>86</v>
      </c>
      <c r="J398" s="40">
        <f t="shared" si="116"/>
        <v>81</v>
      </c>
      <c r="K398" s="41">
        <f t="shared" si="117"/>
        <v>97</v>
      </c>
      <c r="L398" s="42">
        <f t="shared" si="118"/>
        <v>81</v>
      </c>
      <c r="M398" s="43">
        <f t="shared" si="119"/>
        <v>107</v>
      </c>
      <c r="N398" s="44">
        <f t="shared" si="120"/>
        <v>43</v>
      </c>
      <c r="O398" s="45">
        <f t="shared" si="121"/>
        <v>495</v>
      </c>
      <c r="P398" s="19">
        <f t="shared" si="122"/>
        <v>82.5</v>
      </c>
      <c r="Q398" s="177">
        <v>86</v>
      </c>
      <c r="R398" s="40">
        <v>81</v>
      </c>
      <c r="S398" s="41">
        <v>97</v>
      </c>
      <c r="T398" s="42">
        <v>81</v>
      </c>
      <c r="U398" s="43">
        <v>107</v>
      </c>
      <c r="V398" s="44">
        <v>43</v>
      </c>
      <c r="W398" s="45">
        <f t="shared" si="123"/>
        <v>495</v>
      </c>
      <c r="X398" s="19">
        <f t="shared" si="124"/>
        <v>82.5</v>
      </c>
      <c r="Y398" s="3">
        <v>86</v>
      </c>
      <c r="Z398" s="4">
        <v>81</v>
      </c>
      <c r="AA398" s="5">
        <v>97</v>
      </c>
      <c r="AB398" s="6">
        <v>81</v>
      </c>
      <c r="AC398" s="7">
        <v>107</v>
      </c>
      <c r="AD398" s="8">
        <v>43</v>
      </c>
      <c r="AE398" s="1">
        <v>495</v>
      </c>
      <c r="AF398" s="19">
        <v>82.5</v>
      </c>
      <c r="AG398" s="139">
        <v>86</v>
      </c>
      <c r="AH398" s="140">
        <v>81</v>
      </c>
      <c r="AI398" s="141">
        <v>97</v>
      </c>
      <c r="AJ398" s="142">
        <v>81</v>
      </c>
      <c r="AK398" s="143">
        <v>107</v>
      </c>
      <c r="AL398" s="144">
        <v>43</v>
      </c>
      <c r="AM398" s="138">
        <v>495</v>
      </c>
      <c r="AN398" s="153">
        <v>82.5</v>
      </c>
      <c r="AW398" s="45"/>
      <c r="AX398" s="174" t="b">
        <f>IF('Refined Compare'!$D$2="All",TRUE,IF(F398='Refined Compare'!$D$2,TRUE,IF(G398='Refined Compare'!$D$2,TRUE,FALSE)))</f>
        <v>0</v>
      </c>
      <c r="AY398" s="174" t="b">
        <f>IF('Refined Compare'!$D$3="All",TRUE,IF(F398='Refined Compare'!$D$3,TRUE,IF(G398='Refined Compare'!$D$3,TRUE,FALSE)))</f>
        <v>0</v>
      </c>
      <c r="AZ398" s="174" t="b">
        <f t="shared" si="125"/>
        <v>1</v>
      </c>
    </row>
    <row r="399" spans="1:52" x14ac:dyDescent="0.35">
      <c r="A399">
        <f t="shared" ref="A399:A462" si="126">A398+1</f>
        <v>398</v>
      </c>
      <c r="B399" s="18">
        <v>347</v>
      </c>
      <c r="C399" s="61">
        <v>3</v>
      </c>
      <c r="D399" s="61" t="b">
        <v>0</v>
      </c>
      <c r="E399" s="61"/>
      <c r="F399" s="66" t="s">
        <v>818</v>
      </c>
      <c r="G399" s="66" t="s">
        <v>811</v>
      </c>
      <c r="H399" s="38" t="s">
        <v>478</v>
      </c>
      <c r="I399" s="39">
        <f t="shared" si="115"/>
        <v>45</v>
      </c>
      <c r="J399" s="40">
        <f t="shared" si="116"/>
        <v>95</v>
      </c>
      <c r="K399" s="41">
        <f t="shared" si="117"/>
        <v>50</v>
      </c>
      <c r="L399" s="42">
        <f t="shared" si="118"/>
        <v>40</v>
      </c>
      <c r="M399" s="43">
        <f t="shared" si="119"/>
        <v>50</v>
      </c>
      <c r="N399" s="44">
        <f t="shared" si="120"/>
        <v>75</v>
      </c>
      <c r="O399" s="45">
        <f t="shared" si="121"/>
        <v>355</v>
      </c>
      <c r="P399" s="19">
        <f t="shared" si="122"/>
        <v>59.17</v>
      </c>
      <c r="Q399" s="177">
        <v>45</v>
      </c>
      <c r="R399" s="40">
        <v>95</v>
      </c>
      <c r="S399" s="41">
        <v>50</v>
      </c>
      <c r="T399" s="42">
        <v>40</v>
      </c>
      <c r="U399" s="43">
        <v>50</v>
      </c>
      <c r="V399" s="44">
        <v>75</v>
      </c>
      <c r="W399" s="45">
        <f t="shared" si="123"/>
        <v>355</v>
      </c>
      <c r="X399" s="19">
        <f t="shared" si="124"/>
        <v>59.17</v>
      </c>
      <c r="Y399" s="3">
        <v>45</v>
      </c>
      <c r="Z399" s="4">
        <v>95</v>
      </c>
      <c r="AA399" s="5">
        <v>50</v>
      </c>
      <c r="AB399" s="6">
        <v>40</v>
      </c>
      <c r="AC399" s="7">
        <v>50</v>
      </c>
      <c r="AD399" s="8">
        <v>75</v>
      </c>
      <c r="AE399" s="1">
        <v>355</v>
      </c>
      <c r="AF399" s="19">
        <v>59.17</v>
      </c>
      <c r="AG399" s="139">
        <v>45</v>
      </c>
      <c r="AH399" s="140">
        <v>95</v>
      </c>
      <c r="AI399" s="141">
        <v>50</v>
      </c>
      <c r="AJ399" s="142">
        <v>40</v>
      </c>
      <c r="AK399" s="143">
        <v>50</v>
      </c>
      <c r="AL399" s="144">
        <v>75</v>
      </c>
      <c r="AM399" s="138">
        <v>355</v>
      </c>
      <c r="AN399" s="153">
        <v>59.17</v>
      </c>
      <c r="AW399" s="45"/>
      <c r="AX399" s="174" t="b">
        <f>IF('Refined Compare'!$D$2="All",TRUE,IF(F399='Refined Compare'!$D$2,TRUE,IF(G399='Refined Compare'!$D$2,TRUE,FALSE)))</f>
        <v>0</v>
      </c>
      <c r="AY399" s="174" t="b">
        <f>IF('Refined Compare'!$D$3="All",TRUE,IF(F399='Refined Compare'!$D$3,TRUE,IF(G399='Refined Compare'!$D$3,TRUE,FALSE)))</f>
        <v>0</v>
      </c>
      <c r="AZ399" s="174" t="b">
        <f t="shared" si="125"/>
        <v>1</v>
      </c>
    </row>
    <row r="400" spans="1:52" x14ac:dyDescent="0.35">
      <c r="A400">
        <f t="shared" si="126"/>
        <v>399</v>
      </c>
      <c r="B400" s="18">
        <v>348</v>
      </c>
      <c r="C400" s="61">
        <v>3</v>
      </c>
      <c r="D400" s="118" t="b">
        <v>1</v>
      </c>
      <c r="E400" s="61"/>
      <c r="F400" s="66" t="s">
        <v>818</v>
      </c>
      <c r="G400" s="66" t="s">
        <v>811</v>
      </c>
      <c r="H400" s="38" t="s">
        <v>187</v>
      </c>
      <c r="I400" s="39">
        <f t="shared" si="115"/>
        <v>75</v>
      </c>
      <c r="J400" s="40">
        <f t="shared" si="116"/>
        <v>125</v>
      </c>
      <c r="K400" s="41">
        <f t="shared" si="117"/>
        <v>100</v>
      </c>
      <c r="L400" s="42">
        <f t="shared" si="118"/>
        <v>70</v>
      </c>
      <c r="M400" s="43">
        <f t="shared" si="119"/>
        <v>80</v>
      </c>
      <c r="N400" s="44">
        <f t="shared" si="120"/>
        <v>45</v>
      </c>
      <c r="O400" s="45">
        <f t="shared" si="121"/>
        <v>495</v>
      </c>
      <c r="P400" s="19">
        <f t="shared" si="122"/>
        <v>82.5</v>
      </c>
      <c r="Q400" s="177">
        <v>75</v>
      </c>
      <c r="R400" s="40">
        <v>125</v>
      </c>
      <c r="S400" s="41">
        <v>100</v>
      </c>
      <c r="T400" s="42">
        <v>70</v>
      </c>
      <c r="U400" s="43">
        <v>80</v>
      </c>
      <c r="V400" s="44">
        <v>45</v>
      </c>
      <c r="W400" s="45">
        <f t="shared" si="123"/>
        <v>495</v>
      </c>
      <c r="X400" s="19">
        <f t="shared" si="124"/>
        <v>82.5</v>
      </c>
      <c r="Y400" s="3">
        <v>75</v>
      </c>
      <c r="Z400" s="4">
        <v>125</v>
      </c>
      <c r="AA400" s="5">
        <v>100</v>
      </c>
      <c r="AB400" s="6">
        <v>70</v>
      </c>
      <c r="AC400" s="7">
        <v>80</v>
      </c>
      <c r="AD400" s="8">
        <v>45</v>
      </c>
      <c r="AE400" s="1">
        <v>495</v>
      </c>
      <c r="AF400" s="19">
        <v>82.5</v>
      </c>
      <c r="AG400" s="139">
        <v>75</v>
      </c>
      <c r="AH400" s="140">
        <v>125</v>
      </c>
      <c r="AI400" s="141">
        <v>100</v>
      </c>
      <c r="AJ400" s="142">
        <v>70</v>
      </c>
      <c r="AK400" s="143">
        <v>80</v>
      </c>
      <c r="AL400" s="144">
        <v>45</v>
      </c>
      <c r="AM400" s="138">
        <v>495</v>
      </c>
      <c r="AN400" s="153">
        <v>82.5</v>
      </c>
      <c r="AW400" s="45"/>
      <c r="AX400" s="174" t="b">
        <f>IF('Refined Compare'!$D$2="All",TRUE,IF(F400='Refined Compare'!$D$2,TRUE,IF(G400='Refined Compare'!$D$2,TRUE,FALSE)))</f>
        <v>0</v>
      </c>
      <c r="AY400" s="174" t="b">
        <f>IF('Refined Compare'!$D$3="All",TRUE,IF(F400='Refined Compare'!$D$3,TRUE,IF(G400='Refined Compare'!$D$3,TRUE,FALSE)))</f>
        <v>0</v>
      </c>
      <c r="AZ400" s="174" t="b">
        <f t="shared" si="125"/>
        <v>1</v>
      </c>
    </row>
    <row r="401" spans="1:52" x14ac:dyDescent="0.35">
      <c r="A401">
        <f t="shared" si="126"/>
        <v>400</v>
      </c>
      <c r="B401" s="18">
        <v>349</v>
      </c>
      <c r="C401" s="61">
        <v>3</v>
      </c>
      <c r="D401" s="61" t="b">
        <v>0</v>
      </c>
      <c r="E401" s="61"/>
      <c r="F401" s="66" t="s">
        <v>810</v>
      </c>
      <c r="G401" s="66" t="s">
        <v>827</v>
      </c>
      <c r="H401" s="38" t="s">
        <v>514</v>
      </c>
      <c r="I401" s="39">
        <f t="shared" si="115"/>
        <v>20</v>
      </c>
      <c r="J401" s="40">
        <f t="shared" si="116"/>
        <v>15</v>
      </c>
      <c r="K401" s="41">
        <f t="shared" si="117"/>
        <v>20</v>
      </c>
      <c r="L401" s="42">
        <f t="shared" si="118"/>
        <v>10</v>
      </c>
      <c r="M401" s="43">
        <f t="shared" si="119"/>
        <v>55</v>
      </c>
      <c r="N401" s="44">
        <f t="shared" si="120"/>
        <v>80</v>
      </c>
      <c r="O401" s="45">
        <f t="shared" si="121"/>
        <v>200</v>
      </c>
      <c r="P401" s="19">
        <f t="shared" si="122"/>
        <v>33.33</v>
      </c>
      <c r="Q401" s="177">
        <v>20</v>
      </c>
      <c r="R401" s="40">
        <v>15</v>
      </c>
      <c r="S401" s="41">
        <v>20</v>
      </c>
      <c r="T401" s="42">
        <v>10</v>
      </c>
      <c r="U401" s="43">
        <v>55</v>
      </c>
      <c r="V401" s="44">
        <v>80</v>
      </c>
      <c r="W401" s="45">
        <f t="shared" si="123"/>
        <v>200</v>
      </c>
      <c r="X401" s="19">
        <f t="shared" si="124"/>
        <v>33.33</v>
      </c>
      <c r="Y401" s="39">
        <v>20</v>
      </c>
      <c r="Z401" s="40">
        <v>15</v>
      </c>
      <c r="AA401" s="41">
        <v>20</v>
      </c>
      <c r="AB401" s="42">
        <v>10</v>
      </c>
      <c r="AC401" s="43">
        <v>55</v>
      </c>
      <c r="AD401" s="44">
        <v>80</v>
      </c>
      <c r="AE401" s="45">
        <v>200</v>
      </c>
      <c r="AF401" s="19">
        <v>33.33</v>
      </c>
      <c r="AG401" s="139">
        <v>20</v>
      </c>
      <c r="AH401" s="140">
        <v>15</v>
      </c>
      <c r="AI401" s="141">
        <v>20</v>
      </c>
      <c r="AJ401" s="142">
        <v>10</v>
      </c>
      <c r="AK401" s="143">
        <v>55</v>
      </c>
      <c r="AL401" s="144">
        <v>80</v>
      </c>
      <c r="AM401" s="138">
        <v>200</v>
      </c>
      <c r="AN401" s="153">
        <v>33.33</v>
      </c>
      <c r="AW401" s="45"/>
      <c r="AX401" s="174" t="b">
        <f>IF('Refined Compare'!$D$2="All",TRUE,IF(F401='Refined Compare'!$D$2,TRUE,IF(G401='Refined Compare'!$D$2,TRUE,FALSE)))</f>
        <v>0</v>
      </c>
      <c r="AY401" s="174" t="b">
        <f>IF('Refined Compare'!$D$3="All",TRUE,IF(F401='Refined Compare'!$D$3,TRUE,IF(G401='Refined Compare'!$D$3,TRUE,FALSE)))</f>
        <v>1</v>
      </c>
      <c r="AZ401" s="174" t="b">
        <f t="shared" si="125"/>
        <v>1</v>
      </c>
    </row>
    <row r="402" spans="1:52" x14ac:dyDescent="0.35">
      <c r="A402">
        <f t="shared" si="126"/>
        <v>401</v>
      </c>
      <c r="B402" s="18">
        <v>350</v>
      </c>
      <c r="C402" s="61">
        <v>3</v>
      </c>
      <c r="D402" s="118" t="b">
        <v>1</v>
      </c>
      <c r="E402" s="61"/>
      <c r="F402" s="66" t="s">
        <v>810</v>
      </c>
      <c r="G402" s="66" t="s">
        <v>827</v>
      </c>
      <c r="H402" s="38" t="s">
        <v>531</v>
      </c>
      <c r="I402" s="39">
        <f t="shared" si="115"/>
        <v>95</v>
      </c>
      <c r="J402" s="40">
        <f t="shared" si="116"/>
        <v>60</v>
      </c>
      <c r="K402" s="41">
        <f t="shared" si="117"/>
        <v>79</v>
      </c>
      <c r="L402" s="42">
        <f t="shared" si="118"/>
        <v>100</v>
      </c>
      <c r="M402" s="43">
        <f t="shared" si="119"/>
        <v>125</v>
      </c>
      <c r="N402" s="44">
        <f t="shared" si="120"/>
        <v>81</v>
      </c>
      <c r="O402" s="45">
        <f t="shared" si="121"/>
        <v>540</v>
      </c>
      <c r="P402" s="19">
        <f t="shared" si="122"/>
        <v>90</v>
      </c>
      <c r="Q402" s="177">
        <v>95</v>
      </c>
      <c r="R402" s="40">
        <v>60</v>
      </c>
      <c r="S402" s="41">
        <v>79</v>
      </c>
      <c r="T402" s="42">
        <v>100</v>
      </c>
      <c r="U402" s="43">
        <v>125</v>
      </c>
      <c r="V402" s="44">
        <v>81</v>
      </c>
      <c r="W402" s="45">
        <f t="shared" si="123"/>
        <v>540</v>
      </c>
      <c r="X402" s="19">
        <f t="shared" si="124"/>
        <v>90</v>
      </c>
      <c r="Y402" s="3">
        <v>95</v>
      </c>
      <c r="Z402" s="4">
        <v>60</v>
      </c>
      <c r="AA402" s="5">
        <v>79</v>
      </c>
      <c r="AB402" s="6">
        <v>100</v>
      </c>
      <c r="AC402" s="7">
        <v>125</v>
      </c>
      <c r="AD402" s="8">
        <v>81</v>
      </c>
      <c r="AE402" s="1">
        <v>540</v>
      </c>
      <c r="AF402" s="19">
        <v>90</v>
      </c>
      <c r="AG402" s="139">
        <v>95</v>
      </c>
      <c r="AH402" s="140">
        <v>60</v>
      </c>
      <c r="AI402" s="141">
        <v>79</v>
      </c>
      <c r="AJ402" s="142">
        <v>100</v>
      </c>
      <c r="AK402" s="143">
        <v>125</v>
      </c>
      <c r="AL402" s="144">
        <v>81</v>
      </c>
      <c r="AM402" s="138">
        <v>540</v>
      </c>
      <c r="AN402" s="153">
        <v>90</v>
      </c>
      <c r="AW402" s="45"/>
      <c r="AX402" s="174" t="b">
        <f>IF('Refined Compare'!$D$2="All",TRUE,IF(F402='Refined Compare'!$D$2,TRUE,IF(G402='Refined Compare'!$D$2,TRUE,FALSE)))</f>
        <v>0</v>
      </c>
      <c r="AY402" s="174" t="b">
        <f>IF('Refined Compare'!$D$3="All",TRUE,IF(F402='Refined Compare'!$D$3,TRUE,IF(G402='Refined Compare'!$D$3,TRUE,FALSE)))</f>
        <v>1</v>
      </c>
      <c r="AZ402" s="174" t="b">
        <f t="shared" si="125"/>
        <v>1</v>
      </c>
    </row>
    <row r="403" spans="1:52" x14ac:dyDescent="0.35">
      <c r="A403">
        <f t="shared" si="126"/>
        <v>402</v>
      </c>
      <c r="B403" s="18">
        <v>351</v>
      </c>
      <c r="C403" s="61">
        <v>3</v>
      </c>
      <c r="D403" s="118" t="b">
        <v>1</v>
      </c>
      <c r="E403" s="61"/>
      <c r="F403" s="66" t="s">
        <v>812</v>
      </c>
      <c r="G403" s="66" t="s">
        <v>827</v>
      </c>
      <c r="H403" s="38" t="s">
        <v>444</v>
      </c>
      <c r="I403" s="39">
        <f t="shared" si="115"/>
        <v>70</v>
      </c>
      <c r="J403" s="40">
        <f t="shared" si="116"/>
        <v>70</v>
      </c>
      <c r="K403" s="41">
        <f t="shared" si="117"/>
        <v>70</v>
      </c>
      <c r="L403" s="42">
        <f t="shared" si="118"/>
        <v>70</v>
      </c>
      <c r="M403" s="43">
        <f t="shared" si="119"/>
        <v>70</v>
      </c>
      <c r="N403" s="44">
        <f t="shared" si="120"/>
        <v>70</v>
      </c>
      <c r="O403" s="45">
        <f t="shared" si="121"/>
        <v>420</v>
      </c>
      <c r="P403" s="19">
        <f t="shared" si="122"/>
        <v>70</v>
      </c>
      <c r="Q403" s="177">
        <v>70</v>
      </c>
      <c r="R403" s="40">
        <v>70</v>
      </c>
      <c r="S403" s="41">
        <v>70</v>
      </c>
      <c r="T403" s="42">
        <v>70</v>
      </c>
      <c r="U403" s="43">
        <v>70</v>
      </c>
      <c r="V403" s="44">
        <v>70</v>
      </c>
      <c r="W403" s="45">
        <f t="shared" si="123"/>
        <v>420</v>
      </c>
      <c r="X403" s="19">
        <f t="shared" si="124"/>
        <v>70</v>
      </c>
      <c r="Y403" s="3">
        <v>70</v>
      </c>
      <c r="Z403" s="4">
        <v>70</v>
      </c>
      <c r="AA403" s="5">
        <v>70</v>
      </c>
      <c r="AB403" s="6">
        <v>70</v>
      </c>
      <c r="AC403" s="7">
        <v>70</v>
      </c>
      <c r="AD403" s="8">
        <v>70</v>
      </c>
      <c r="AE403" s="1">
        <v>420</v>
      </c>
      <c r="AF403" s="19">
        <v>70</v>
      </c>
      <c r="AG403" s="139">
        <v>70</v>
      </c>
      <c r="AH403" s="140">
        <v>70</v>
      </c>
      <c r="AI403" s="141">
        <v>70</v>
      </c>
      <c r="AJ403" s="142">
        <v>70</v>
      </c>
      <c r="AK403" s="143">
        <v>70</v>
      </c>
      <c r="AL403" s="144">
        <v>70</v>
      </c>
      <c r="AM403" s="138">
        <v>420</v>
      </c>
      <c r="AN403" s="153">
        <v>70</v>
      </c>
      <c r="AW403" s="45"/>
      <c r="AX403" s="174" t="b">
        <f>IF('Refined Compare'!$D$2="All",TRUE,IF(F403='Refined Compare'!$D$2,TRUE,IF(G403='Refined Compare'!$D$2,TRUE,FALSE)))</f>
        <v>0</v>
      </c>
      <c r="AY403" s="174" t="b">
        <f>IF('Refined Compare'!$D$3="All",TRUE,IF(F403='Refined Compare'!$D$3,TRUE,IF(G403='Refined Compare'!$D$3,TRUE,FALSE)))</f>
        <v>1</v>
      </c>
      <c r="AZ403" s="174" t="b">
        <f t="shared" si="125"/>
        <v>1</v>
      </c>
    </row>
    <row r="404" spans="1:52" x14ac:dyDescent="0.35">
      <c r="A404">
        <f t="shared" si="126"/>
        <v>403</v>
      </c>
      <c r="B404" s="18">
        <v>352</v>
      </c>
      <c r="C404" s="61">
        <v>3</v>
      </c>
      <c r="D404" s="118" t="b">
        <v>1</v>
      </c>
      <c r="E404" s="61"/>
      <c r="F404" s="66" t="s">
        <v>812</v>
      </c>
      <c r="G404" s="66" t="s">
        <v>827</v>
      </c>
      <c r="H404" s="38" t="s">
        <v>143</v>
      </c>
      <c r="I404" s="39">
        <f t="shared" si="115"/>
        <v>60</v>
      </c>
      <c r="J404" s="40">
        <f t="shared" si="116"/>
        <v>90</v>
      </c>
      <c r="K404" s="41">
        <f t="shared" si="117"/>
        <v>70</v>
      </c>
      <c r="L404" s="42">
        <f t="shared" si="118"/>
        <v>60</v>
      </c>
      <c r="M404" s="43">
        <f t="shared" si="119"/>
        <v>120</v>
      </c>
      <c r="N404" s="44">
        <f t="shared" si="120"/>
        <v>40</v>
      </c>
      <c r="O404" s="45">
        <f t="shared" si="121"/>
        <v>440</v>
      </c>
      <c r="P404" s="19">
        <f t="shared" si="122"/>
        <v>73.33</v>
      </c>
      <c r="Q404" s="177">
        <v>60</v>
      </c>
      <c r="R404" s="40">
        <v>90</v>
      </c>
      <c r="S404" s="41">
        <v>70</v>
      </c>
      <c r="T404" s="42">
        <v>60</v>
      </c>
      <c r="U404" s="43">
        <v>120</v>
      </c>
      <c r="V404" s="44">
        <v>40</v>
      </c>
      <c r="W404" s="45">
        <f t="shared" si="123"/>
        <v>440</v>
      </c>
      <c r="X404" s="19">
        <f t="shared" si="124"/>
        <v>73.33</v>
      </c>
      <c r="Y404" s="3">
        <v>60</v>
      </c>
      <c r="Z404" s="4">
        <v>90</v>
      </c>
      <c r="AA404" s="5">
        <v>70</v>
      </c>
      <c r="AB404" s="6">
        <v>60</v>
      </c>
      <c r="AC404" s="7">
        <v>120</v>
      </c>
      <c r="AD404" s="8">
        <v>40</v>
      </c>
      <c r="AE404" s="1">
        <v>440</v>
      </c>
      <c r="AF404" s="19">
        <v>73.33</v>
      </c>
      <c r="AG404" s="139">
        <v>60</v>
      </c>
      <c r="AH404" s="140">
        <v>90</v>
      </c>
      <c r="AI404" s="141">
        <v>70</v>
      </c>
      <c r="AJ404" s="142">
        <v>60</v>
      </c>
      <c r="AK404" s="143">
        <v>120</v>
      </c>
      <c r="AL404" s="144">
        <v>40</v>
      </c>
      <c r="AM404" s="138">
        <v>440</v>
      </c>
      <c r="AN404" s="153">
        <v>73.33</v>
      </c>
      <c r="AW404" s="45"/>
      <c r="AX404" s="174" t="b">
        <f>IF('Refined Compare'!$D$2="All",TRUE,IF(F404='Refined Compare'!$D$2,TRUE,IF(G404='Refined Compare'!$D$2,TRUE,FALSE)))</f>
        <v>0</v>
      </c>
      <c r="AY404" s="174" t="b">
        <f>IF('Refined Compare'!$D$3="All",TRUE,IF(F404='Refined Compare'!$D$3,TRUE,IF(G404='Refined Compare'!$D$3,TRUE,FALSE)))</f>
        <v>1</v>
      </c>
      <c r="AZ404" s="174" t="b">
        <f t="shared" si="125"/>
        <v>1</v>
      </c>
    </row>
    <row r="405" spans="1:52" x14ac:dyDescent="0.35">
      <c r="A405">
        <f t="shared" si="126"/>
        <v>404</v>
      </c>
      <c r="B405" s="18">
        <v>353</v>
      </c>
      <c r="C405" s="61">
        <v>3</v>
      </c>
      <c r="D405" s="61" t="b">
        <v>0</v>
      </c>
      <c r="E405" s="61"/>
      <c r="F405" s="66" t="s">
        <v>821</v>
      </c>
      <c r="G405" s="66" t="s">
        <v>827</v>
      </c>
      <c r="H405" s="38" t="s">
        <v>188</v>
      </c>
      <c r="I405" s="39">
        <f t="shared" si="115"/>
        <v>44</v>
      </c>
      <c r="J405" s="40">
        <f t="shared" si="116"/>
        <v>75</v>
      </c>
      <c r="K405" s="41">
        <f t="shared" si="117"/>
        <v>35</v>
      </c>
      <c r="L405" s="42">
        <f t="shared" si="118"/>
        <v>63</v>
      </c>
      <c r="M405" s="43">
        <f t="shared" si="119"/>
        <v>33</v>
      </c>
      <c r="N405" s="44">
        <f t="shared" si="120"/>
        <v>45</v>
      </c>
      <c r="O405" s="45">
        <f t="shared" si="121"/>
        <v>295</v>
      </c>
      <c r="P405" s="19">
        <f t="shared" si="122"/>
        <v>49.17</v>
      </c>
      <c r="Q405" s="177">
        <v>44</v>
      </c>
      <c r="R405" s="40">
        <v>75</v>
      </c>
      <c r="S405" s="41">
        <v>35</v>
      </c>
      <c r="T405" s="42">
        <v>63</v>
      </c>
      <c r="U405" s="43">
        <v>33</v>
      </c>
      <c r="V405" s="44">
        <v>45</v>
      </c>
      <c r="W405" s="45">
        <f t="shared" si="123"/>
        <v>295</v>
      </c>
      <c r="X405" s="19">
        <f t="shared" si="124"/>
        <v>49.17</v>
      </c>
      <c r="Y405" s="3">
        <v>44</v>
      </c>
      <c r="Z405" s="4">
        <v>75</v>
      </c>
      <c r="AA405" s="5">
        <v>35</v>
      </c>
      <c r="AB405" s="6">
        <v>63</v>
      </c>
      <c r="AC405" s="7">
        <v>33</v>
      </c>
      <c r="AD405" s="8">
        <v>45</v>
      </c>
      <c r="AE405" s="1">
        <v>295</v>
      </c>
      <c r="AF405" s="19">
        <v>49.17</v>
      </c>
      <c r="AG405" s="139">
        <v>44</v>
      </c>
      <c r="AH405" s="140">
        <v>75</v>
      </c>
      <c r="AI405" s="141">
        <v>35</v>
      </c>
      <c r="AJ405" s="142">
        <v>63</v>
      </c>
      <c r="AK405" s="143">
        <v>33</v>
      </c>
      <c r="AL405" s="144">
        <v>45</v>
      </c>
      <c r="AM405" s="138">
        <v>295</v>
      </c>
      <c r="AN405" s="153">
        <v>49.17</v>
      </c>
      <c r="AW405" s="45"/>
      <c r="AX405" s="174" t="b">
        <f>IF('Refined Compare'!$D$2="All",TRUE,IF(F405='Refined Compare'!$D$2,TRUE,IF(G405='Refined Compare'!$D$2,TRUE,FALSE)))</f>
        <v>0</v>
      </c>
      <c r="AY405" s="174" t="b">
        <f>IF('Refined Compare'!$D$3="All",TRUE,IF(F405='Refined Compare'!$D$3,TRUE,IF(G405='Refined Compare'!$D$3,TRUE,FALSE)))</f>
        <v>1</v>
      </c>
      <c r="AZ405" s="174" t="b">
        <f t="shared" si="125"/>
        <v>1</v>
      </c>
    </row>
    <row r="406" spans="1:52" x14ac:dyDescent="0.35">
      <c r="A406">
        <f t="shared" si="126"/>
        <v>405</v>
      </c>
      <c r="B406" s="18">
        <v>354</v>
      </c>
      <c r="C406" s="61">
        <v>3</v>
      </c>
      <c r="D406" s="61" t="b">
        <f>IF($AW$2&lt;6,TRUE,FALSE)</f>
        <v>1</v>
      </c>
      <c r="E406" s="61"/>
      <c r="F406" s="66" t="s">
        <v>821</v>
      </c>
      <c r="G406" s="66" t="s">
        <v>827</v>
      </c>
      <c r="H406" s="38" t="s">
        <v>386</v>
      </c>
      <c r="I406" s="39">
        <f t="shared" ref="I406:I469" si="127">IF($AW$2=7,Q406,IF($AW$2=6,Y406,IF($AW$2=1,AO406,AG406)))</f>
        <v>64</v>
      </c>
      <c r="J406" s="40">
        <f t="shared" ref="J406:J469" si="128">IF($AW$2=7,R406,IF($AW$2=6,Z406,IF($AW$2=1,AP406,AH406)))</f>
        <v>115</v>
      </c>
      <c r="K406" s="41">
        <f t="shared" ref="K406:K469" si="129">IF($AW$2=7,S406,IF($AW$2=6,AA406,IF($AW$2=1,AQ406,AI406)))</f>
        <v>65</v>
      </c>
      <c r="L406" s="42">
        <f t="shared" ref="L406:L469" si="130">IF($AW$2=7,T406,IF($AW$2=6,AB406,IF($AW$2=1,AR406,AJ406)))</f>
        <v>83</v>
      </c>
      <c r="M406" s="43">
        <f t="shared" ref="M406:M469" si="131">IF($AW$2=7,U406,IF($AW$2=6,AC406,IF($AW$2=1,AS406,AK406)))</f>
        <v>63</v>
      </c>
      <c r="N406" s="44">
        <f t="shared" ref="N406:N469" si="132">IF($AW$2=7,V406,IF($AW$2=6,AD406,IF($AW$2=1,AT406,AL406)))</f>
        <v>65</v>
      </c>
      <c r="O406" s="45">
        <f t="shared" ref="O406:O469" si="133">IF($AW$2=7,W406,IF($AW$2=6,AE406,IF($AW$2=1,AU406,AM406)))</f>
        <v>455</v>
      </c>
      <c r="P406" s="19">
        <f t="shared" ref="P406:P469" si="134">IF($AW$2=7,X406,IF($AW$2=6,AF406,IF($AW$2=1,AV406,AN406)))</f>
        <v>75.83</v>
      </c>
      <c r="Q406" s="177">
        <v>64</v>
      </c>
      <c r="R406" s="40">
        <v>115</v>
      </c>
      <c r="S406" s="41">
        <v>65</v>
      </c>
      <c r="T406" s="42">
        <v>83</v>
      </c>
      <c r="U406" s="43">
        <v>63</v>
      </c>
      <c r="V406" s="44">
        <v>65</v>
      </c>
      <c r="W406" s="45">
        <f t="shared" si="123"/>
        <v>455</v>
      </c>
      <c r="X406" s="19">
        <f t="shared" si="124"/>
        <v>75.83</v>
      </c>
      <c r="Y406" s="3">
        <v>64</v>
      </c>
      <c r="Z406" s="4">
        <v>115</v>
      </c>
      <c r="AA406" s="5">
        <v>65</v>
      </c>
      <c r="AB406" s="6">
        <v>83</v>
      </c>
      <c r="AC406" s="7">
        <v>63</v>
      </c>
      <c r="AD406" s="8">
        <v>65</v>
      </c>
      <c r="AE406" s="1">
        <v>455</v>
      </c>
      <c r="AF406" s="19">
        <v>75.83</v>
      </c>
      <c r="AG406" s="139">
        <v>64</v>
      </c>
      <c r="AH406" s="140">
        <v>115</v>
      </c>
      <c r="AI406" s="141">
        <v>65</v>
      </c>
      <c r="AJ406" s="142">
        <v>83</v>
      </c>
      <c r="AK406" s="143">
        <v>63</v>
      </c>
      <c r="AL406" s="144">
        <v>65</v>
      </c>
      <c r="AM406" s="138">
        <v>455</v>
      </c>
      <c r="AN406" s="153">
        <v>75.83</v>
      </c>
      <c r="AW406" s="45"/>
      <c r="AX406" s="174" t="b">
        <f>IF('Refined Compare'!$D$2="All",TRUE,IF(F406='Refined Compare'!$D$2,TRUE,IF(G406='Refined Compare'!$D$2,TRUE,FALSE)))</f>
        <v>0</v>
      </c>
      <c r="AY406" s="174" t="b">
        <f>IF('Refined Compare'!$D$3="All",TRUE,IF(F406='Refined Compare'!$D$3,TRUE,IF(G406='Refined Compare'!$D$3,TRUE,FALSE)))</f>
        <v>1</v>
      </c>
      <c r="AZ406" s="174" t="b">
        <f t="shared" si="125"/>
        <v>1</v>
      </c>
    </row>
    <row r="407" spans="1:52" x14ac:dyDescent="0.35">
      <c r="A407">
        <f t="shared" si="126"/>
        <v>406</v>
      </c>
      <c r="B407" s="62">
        <v>354</v>
      </c>
      <c r="C407" s="61">
        <v>6</v>
      </c>
      <c r="D407" s="118" t="b">
        <f>IF(AZ407,TRUE,FALSE)</f>
        <v>0</v>
      </c>
      <c r="E407" s="61" t="s">
        <v>801</v>
      </c>
      <c r="F407" s="66" t="s">
        <v>821</v>
      </c>
      <c r="G407" s="66" t="s">
        <v>827</v>
      </c>
      <c r="H407" s="38" t="s">
        <v>479</v>
      </c>
      <c r="I407" s="39">
        <f t="shared" si="127"/>
        <v>0</v>
      </c>
      <c r="J407" s="40">
        <f t="shared" si="128"/>
        <v>0</v>
      </c>
      <c r="K407" s="41">
        <f t="shared" si="129"/>
        <v>0</v>
      </c>
      <c r="L407" s="42">
        <f t="shared" si="130"/>
        <v>0</v>
      </c>
      <c r="M407" s="43">
        <f t="shared" si="131"/>
        <v>0</v>
      </c>
      <c r="N407" s="44">
        <f t="shared" si="132"/>
        <v>0</v>
      </c>
      <c r="O407" s="45">
        <f t="shared" si="133"/>
        <v>0</v>
      </c>
      <c r="P407" s="19">
        <f t="shared" si="134"/>
        <v>0</v>
      </c>
      <c r="Q407" s="177">
        <v>64</v>
      </c>
      <c r="R407" s="40">
        <v>165</v>
      </c>
      <c r="S407" s="41">
        <v>75</v>
      </c>
      <c r="T407" s="42">
        <v>93</v>
      </c>
      <c r="U407" s="43">
        <v>83</v>
      </c>
      <c r="V407" s="44">
        <v>75</v>
      </c>
      <c r="W407" s="45">
        <f t="shared" si="123"/>
        <v>555</v>
      </c>
      <c r="X407" s="19">
        <f t="shared" si="124"/>
        <v>92.5</v>
      </c>
      <c r="Y407" s="3">
        <v>64</v>
      </c>
      <c r="Z407" s="4">
        <v>165</v>
      </c>
      <c r="AA407" s="5">
        <v>75</v>
      </c>
      <c r="AB407" s="6">
        <v>93</v>
      </c>
      <c r="AC407" s="7">
        <v>83</v>
      </c>
      <c r="AD407" s="8">
        <v>75</v>
      </c>
      <c r="AE407" s="1">
        <v>555</v>
      </c>
      <c r="AF407" s="19">
        <v>92.5</v>
      </c>
      <c r="AN407" s="172"/>
      <c r="AV407" s="174"/>
      <c r="AW407" s="45"/>
      <c r="AX407" s="174" t="b">
        <f>IF('Refined Compare'!$D$2="All",TRUE,IF(F407='Refined Compare'!$D$2,TRUE,IF(G407='Refined Compare'!$D$2,TRUE,FALSE)))</f>
        <v>0</v>
      </c>
      <c r="AY407" s="174" t="b">
        <f>IF('Refined Compare'!$D$3="All",TRUE,IF(F407='Refined Compare'!$D$3,TRUE,IF(G407='Refined Compare'!$D$3,TRUE,FALSE)))</f>
        <v>1</v>
      </c>
      <c r="AZ407" s="174" t="b">
        <f t="shared" si="125"/>
        <v>0</v>
      </c>
    </row>
    <row r="408" spans="1:52" x14ac:dyDescent="0.35">
      <c r="A408">
        <f t="shared" si="126"/>
        <v>407</v>
      </c>
      <c r="B408" s="18">
        <v>355</v>
      </c>
      <c r="C408" s="61">
        <v>3</v>
      </c>
      <c r="D408" s="118" t="b">
        <f>IF($AW$2&lt;4,TRUE,FALSE)</f>
        <v>0</v>
      </c>
      <c r="E408" s="61"/>
      <c r="F408" s="66" t="s">
        <v>821</v>
      </c>
      <c r="G408" s="66" t="s">
        <v>827</v>
      </c>
      <c r="H408" s="38" t="s">
        <v>39</v>
      </c>
      <c r="I408" s="39">
        <f t="shared" si="127"/>
        <v>20</v>
      </c>
      <c r="J408" s="40">
        <f t="shared" si="128"/>
        <v>40</v>
      </c>
      <c r="K408" s="41">
        <f t="shared" si="129"/>
        <v>90</v>
      </c>
      <c r="L408" s="42">
        <f t="shared" si="130"/>
        <v>30</v>
      </c>
      <c r="M408" s="43">
        <f t="shared" si="131"/>
        <v>90</v>
      </c>
      <c r="N408" s="44">
        <f t="shared" si="132"/>
        <v>25</v>
      </c>
      <c r="O408" s="45">
        <f t="shared" si="133"/>
        <v>295</v>
      </c>
      <c r="P408" s="19">
        <f t="shared" si="134"/>
        <v>49.17</v>
      </c>
      <c r="Q408" s="177">
        <v>20</v>
      </c>
      <c r="R408" s="40">
        <v>40</v>
      </c>
      <c r="S408" s="41">
        <v>90</v>
      </c>
      <c r="T408" s="42">
        <v>30</v>
      </c>
      <c r="U408" s="43">
        <v>90</v>
      </c>
      <c r="V408" s="44">
        <v>25</v>
      </c>
      <c r="W408" s="45">
        <f t="shared" si="123"/>
        <v>295</v>
      </c>
      <c r="X408" s="19">
        <f t="shared" si="124"/>
        <v>49.17</v>
      </c>
      <c r="Y408" s="3">
        <v>20</v>
      </c>
      <c r="Z408" s="4">
        <v>40</v>
      </c>
      <c r="AA408" s="5">
        <v>90</v>
      </c>
      <c r="AB408" s="6">
        <v>30</v>
      </c>
      <c r="AC408" s="7">
        <v>90</v>
      </c>
      <c r="AD408" s="8">
        <v>25</v>
      </c>
      <c r="AE408" s="1">
        <v>295</v>
      </c>
      <c r="AF408" s="19">
        <v>49.17</v>
      </c>
      <c r="AG408" s="139">
        <v>20</v>
      </c>
      <c r="AH408" s="140">
        <v>40</v>
      </c>
      <c r="AI408" s="141">
        <v>90</v>
      </c>
      <c r="AJ408" s="142">
        <v>30</v>
      </c>
      <c r="AK408" s="143">
        <v>90</v>
      </c>
      <c r="AL408" s="144">
        <v>25</v>
      </c>
      <c r="AM408" s="138">
        <v>295</v>
      </c>
      <c r="AN408" s="153">
        <v>49.17</v>
      </c>
      <c r="AW408" s="45"/>
      <c r="AX408" s="174" t="b">
        <f>IF('Refined Compare'!$D$2="All",TRUE,IF(F408='Refined Compare'!$D$2,TRUE,IF(G408='Refined Compare'!$D$2,TRUE,FALSE)))</f>
        <v>0</v>
      </c>
      <c r="AY408" s="174" t="b">
        <f>IF('Refined Compare'!$D$3="All",TRUE,IF(F408='Refined Compare'!$D$3,TRUE,IF(G408='Refined Compare'!$D$3,TRUE,FALSE)))</f>
        <v>1</v>
      </c>
      <c r="AZ408" s="174" t="b">
        <f t="shared" si="125"/>
        <v>1</v>
      </c>
    </row>
    <row r="409" spans="1:52" x14ac:dyDescent="0.35">
      <c r="A409">
        <f t="shared" si="126"/>
        <v>408</v>
      </c>
      <c r="B409" s="18">
        <v>356</v>
      </c>
      <c r="C409" s="61">
        <v>3</v>
      </c>
      <c r="D409" s="61" t="b">
        <v>0</v>
      </c>
      <c r="E409" s="61"/>
      <c r="F409" s="66" t="s">
        <v>821</v>
      </c>
      <c r="G409" s="66" t="s">
        <v>827</v>
      </c>
      <c r="H409" s="38" t="s">
        <v>40</v>
      </c>
      <c r="I409" s="39">
        <f t="shared" si="127"/>
        <v>40</v>
      </c>
      <c r="J409" s="40">
        <f t="shared" si="128"/>
        <v>70</v>
      </c>
      <c r="K409" s="41">
        <f t="shared" si="129"/>
        <v>130</v>
      </c>
      <c r="L409" s="42">
        <f t="shared" si="130"/>
        <v>60</v>
      </c>
      <c r="M409" s="43">
        <f t="shared" si="131"/>
        <v>130</v>
      </c>
      <c r="N409" s="44">
        <f t="shared" si="132"/>
        <v>25</v>
      </c>
      <c r="O409" s="45">
        <f t="shared" si="133"/>
        <v>455</v>
      </c>
      <c r="P409" s="19">
        <f t="shared" si="134"/>
        <v>75.83</v>
      </c>
      <c r="Q409" s="177">
        <v>40</v>
      </c>
      <c r="R409" s="40">
        <v>70</v>
      </c>
      <c r="S409" s="41">
        <v>130</v>
      </c>
      <c r="T409" s="42">
        <v>60</v>
      </c>
      <c r="U409" s="43">
        <v>130</v>
      </c>
      <c r="V409" s="44">
        <v>25</v>
      </c>
      <c r="W409" s="45">
        <f t="shared" si="123"/>
        <v>455</v>
      </c>
      <c r="X409" s="19">
        <f t="shared" si="124"/>
        <v>75.83</v>
      </c>
      <c r="Y409" s="3">
        <v>40</v>
      </c>
      <c r="Z409" s="4">
        <v>70</v>
      </c>
      <c r="AA409" s="5">
        <v>130</v>
      </c>
      <c r="AB409" s="6">
        <v>60</v>
      </c>
      <c r="AC409" s="7">
        <v>130</v>
      </c>
      <c r="AD409" s="8">
        <v>25</v>
      </c>
      <c r="AE409" s="1">
        <v>455</v>
      </c>
      <c r="AF409" s="19">
        <v>75.83</v>
      </c>
      <c r="AG409" s="139">
        <v>40</v>
      </c>
      <c r="AH409" s="140">
        <v>70</v>
      </c>
      <c r="AI409" s="141">
        <v>130</v>
      </c>
      <c r="AJ409" s="142">
        <v>60</v>
      </c>
      <c r="AK409" s="143">
        <v>130</v>
      </c>
      <c r="AL409" s="144">
        <v>25</v>
      </c>
      <c r="AM409" s="138">
        <v>455</v>
      </c>
      <c r="AN409" s="153">
        <v>75.83</v>
      </c>
      <c r="AW409" s="45"/>
      <c r="AX409" s="174" t="b">
        <f>IF('Refined Compare'!$D$2="All",TRUE,IF(F409='Refined Compare'!$D$2,TRUE,IF(G409='Refined Compare'!$D$2,TRUE,FALSE)))</f>
        <v>0</v>
      </c>
      <c r="AY409" s="174" t="b">
        <f>IF('Refined Compare'!$D$3="All",TRUE,IF(F409='Refined Compare'!$D$3,TRUE,IF(G409='Refined Compare'!$D$3,TRUE,FALSE)))</f>
        <v>1</v>
      </c>
      <c r="AZ409" s="174" t="b">
        <f t="shared" si="125"/>
        <v>1</v>
      </c>
    </row>
    <row r="410" spans="1:52" x14ac:dyDescent="0.35">
      <c r="A410">
        <f t="shared" si="126"/>
        <v>409</v>
      </c>
      <c r="B410" s="18">
        <v>357</v>
      </c>
      <c r="C410" s="61">
        <v>3</v>
      </c>
      <c r="D410" s="118" t="b">
        <v>1</v>
      </c>
      <c r="E410" s="61"/>
      <c r="F410" s="66" t="s">
        <v>806</v>
      </c>
      <c r="G410" s="66" t="s">
        <v>809</v>
      </c>
      <c r="H410" s="38" t="s">
        <v>258</v>
      </c>
      <c r="I410" s="39">
        <f t="shared" si="127"/>
        <v>99</v>
      </c>
      <c r="J410" s="40">
        <f t="shared" si="128"/>
        <v>68</v>
      </c>
      <c r="K410" s="41">
        <f t="shared" si="129"/>
        <v>83</v>
      </c>
      <c r="L410" s="42">
        <f t="shared" si="130"/>
        <v>72</v>
      </c>
      <c r="M410" s="43">
        <f t="shared" si="131"/>
        <v>87</v>
      </c>
      <c r="N410" s="44">
        <f t="shared" si="132"/>
        <v>51</v>
      </c>
      <c r="O410" s="45">
        <f t="shared" si="133"/>
        <v>460</v>
      </c>
      <c r="P410" s="19">
        <f t="shared" si="134"/>
        <v>76.67</v>
      </c>
      <c r="Q410" s="177">
        <v>99</v>
      </c>
      <c r="R410" s="40">
        <v>68</v>
      </c>
      <c r="S410" s="41">
        <v>83</v>
      </c>
      <c r="T410" s="42">
        <v>72</v>
      </c>
      <c r="U410" s="43">
        <v>87</v>
      </c>
      <c r="V410" s="44">
        <v>51</v>
      </c>
      <c r="W410" s="45">
        <f t="shared" si="123"/>
        <v>460</v>
      </c>
      <c r="X410" s="19">
        <f t="shared" si="124"/>
        <v>76.67</v>
      </c>
      <c r="Y410" s="3">
        <v>99</v>
      </c>
      <c r="Z410" s="4">
        <v>68</v>
      </c>
      <c r="AA410" s="5">
        <v>83</v>
      </c>
      <c r="AB410" s="6">
        <v>72</v>
      </c>
      <c r="AC410" s="7">
        <v>87</v>
      </c>
      <c r="AD410" s="8">
        <v>51</v>
      </c>
      <c r="AE410" s="1">
        <v>460</v>
      </c>
      <c r="AF410" s="19">
        <v>76.67</v>
      </c>
      <c r="AG410" s="139">
        <v>99</v>
      </c>
      <c r="AH410" s="140">
        <v>68</v>
      </c>
      <c r="AI410" s="141">
        <v>83</v>
      </c>
      <c r="AJ410" s="142">
        <v>72</v>
      </c>
      <c r="AK410" s="143">
        <v>87</v>
      </c>
      <c r="AL410" s="144">
        <v>51</v>
      </c>
      <c r="AM410" s="138">
        <v>460</v>
      </c>
      <c r="AN410" s="153">
        <v>76.67</v>
      </c>
      <c r="AW410" s="45"/>
      <c r="AX410" s="174" t="b">
        <f>IF('Refined Compare'!$D$2="All",TRUE,IF(F410='Refined Compare'!$D$2,TRUE,IF(G410='Refined Compare'!$D$2,TRUE,FALSE)))</f>
        <v>0</v>
      </c>
      <c r="AY410" s="174" t="b">
        <f>IF('Refined Compare'!$D$3="All",TRUE,IF(F410='Refined Compare'!$D$3,TRUE,IF(G410='Refined Compare'!$D$3,TRUE,FALSE)))</f>
        <v>0</v>
      </c>
      <c r="AZ410" s="174" t="b">
        <f t="shared" si="125"/>
        <v>1</v>
      </c>
    </row>
    <row r="411" spans="1:52" x14ac:dyDescent="0.35">
      <c r="A411">
        <f t="shared" si="126"/>
        <v>410</v>
      </c>
      <c r="B411" s="18">
        <v>358</v>
      </c>
      <c r="C411" s="61">
        <v>3</v>
      </c>
      <c r="D411" s="118" t="b">
        <v>1</v>
      </c>
      <c r="E411" s="61"/>
      <c r="F411" s="66" t="s">
        <v>817</v>
      </c>
      <c r="G411" s="66" t="s">
        <v>827</v>
      </c>
      <c r="H411" s="38" t="s">
        <v>387</v>
      </c>
      <c r="I411" s="39">
        <f t="shared" si="127"/>
        <v>65</v>
      </c>
      <c r="J411" s="40">
        <f t="shared" si="128"/>
        <v>50</v>
      </c>
      <c r="K411" s="41">
        <f t="shared" si="129"/>
        <v>70</v>
      </c>
      <c r="L411" s="42">
        <f t="shared" si="130"/>
        <v>95</v>
      </c>
      <c r="M411" s="43">
        <f t="shared" si="131"/>
        <v>80</v>
      </c>
      <c r="N411" s="44">
        <f t="shared" si="132"/>
        <v>65</v>
      </c>
      <c r="O411" s="45">
        <f t="shared" si="133"/>
        <v>425</v>
      </c>
      <c r="P411" s="19">
        <f t="shared" si="134"/>
        <v>70.83</v>
      </c>
      <c r="Q411" s="177">
        <v>75</v>
      </c>
      <c r="R411" s="40">
        <v>50</v>
      </c>
      <c r="S411" s="41">
        <v>80</v>
      </c>
      <c r="T411" s="42">
        <v>95</v>
      </c>
      <c r="U411" s="43">
        <v>90</v>
      </c>
      <c r="V411" s="44">
        <v>65</v>
      </c>
      <c r="W411" s="45">
        <f t="shared" si="123"/>
        <v>455</v>
      </c>
      <c r="X411" s="19">
        <f t="shared" si="124"/>
        <v>75.83</v>
      </c>
      <c r="Y411" s="3">
        <v>65</v>
      </c>
      <c r="Z411" s="4">
        <v>50</v>
      </c>
      <c r="AA411" s="5">
        <v>70</v>
      </c>
      <c r="AB411" s="6">
        <v>95</v>
      </c>
      <c r="AC411" s="7">
        <v>80</v>
      </c>
      <c r="AD411" s="8">
        <v>65</v>
      </c>
      <c r="AE411" s="1">
        <v>425</v>
      </c>
      <c r="AF411" s="19">
        <v>70.83</v>
      </c>
      <c r="AG411" s="139">
        <v>65</v>
      </c>
      <c r="AH411" s="140">
        <v>50</v>
      </c>
      <c r="AI411" s="141">
        <v>70</v>
      </c>
      <c r="AJ411" s="142">
        <v>95</v>
      </c>
      <c r="AK411" s="143">
        <v>80</v>
      </c>
      <c r="AL411" s="144">
        <v>65</v>
      </c>
      <c r="AM411" s="138">
        <v>425</v>
      </c>
      <c r="AN411" s="153">
        <v>70.83</v>
      </c>
      <c r="AW411" s="45"/>
      <c r="AX411" s="174" t="b">
        <f>IF('Refined Compare'!$D$2="All",TRUE,IF(F411='Refined Compare'!$D$2,TRUE,IF(G411='Refined Compare'!$D$2,TRUE,FALSE)))</f>
        <v>0</v>
      </c>
      <c r="AY411" s="174" t="b">
        <f>IF('Refined Compare'!$D$3="All",TRUE,IF(F411='Refined Compare'!$D$3,TRUE,IF(G411='Refined Compare'!$D$3,TRUE,FALSE)))</f>
        <v>1</v>
      </c>
      <c r="AZ411" s="174" t="b">
        <f t="shared" si="125"/>
        <v>1</v>
      </c>
    </row>
    <row r="412" spans="1:52" x14ac:dyDescent="0.35">
      <c r="A412">
        <f t="shared" si="126"/>
        <v>411</v>
      </c>
      <c r="B412" s="18">
        <v>359</v>
      </c>
      <c r="C412" s="61">
        <v>3</v>
      </c>
      <c r="D412" s="61" t="b">
        <f>IF($AW$2&lt;6,TRUE,FALSE)</f>
        <v>1</v>
      </c>
      <c r="E412" s="61"/>
      <c r="F412" s="66" t="s">
        <v>823</v>
      </c>
      <c r="G412" s="66" t="s">
        <v>827</v>
      </c>
      <c r="H412" s="38" t="s">
        <v>480</v>
      </c>
      <c r="I412" s="39">
        <f t="shared" si="127"/>
        <v>65</v>
      </c>
      <c r="J412" s="40">
        <f t="shared" si="128"/>
        <v>130</v>
      </c>
      <c r="K412" s="41">
        <f t="shared" si="129"/>
        <v>60</v>
      </c>
      <c r="L412" s="42">
        <f t="shared" si="130"/>
        <v>75</v>
      </c>
      <c r="M412" s="43">
        <f t="shared" si="131"/>
        <v>60</v>
      </c>
      <c r="N412" s="44">
        <f t="shared" si="132"/>
        <v>75</v>
      </c>
      <c r="O412" s="45">
        <f t="shared" si="133"/>
        <v>465</v>
      </c>
      <c r="P412" s="19">
        <f t="shared" si="134"/>
        <v>77.5</v>
      </c>
      <c r="Q412" s="177">
        <v>65</v>
      </c>
      <c r="R412" s="40">
        <v>130</v>
      </c>
      <c r="S412" s="41">
        <v>60</v>
      </c>
      <c r="T412" s="42">
        <v>75</v>
      </c>
      <c r="U412" s="43">
        <v>60</v>
      </c>
      <c r="V412" s="44">
        <v>75</v>
      </c>
      <c r="W412" s="45">
        <f t="shared" ref="W412:W475" si="135">SUM(Q412:V412)</f>
        <v>465</v>
      </c>
      <c r="X412" s="19">
        <f t="shared" ref="X412:X475" si="136">ROUND(AVERAGE(Q412:V412),2)</f>
        <v>77.5</v>
      </c>
      <c r="Y412" s="3">
        <v>65</v>
      </c>
      <c r="Z412" s="4">
        <v>130</v>
      </c>
      <c r="AA412" s="5">
        <v>60</v>
      </c>
      <c r="AB412" s="6">
        <v>75</v>
      </c>
      <c r="AC412" s="7">
        <v>60</v>
      </c>
      <c r="AD412" s="8">
        <v>75</v>
      </c>
      <c r="AE412" s="1">
        <v>465</v>
      </c>
      <c r="AF412" s="19">
        <v>77.5</v>
      </c>
      <c r="AG412" s="139">
        <v>65</v>
      </c>
      <c r="AH412" s="140">
        <v>130</v>
      </c>
      <c r="AI412" s="141">
        <v>60</v>
      </c>
      <c r="AJ412" s="142">
        <v>75</v>
      </c>
      <c r="AK412" s="143">
        <v>60</v>
      </c>
      <c r="AL412" s="144">
        <v>75</v>
      </c>
      <c r="AM412" s="138">
        <v>465</v>
      </c>
      <c r="AN412" s="153">
        <v>77.5</v>
      </c>
      <c r="AW412" s="45"/>
      <c r="AX412" s="174" t="b">
        <f>IF('Refined Compare'!$D$2="All",TRUE,IF(F412='Refined Compare'!$D$2,TRUE,IF(G412='Refined Compare'!$D$2,TRUE,FALSE)))</f>
        <v>1</v>
      </c>
      <c r="AY412" s="174" t="b">
        <f>IF('Refined Compare'!$D$3="All",TRUE,IF(F412='Refined Compare'!$D$3,TRUE,IF(G412='Refined Compare'!$D$3,TRUE,FALSE)))</f>
        <v>1</v>
      </c>
      <c r="AZ412" s="174" t="b">
        <f t="shared" si="125"/>
        <v>1</v>
      </c>
    </row>
    <row r="413" spans="1:52" x14ac:dyDescent="0.35">
      <c r="A413">
        <f t="shared" si="126"/>
        <v>412</v>
      </c>
      <c r="B413" s="62">
        <v>359</v>
      </c>
      <c r="C413" s="61">
        <v>6</v>
      </c>
      <c r="D413" s="118" t="b">
        <f>IF(AZ413,TRUE,FALSE)</f>
        <v>0</v>
      </c>
      <c r="E413" s="61" t="s">
        <v>801</v>
      </c>
      <c r="F413" s="66" t="s">
        <v>823</v>
      </c>
      <c r="G413" s="66" t="s">
        <v>827</v>
      </c>
      <c r="H413" s="38" t="s">
        <v>740</v>
      </c>
      <c r="I413" s="39">
        <f t="shared" si="127"/>
        <v>0</v>
      </c>
      <c r="J413" s="40">
        <f t="shared" si="128"/>
        <v>0</v>
      </c>
      <c r="K413" s="41">
        <f t="shared" si="129"/>
        <v>0</v>
      </c>
      <c r="L413" s="42">
        <f t="shared" si="130"/>
        <v>0</v>
      </c>
      <c r="M413" s="43">
        <f t="shared" si="131"/>
        <v>0</v>
      </c>
      <c r="N413" s="44">
        <f t="shared" si="132"/>
        <v>0</v>
      </c>
      <c r="O413" s="45">
        <f t="shared" si="133"/>
        <v>0</v>
      </c>
      <c r="P413" s="19">
        <f t="shared" si="134"/>
        <v>0</v>
      </c>
      <c r="Q413" s="177">
        <v>65</v>
      </c>
      <c r="R413" s="40">
        <v>150</v>
      </c>
      <c r="S413" s="41">
        <v>60</v>
      </c>
      <c r="T413" s="42">
        <v>115</v>
      </c>
      <c r="U413" s="43">
        <v>60</v>
      </c>
      <c r="V413" s="44">
        <v>115</v>
      </c>
      <c r="W413" s="45">
        <f t="shared" si="135"/>
        <v>565</v>
      </c>
      <c r="X413" s="19">
        <f t="shared" si="136"/>
        <v>94.17</v>
      </c>
      <c r="Y413" s="3">
        <v>65</v>
      </c>
      <c r="Z413" s="4">
        <v>150</v>
      </c>
      <c r="AA413" s="5">
        <v>60</v>
      </c>
      <c r="AB413" s="6">
        <v>115</v>
      </c>
      <c r="AC413" s="7">
        <v>60</v>
      </c>
      <c r="AD413" s="8">
        <v>115</v>
      </c>
      <c r="AE413" s="1">
        <v>565</v>
      </c>
      <c r="AF413" s="19">
        <v>94.17</v>
      </c>
      <c r="AN413" s="172"/>
      <c r="AV413" s="174"/>
      <c r="AW413" s="45"/>
      <c r="AX413" s="174" t="b">
        <f>IF('Refined Compare'!$D$2="All",TRUE,IF(F413='Refined Compare'!$D$2,TRUE,IF(G413='Refined Compare'!$D$2,TRUE,FALSE)))</f>
        <v>1</v>
      </c>
      <c r="AY413" s="174" t="b">
        <f>IF('Refined Compare'!$D$3="All",TRUE,IF(F413='Refined Compare'!$D$3,TRUE,IF(G413='Refined Compare'!$D$3,TRUE,FALSE)))</f>
        <v>1</v>
      </c>
      <c r="AZ413" s="174" t="b">
        <f t="shared" si="125"/>
        <v>0</v>
      </c>
    </row>
    <row r="414" spans="1:52" x14ac:dyDescent="0.35">
      <c r="A414">
        <f t="shared" si="126"/>
        <v>413</v>
      </c>
      <c r="B414" s="18">
        <v>360</v>
      </c>
      <c r="C414" s="61">
        <v>3</v>
      </c>
      <c r="D414" s="61" t="b">
        <v>0</v>
      </c>
      <c r="E414" s="61"/>
      <c r="F414" s="66" t="s">
        <v>817</v>
      </c>
      <c r="G414" s="66" t="s">
        <v>827</v>
      </c>
      <c r="H414" s="38" t="s">
        <v>31</v>
      </c>
      <c r="I414" s="39">
        <f t="shared" si="127"/>
        <v>95</v>
      </c>
      <c r="J414" s="40">
        <f t="shared" si="128"/>
        <v>23</v>
      </c>
      <c r="K414" s="41">
        <f t="shared" si="129"/>
        <v>48</v>
      </c>
      <c r="L414" s="42">
        <f t="shared" si="130"/>
        <v>23</v>
      </c>
      <c r="M414" s="43">
        <f t="shared" si="131"/>
        <v>48</v>
      </c>
      <c r="N414" s="44">
        <f t="shared" si="132"/>
        <v>23</v>
      </c>
      <c r="O414" s="45">
        <f t="shared" si="133"/>
        <v>260</v>
      </c>
      <c r="P414" s="19">
        <f t="shared" si="134"/>
        <v>43.33</v>
      </c>
      <c r="Q414" s="177">
        <v>95</v>
      </c>
      <c r="R414" s="40">
        <v>23</v>
      </c>
      <c r="S414" s="41">
        <v>48</v>
      </c>
      <c r="T414" s="42">
        <v>23</v>
      </c>
      <c r="U414" s="43">
        <v>48</v>
      </c>
      <c r="V414" s="44">
        <v>23</v>
      </c>
      <c r="W414" s="45">
        <f t="shared" si="135"/>
        <v>260</v>
      </c>
      <c r="X414" s="19">
        <f t="shared" si="136"/>
        <v>43.33</v>
      </c>
      <c r="Y414" s="3">
        <v>95</v>
      </c>
      <c r="Z414" s="4">
        <v>23</v>
      </c>
      <c r="AA414" s="5">
        <v>48</v>
      </c>
      <c r="AB414" s="6">
        <v>23</v>
      </c>
      <c r="AC414" s="7">
        <v>48</v>
      </c>
      <c r="AD414" s="8">
        <v>23</v>
      </c>
      <c r="AE414" s="1">
        <v>260</v>
      </c>
      <c r="AF414" s="19">
        <v>43.33</v>
      </c>
      <c r="AG414" s="139">
        <v>95</v>
      </c>
      <c r="AH414" s="140">
        <v>23</v>
      </c>
      <c r="AI414" s="141">
        <v>48</v>
      </c>
      <c r="AJ414" s="142">
        <v>23</v>
      </c>
      <c r="AK414" s="143">
        <v>48</v>
      </c>
      <c r="AL414" s="144">
        <v>23</v>
      </c>
      <c r="AM414" s="138">
        <v>260</v>
      </c>
      <c r="AN414" s="153">
        <v>43.33</v>
      </c>
      <c r="AW414" s="45"/>
      <c r="AX414" s="174" t="b">
        <f>IF('Refined Compare'!$D$2="All",TRUE,IF(F414='Refined Compare'!$D$2,TRUE,IF(G414='Refined Compare'!$D$2,TRUE,FALSE)))</f>
        <v>0</v>
      </c>
      <c r="AY414" s="174" t="b">
        <f>IF('Refined Compare'!$D$3="All",TRUE,IF(F414='Refined Compare'!$D$3,TRUE,IF(G414='Refined Compare'!$D$3,TRUE,FALSE)))</f>
        <v>1</v>
      </c>
      <c r="AZ414" s="174" t="b">
        <f t="shared" si="125"/>
        <v>1</v>
      </c>
    </row>
    <row r="415" spans="1:52" x14ac:dyDescent="0.35">
      <c r="A415">
        <f t="shared" si="126"/>
        <v>414</v>
      </c>
      <c r="B415" s="18">
        <v>361</v>
      </c>
      <c r="C415" s="61">
        <v>3</v>
      </c>
      <c r="D415" s="61" t="b">
        <v>0</v>
      </c>
      <c r="E415" s="61"/>
      <c r="F415" s="66" t="s">
        <v>820</v>
      </c>
      <c r="G415" s="66" t="s">
        <v>827</v>
      </c>
      <c r="H415" s="38" t="s">
        <v>236</v>
      </c>
      <c r="I415" s="39">
        <f t="shared" si="127"/>
        <v>50</v>
      </c>
      <c r="J415" s="40">
        <f t="shared" si="128"/>
        <v>50</v>
      </c>
      <c r="K415" s="41">
        <f t="shared" si="129"/>
        <v>50</v>
      </c>
      <c r="L415" s="42">
        <f t="shared" si="130"/>
        <v>50</v>
      </c>
      <c r="M415" s="43">
        <f t="shared" si="131"/>
        <v>50</v>
      </c>
      <c r="N415" s="44">
        <f t="shared" si="132"/>
        <v>50</v>
      </c>
      <c r="O415" s="45">
        <f t="shared" si="133"/>
        <v>300</v>
      </c>
      <c r="P415" s="19">
        <f t="shared" si="134"/>
        <v>50</v>
      </c>
      <c r="Q415" s="177">
        <v>50</v>
      </c>
      <c r="R415" s="40">
        <v>50</v>
      </c>
      <c r="S415" s="41">
        <v>50</v>
      </c>
      <c r="T415" s="42">
        <v>50</v>
      </c>
      <c r="U415" s="43">
        <v>50</v>
      </c>
      <c r="V415" s="44">
        <v>50</v>
      </c>
      <c r="W415" s="45">
        <f t="shared" si="135"/>
        <v>300</v>
      </c>
      <c r="X415" s="19">
        <f t="shared" si="136"/>
        <v>50</v>
      </c>
      <c r="Y415" s="3">
        <v>50</v>
      </c>
      <c r="Z415" s="4">
        <v>50</v>
      </c>
      <c r="AA415" s="5">
        <v>50</v>
      </c>
      <c r="AB415" s="6">
        <v>50</v>
      </c>
      <c r="AC415" s="7">
        <v>50</v>
      </c>
      <c r="AD415" s="8">
        <v>50</v>
      </c>
      <c r="AE415" s="1">
        <v>300</v>
      </c>
      <c r="AF415" s="19">
        <v>50</v>
      </c>
      <c r="AG415" s="139">
        <v>50</v>
      </c>
      <c r="AH415" s="140">
        <v>50</v>
      </c>
      <c r="AI415" s="141">
        <v>50</v>
      </c>
      <c r="AJ415" s="142">
        <v>50</v>
      </c>
      <c r="AK415" s="143">
        <v>50</v>
      </c>
      <c r="AL415" s="144">
        <v>50</v>
      </c>
      <c r="AM415" s="138">
        <v>300</v>
      </c>
      <c r="AN415" s="153">
        <v>50</v>
      </c>
      <c r="AW415" s="45"/>
      <c r="AX415" s="174" t="b">
        <f>IF('Refined Compare'!$D$2="All",TRUE,IF(F415='Refined Compare'!$D$2,TRUE,IF(G415='Refined Compare'!$D$2,TRUE,FALSE)))</f>
        <v>0</v>
      </c>
      <c r="AY415" s="174" t="b">
        <f>IF('Refined Compare'!$D$3="All",TRUE,IF(F415='Refined Compare'!$D$3,TRUE,IF(G415='Refined Compare'!$D$3,TRUE,FALSE)))</f>
        <v>1</v>
      </c>
      <c r="AZ415" s="174" t="b">
        <f t="shared" si="125"/>
        <v>1</v>
      </c>
    </row>
    <row r="416" spans="1:52" x14ac:dyDescent="0.35">
      <c r="A416">
        <f t="shared" si="126"/>
        <v>415</v>
      </c>
      <c r="B416" s="18">
        <v>362</v>
      </c>
      <c r="C416" s="61">
        <v>3</v>
      </c>
      <c r="D416" s="61" t="b">
        <f>IF($AW$2&lt;6,TRUE,FALSE)</f>
        <v>1</v>
      </c>
      <c r="E416" s="61"/>
      <c r="F416" s="66" t="s">
        <v>820</v>
      </c>
      <c r="G416" s="66" t="s">
        <v>827</v>
      </c>
      <c r="H416" s="38" t="s">
        <v>515</v>
      </c>
      <c r="I416" s="39">
        <f t="shared" si="127"/>
        <v>80</v>
      </c>
      <c r="J416" s="40">
        <f t="shared" si="128"/>
        <v>80</v>
      </c>
      <c r="K416" s="41">
        <f t="shared" si="129"/>
        <v>80</v>
      </c>
      <c r="L416" s="42">
        <f t="shared" si="130"/>
        <v>80</v>
      </c>
      <c r="M416" s="43">
        <f t="shared" si="131"/>
        <v>80</v>
      </c>
      <c r="N416" s="44">
        <f t="shared" si="132"/>
        <v>80</v>
      </c>
      <c r="O416" s="45">
        <f t="shared" si="133"/>
        <v>480</v>
      </c>
      <c r="P416" s="19">
        <f t="shared" si="134"/>
        <v>80</v>
      </c>
      <c r="Q416" s="177">
        <v>80</v>
      </c>
      <c r="R416" s="40">
        <v>80</v>
      </c>
      <c r="S416" s="41">
        <v>80</v>
      </c>
      <c r="T416" s="42">
        <v>80</v>
      </c>
      <c r="U416" s="43">
        <v>80</v>
      </c>
      <c r="V416" s="44">
        <v>80</v>
      </c>
      <c r="W416" s="45">
        <f t="shared" si="135"/>
        <v>480</v>
      </c>
      <c r="X416" s="19">
        <f t="shared" si="136"/>
        <v>80</v>
      </c>
      <c r="Y416" s="3">
        <v>80</v>
      </c>
      <c r="Z416" s="4">
        <v>80</v>
      </c>
      <c r="AA416" s="5">
        <v>80</v>
      </c>
      <c r="AB416" s="6">
        <v>80</v>
      </c>
      <c r="AC416" s="7">
        <v>80</v>
      </c>
      <c r="AD416" s="8">
        <v>80</v>
      </c>
      <c r="AE416" s="1">
        <v>480</v>
      </c>
      <c r="AF416" s="19">
        <v>80</v>
      </c>
      <c r="AG416" s="139">
        <v>80</v>
      </c>
      <c r="AH416" s="140">
        <v>80</v>
      </c>
      <c r="AI416" s="141">
        <v>80</v>
      </c>
      <c r="AJ416" s="142">
        <v>80</v>
      </c>
      <c r="AK416" s="143">
        <v>80</v>
      </c>
      <c r="AL416" s="144">
        <v>80</v>
      </c>
      <c r="AM416" s="138">
        <v>480</v>
      </c>
      <c r="AN416" s="153">
        <v>80</v>
      </c>
      <c r="AW416" s="45"/>
      <c r="AX416" s="174" t="b">
        <f>IF('Refined Compare'!$D$2="All",TRUE,IF(F416='Refined Compare'!$D$2,TRUE,IF(G416='Refined Compare'!$D$2,TRUE,FALSE)))</f>
        <v>0</v>
      </c>
      <c r="AY416" s="174" t="b">
        <f>IF('Refined Compare'!$D$3="All",TRUE,IF(F416='Refined Compare'!$D$3,TRUE,IF(G416='Refined Compare'!$D$3,TRUE,FALSE)))</f>
        <v>1</v>
      </c>
      <c r="AZ416" s="174" t="b">
        <f t="shared" si="125"/>
        <v>1</v>
      </c>
    </row>
    <row r="417" spans="1:52" x14ac:dyDescent="0.35">
      <c r="A417">
        <f t="shared" si="126"/>
        <v>416</v>
      </c>
      <c r="B417" s="62">
        <v>362</v>
      </c>
      <c r="C417" s="61">
        <v>6</v>
      </c>
      <c r="D417" s="118" t="b">
        <f>IF(AZ417,TRUE,FALSE)</f>
        <v>0</v>
      </c>
      <c r="E417" s="61" t="s">
        <v>801</v>
      </c>
      <c r="F417" s="66" t="s">
        <v>820</v>
      </c>
      <c r="G417" s="66" t="s">
        <v>827</v>
      </c>
      <c r="H417" s="38" t="s">
        <v>673</v>
      </c>
      <c r="I417" s="39">
        <f t="shared" si="127"/>
        <v>0</v>
      </c>
      <c r="J417" s="40">
        <f t="shared" si="128"/>
        <v>0</v>
      </c>
      <c r="K417" s="41">
        <f t="shared" si="129"/>
        <v>0</v>
      </c>
      <c r="L417" s="42">
        <f t="shared" si="130"/>
        <v>0</v>
      </c>
      <c r="M417" s="43">
        <f t="shared" si="131"/>
        <v>0</v>
      </c>
      <c r="N417" s="44">
        <f t="shared" si="132"/>
        <v>0</v>
      </c>
      <c r="O417" s="45">
        <f t="shared" si="133"/>
        <v>0</v>
      </c>
      <c r="P417" s="19">
        <f t="shared" si="134"/>
        <v>0</v>
      </c>
      <c r="Q417" s="177">
        <v>80</v>
      </c>
      <c r="R417" s="40">
        <v>120</v>
      </c>
      <c r="S417" s="41">
        <v>80</v>
      </c>
      <c r="T417" s="42">
        <v>120</v>
      </c>
      <c r="U417" s="43">
        <v>80</v>
      </c>
      <c r="V417" s="44">
        <v>100</v>
      </c>
      <c r="W417" s="45">
        <f t="shared" si="135"/>
        <v>580</v>
      </c>
      <c r="X417" s="19">
        <f t="shared" si="136"/>
        <v>96.67</v>
      </c>
      <c r="Y417" s="3">
        <v>80</v>
      </c>
      <c r="Z417" s="4">
        <v>120</v>
      </c>
      <c r="AA417" s="5">
        <v>80</v>
      </c>
      <c r="AB417" s="6">
        <v>120</v>
      </c>
      <c r="AC417" s="7">
        <v>80</v>
      </c>
      <c r="AD417" s="8">
        <v>100</v>
      </c>
      <c r="AE417" s="1">
        <v>580</v>
      </c>
      <c r="AF417" s="19">
        <v>96.67</v>
      </c>
      <c r="AN417" s="172"/>
      <c r="AV417" s="174"/>
      <c r="AW417" s="45"/>
      <c r="AX417" s="174" t="b">
        <f>IF('Refined Compare'!$D$2="All",TRUE,IF(F417='Refined Compare'!$D$2,TRUE,IF(G417='Refined Compare'!$D$2,TRUE,FALSE)))</f>
        <v>0</v>
      </c>
      <c r="AY417" s="174" t="b">
        <f>IF('Refined Compare'!$D$3="All",TRUE,IF(F417='Refined Compare'!$D$3,TRUE,IF(G417='Refined Compare'!$D$3,TRUE,FALSE)))</f>
        <v>1</v>
      </c>
      <c r="AZ417" s="174" t="b">
        <f t="shared" si="125"/>
        <v>0</v>
      </c>
    </row>
    <row r="418" spans="1:52" x14ac:dyDescent="0.35">
      <c r="A418">
        <f t="shared" si="126"/>
        <v>417</v>
      </c>
      <c r="B418" s="18">
        <v>363</v>
      </c>
      <c r="C418" s="61">
        <v>3</v>
      </c>
      <c r="D418" s="61" t="b">
        <v>0</v>
      </c>
      <c r="E418" s="61"/>
      <c r="F418" s="66" t="s">
        <v>820</v>
      </c>
      <c r="G418" s="66" t="s">
        <v>810</v>
      </c>
      <c r="H418" s="38" t="s">
        <v>41</v>
      </c>
      <c r="I418" s="39">
        <f t="shared" si="127"/>
        <v>70</v>
      </c>
      <c r="J418" s="40">
        <f t="shared" si="128"/>
        <v>40</v>
      </c>
      <c r="K418" s="41">
        <f t="shared" si="129"/>
        <v>50</v>
      </c>
      <c r="L418" s="42">
        <f t="shared" si="130"/>
        <v>55</v>
      </c>
      <c r="M418" s="43">
        <f t="shared" si="131"/>
        <v>50</v>
      </c>
      <c r="N418" s="44">
        <f t="shared" si="132"/>
        <v>25</v>
      </c>
      <c r="O418" s="45">
        <f t="shared" si="133"/>
        <v>290</v>
      </c>
      <c r="P418" s="19">
        <f t="shared" si="134"/>
        <v>48.33</v>
      </c>
      <c r="Q418" s="177">
        <v>70</v>
      </c>
      <c r="R418" s="40">
        <v>40</v>
      </c>
      <c r="S418" s="41">
        <v>50</v>
      </c>
      <c r="T418" s="42">
        <v>55</v>
      </c>
      <c r="U418" s="43">
        <v>50</v>
      </c>
      <c r="V418" s="44">
        <v>25</v>
      </c>
      <c r="W418" s="45">
        <f t="shared" si="135"/>
        <v>290</v>
      </c>
      <c r="X418" s="19">
        <f t="shared" si="136"/>
        <v>48.33</v>
      </c>
      <c r="Y418" s="3">
        <v>70</v>
      </c>
      <c r="Z418" s="4">
        <v>40</v>
      </c>
      <c r="AA418" s="5">
        <v>50</v>
      </c>
      <c r="AB418" s="6">
        <v>55</v>
      </c>
      <c r="AC418" s="7">
        <v>50</v>
      </c>
      <c r="AD418" s="8">
        <v>25</v>
      </c>
      <c r="AE418" s="1">
        <v>290</v>
      </c>
      <c r="AF418" s="19">
        <v>48.33</v>
      </c>
      <c r="AG418" s="139">
        <v>70</v>
      </c>
      <c r="AH418" s="140">
        <v>40</v>
      </c>
      <c r="AI418" s="141">
        <v>50</v>
      </c>
      <c r="AJ418" s="142">
        <v>55</v>
      </c>
      <c r="AK418" s="143">
        <v>50</v>
      </c>
      <c r="AL418" s="144">
        <v>25</v>
      </c>
      <c r="AM418" s="138">
        <v>290</v>
      </c>
      <c r="AN418" s="153">
        <v>48.33</v>
      </c>
      <c r="AW418" s="45"/>
      <c r="AX418" s="174" t="b">
        <f>IF('Refined Compare'!$D$2="All",TRUE,IF(F418='Refined Compare'!$D$2,TRUE,IF(G418='Refined Compare'!$D$2,TRUE,FALSE)))</f>
        <v>0</v>
      </c>
      <c r="AY418" s="174" t="b">
        <f>IF('Refined Compare'!$D$3="All",TRUE,IF(F418='Refined Compare'!$D$3,TRUE,IF(G418='Refined Compare'!$D$3,TRUE,FALSE)))</f>
        <v>0</v>
      </c>
      <c r="AZ418" s="174" t="b">
        <f t="shared" si="125"/>
        <v>1</v>
      </c>
    </row>
    <row r="419" spans="1:52" x14ac:dyDescent="0.35">
      <c r="A419">
        <f t="shared" si="126"/>
        <v>418</v>
      </c>
      <c r="B419" s="18">
        <v>364</v>
      </c>
      <c r="C419" s="61">
        <v>3</v>
      </c>
      <c r="D419" s="61" t="b">
        <v>0</v>
      </c>
      <c r="E419" s="61"/>
      <c r="F419" s="66" t="s">
        <v>820</v>
      </c>
      <c r="G419" s="66" t="s">
        <v>810</v>
      </c>
      <c r="H419" s="38" t="s">
        <v>189</v>
      </c>
      <c r="I419" s="39">
        <f t="shared" si="127"/>
        <v>90</v>
      </c>
      <c r="J419" s="40">
        <f t="shared" si="128"/>
        <v>60</v>
      </c>
      <c r="K419" s="41">
        <f t="shared" si="129"/>
        <v>70</v>
      </c>
      <c r="L419" s="42">
        <f t="shared" si="130"/>
        <v>75</v>
      </c>
      <c r="M419" s="43">
        <f t="shared" si="131"/>
        <v>70</v>
      </c>
      <c r="N419" s="44">
        <f t="shared" si="132"/>
        <v>45</v>
      </c>
      <c r="O419" s="45">
        <f t="shared" si="133"/>
        <v>410</v>
      </c>
      <c r="P419" s="19">
        <f t="shared" si="134"/>
        <v>68.33</v>
      </c>
      <c r="Q419" s="177">
        <v>90</v>
      </c>
      <c r="R419" s="40">
        <v>60</v>
      </c>
      <c r="S419" s="41">
        <v>70</v>
      </c>
      <c r="T419" s="42">
        <v>75</v>
      </c>
      <c r="U419" s="43">
        <v>70</v>
      </c>
      <c r="V419" s="44">
        <v>45</v>
      </c>
      <c r="W419" s="45">
        <f t="shared" si="135"/>
        <v>410</v>
      </c>
      <c r="X419" s="19">
        <f t="shared" si="136"/>
        <v>68.33</v>
      </c>
      <c r="Y419" s="3">
        <v>90</v>
      </c>
      <c r="Z419" s="4">
        <v>60</v>
      </c>
      <c r="AA419" s="5">
        <v>70</v>
      </c>
      <c r="AB419" s="6">
        <v>75</v>
      </c>
      <c r="AC419" s="7">
        <v>70</v>
      </c>
      <c r="AD419" s="8">
        <v>45</v>
      </c>
      <c r="AE419" s="1">
        <v>410</v>
      </c>
      <c r="AF419" s="19">
        <v>68.33</v>
      </c>
      <c r="AG419" s="139">
        <v>90</v>
      </c>
      <c r="AH419" s="140">
        <v>60</v>
      </c>
      <c r="AI419" s="141">
        <v>70</v>
      </c>
      <c r="AJ419" s="142">
        <v>75</v>
      </c>
      <c r="AK419" s="143">
        <v>70</v>
      </c>
      <c r="AL419" s="144">
        <v>45</v>
      </c>
      <c r="AM419" s="138">
        <v>410</v>
      </c>
      <c r="AN419" s="153">
        <v>68.33</v>
      </c>
      <c r="AW419" s="45"/>
      <c r="AX419" s="174" t="b">
        <f>IF('Refined Compare'!$D$2="All",TRUE,IF(F419='Refined Compare'!$D$2,TRUE,IF(G419='Refined Compare'!$D$2,TRUE,FALSE)))</f>
        <v>0</v>
      </c>
      <c r="AY419" s="174" t="b">
        <f>IF('Refined Compare'!$D$3="All",TRUE,IF(F419='Refined Compare'!$D$3,TRUE,IF(G419='Refined Compare'!$D$3,TRUE,FALSE)))</f>
        <v>0</v>
      </c>
      <c r="AZ419" s="174" t="b">
        <f t="shared" si="125"/>
        <v>1</v>
      </c>
    </row>
    <row r="420" spans="1:52" x14ac:dyDescent="0.35">
      <c r="A420">
        <f t="shared" si="126"/>
        <v>419</v>
      </c>
      <c r="B420" s="18">
        <v>365</v>
      </c>
      <c r="C420" s="61">
        <v>3</v>
      </c>
      <c r="D420" s="118" t="b">
        <v>1</v>
      </c>
      <c r="E420" s="61"/>
      <c r="F420" s="66" t="s">
        <v>820</v>
      </c>
      <c r="G420" s="66" t="s">
        <v>810</v>
      </c>
      <c r="H420" s="38" t="s">
        <v>388</v>
      </c>
      <c r="I420" s="39">
        <f t="shared" si="127"/>
        <v>110</v>
      </c>
      <c r="J420" s="40">
        <f t="shared" si="128"/>
        <v>80</v>
      </c>
      <c r="K420" s="41">
        <f t="shared" si="129"/>
        <v>90</v>
      </c>
      <c r="L420" s="42">
        <f t="shared" si="130"/>
        <v>95</v>
      </c>
      <c r="M420" s="43">
        <f t="shared" si="131"/>
        <v>90</v>
      </c>
      <c r="N420" s="44">
        <f t="shared" si="132"/>
        <v>65</v>
      </c>
      <c r="O420" s="45">
        <f t="shared" si="133"/>
        <v>530</v>
      </c>
      <c r="P420" s="19">
        <f t="shared" si="134"/>
        <v>88.33</v>
      </c>
      <c r="Q420" s="177">
        <v>110</v>
      </c>
      <c r="R420" s="40">
        <v>80</v>
      </c>
      <c r="S420" s="41">
        <v>90</v>
      </c>
      <c r="T420" s="42">
        <v>95</v>
      </c>
      <c r="U420" s="43">
        <v>90</v>
      </c>
      <c r="V420" s="44">
        <v>65</v>
      </c>
      <c r="W420" s="45">
        <f t="shared" si="135"/>
        <v>530</v>
      </c>
      <c r="X420" s="19">
        <f t="shared" si="136"/>
        <v>88.33</v>
      </c>
      <c r="Y420" s="3">
        <v>110</v>
      </c>
      <c r="Z420" s="4">
        <v>80</v>
      </c>
      <c r="AA420" s="5">
        <v>90</v>
      </c>
      <c r="AB420" s="6">
        <v>95</v>
      </c>
      <c r="AC420" s="7">
        <v>90</v>
      </c>
      <c r="AD420" s="8">
        <v>65</v>
      </c>
      <c r="AE420" s="1">
        <v>530</v>
      </c>
      <c r="AF420" s="19">
        <v>88.33</v>
      </c>
      <c r="AG420" s="139">
        <v>110</v>
      </c>
      <c r="AH420" s="140">
        <v>80</v>
      </c>
      <c r="AI420" s="141">
        <v>90</v>
      </c>
      <c r="AJ420" s="142">
        <v>95</v>
      </c>
      <c r="AK420" s="143">
        <v>90</v>
      </c>
      <c r="AL420" s="144">
        <v>65</v>
      </c>
      <c r="AM420" s="138">
        <v>530</v>
      </c>
      <c r="AN420" s="153">
        <v>88.33</v>
      </c>
      <c r="AW420" s="45"/>
      <c r="AX420" s="174" t="b">
        <f>IF('Refined Compare'!$D$2="All",TRUE,IF(F420='Refined Compare'!$D$2,TRUE,IF(G420='Refined Compare'!$D$2,TRUE,FALSE)))</f>
        <v>0</v>
      </c>
      <c r="AY420" s="174" t="b">
        <f>IF('Refined Compare'!$D$3="All",TRUE,IF(F420='Refined Compare'!$D$3,TRUE,IF(G420='Refined Compare'!$D$3,TRUE,FALSE)))</f>
        <v>0</v>
      </c>
      <c r="AZ420" s="174" t="b">
        <f t="shared" si="125"/>
        <v>1</v>
      </c>
    </row>
    <row r="421" spans="1:52" x14ac:dyDescent="0.35">
      <c r="A421">
        <f t="shared" si="126"/>
        <v>420</v>
      </c>
      <c r="B421" s="18">
        <v>366</v>
      </c>
      <c r="C421" s="61">
        <v>3</v>
      </c>
      <c r="D421" s="61" t="b">
        <v>0</v>
      </c>
      <c r="E421" s="61"/>
      <c r="F421" s="66" t="s">
        <v>810</v>
      </c>
      <c r="G421" s="66" t="s">
        <v>827</v>
      </c>
      <c r="H421" s="38" t="s">
        <v>88</v>
      </c>
      <c r="I421" s="39">
        <f t="shared" si="127"/>
        <v>35</v>
      </c>
      <c r="J421" s="40">
        <f t="shared" si="128"/>
        <v>64</v>
      </c>
      <c r="K421" s="41">
        <f t="shared" si="129"/>
        <v>85</v>
      </c>
      <c r="L421" s="42">
        <f t="shared" si="130"/>
        <v>74</v>
      </c>
      <c r="M421" s="43">
        <f t="shared" si="131"/>
        <v>55</v>
      </c>
      <c r="N421" s="44">
        <f t="shared" si="132"/>
        <v>32</v>
      </c>
      <c r="O421" s="45">
        <f t="shared" si="133"/>
        <v>345</v>
      </c>
      <c r="P421" s="19">
        <f t="shared" si="134"/>
        <v>57.5</v>
      </c>
      <c r="Q421" s="177">
        <v>35</v>
      </c>
      <c r="R421" s="40">
        <v>64</v>
      </c>
      <c r="S421" s="41">
        <v>85</v>
      </c>
      <c r="T421" s="42">
        <v>74</v>
      </c>
      <c r="U421" s="43">
        <v>55</v>
      </c>
      <c r="V421" s="44">
        <v>32</v>
      </c>
      <c r="W421" s="45">
        <f t="shared" si="135"/>
        <v>345</v>
      </c>
      <c r="X421" s="19">
        <f t="shared" si="136"/>
        <v>57.5</v>
      </c>
      <c r="Y421" s="3">
        <v>35</v>
      </c>
      <c r="Z421" s="4">
        <v>64</v>
      </c>
      <c r="AA421" s="5">
        <v>85</v>
      </c>
      <c r="AB421" s="6">
        <v>74</v>
      </c>
      <c r="AC421" s="7">
        <v>55</v>
      </c>
      <c r="AD421" s="8">
        <v>32</v>
      </c>
      <c r="AE421" s="1">
        <v>345</v>
      </c>
      <c r="AF421" s="19">
        <v>57.5</v>
      </c>
      <c r="AG421" s="139">
        <v>35</v>
      </c>
      <c r="AH421" s="140">
        <v>64</v>
      </c>
      <c r="AI421" s="141">
        <v>85</v>
      </c>
      <c r="AJ421" s="142">
        <v>74</v>
      </c>
      <c r="AK421" s="143">
        <v>55</v>
      </c>
      <c r="AL421" s="144">
        <v>32</v>
      </c>
      <c r="AM421" s="138">
        <v>345</v>
      </c>
      <c r="AN421" s="153">
        <v>57.5</v>
      </c>
      <c r="AW421" s="45"/>
      <c r="AX421" s="174" t="b">
        <f>IF('Refined Compare'!$D$2="All",TRUE,IF(F421='Refined Compare'!$D$2,TRUE,IF(G421='Refined Compare'!$D$2,TRUE,FALSE)))</f>
        <v>0</v>
      </c>
      <c r="AY421" s="174" t="b">
        <f>IF('Refined Compare'!$D$3="All",TRUE,IF(F421='Refined Compare'!$D$3,TRUE,IF(G421='Refined Compare'!$D$3,TRUE,FALSE)))</f>
        <v>1</v>
      </c>
      <c r="AZ421" s="174" t="b">
        <f t="shared" si="125"/>
        <v>1</v>
      </c>
    </row>
    <row r="422" spans="1:52" x14ac:dyDescent="0.35">
      <c r="A422">
        <f t="shared" si="126"/>
        <v>421</v>
      </c>
      <c r="B422" s="18">
        <v>367</v>
      </c>
      <c r="C422" s="61">
        <v>3</v>
      </c>
      <c r="D422" s="118" t="b">
        <v>1</v>
      </c>
      <c r="E422" s="61"/>
      <c r="F422" s="66" t="s">
        <v>810</v>
      </c>
      <c r="G422" s="66" t="s">
        <v>827</v>
      </c>
      <c r="H422" s="38" t="s">
        <v>259</v>
      </c>
      <c r="I422" s="39">
        <f t="shared" si="127"/>
        <v>55</v>
      </c>
      <c r="J422" s="40">
        <f t="shared" si="128"/>
        <v>104</v>
      </c>
      <c r="K422" s="41">
        <f t="shared" si="129"/>
        <v>105</v>
      </c>
      <c r="L422" s="42">
        <f t="shared" si="130"/>
        <v>94</v>
      </c>
      <c r="M422" s="43">
        <f t="shared" si="131"/>
        <v>75</v>
      </c>
      <c r="N422" s="44">
        <f t="shared" si="132"/>
        <v>52</v>
      </c>
      <c r="O422" s="45">
        <f t="shared" si="133"/>
        <v>485</v>
      </c>
      <c r="P422" s="19">
        <f t="shared" si="134"/>
        <v>80.83</v>
      </c>
      <c r="Q422" s="177">
        <v>55</v>
      </c>
      <c r="R422" s="40">
        <v>104</v>
      </c>
      <c r="S422" s="41">
        <v>105</v>
      </c>
      <c r="T422" s="42">
        <v>94</v>
      </c>
      <c r="U422" s="43">
        <v>75</v>
      </c>
      <c r="V422" s="44">
        <v>52</v>
      </c>
      <c r="W422" s="45">
        <f t="shared" si="135"/>
        <v>485</v>
      </c>
      <c r="X422" s="19">
        <f t="shared" si="136"/>
        <v>80.83</v>
      </c>
      <c r="Y422" s="3">
        <v>55</v>
      </c>
      <c r="Z422" s="4">
        <v>104</v>
      </c>
      <c r="AA422" s="5">
        <v>105</v>
      </c>
      <c r="AB422" s="6">
        <v>94</v>
      </c>
      <c r="AC422" s="7">
        <v>75</v>
      </c>
      <c r="AD422" s="8">
        <v>52</v>
      </c>
      <c r="AE422" s="1">
        <v>485</v>
      </c>
      <c r="AF422" s="19">
        <v>80.83</v>
      </c>
      <c r="AG422" s="139">
        <v>55</v>
      </c>
      <c r="AH422" s="140">
        <v>104</v>
      </c>
      <c r="AI422" s="141">
        <v>105</v>
      </c>
      <c r="AJ422" s="142">
        <v>94</v>
      </c>
      <c r="AK422" s="143">
        <v>75</v>
      </c>
      <c r="AL422" s="144">
        <v>52</v>
      </c>
      <c r="AM422" s="138">
        <v>485</v>
      </c>
      <c r="AN422" s="153">
        <v>80.83</v>
      </c>
      <c r="AW422" s="45"/>
      <c r="AX422" s="174" t="b">
        <f>IF('Refined Compare'!$D$2="All",TRUE,IF(F422='Refined Compare'!$D$2,TRUE,IF(G422='Refined Compare'!$D$2,TRUE,FALSE)))</f>
        <v>0</v>
      </c>
      <c r="AY422" s="174" t="b">
        <f>IF('Refined Compare'!$D$3="All",TRUE,IF(F422='Refined Compare'!$D$3,TRUE,IF(G422='Refined Compare'!$D$3,TRUE,FALSE)))</f>
        <v>1</v>
      </c>
      <c r="AZ422" s="174" t="b">
        <f t="shared" si="125"/>
        <v>1</v>
      </c>
    </row>
    <row r="423" spans="1:52" x14ac:dyDescent="0.35">
      <c r="A423">
        <f t="shared" si="126"/>
        <v>422</v>
      </c>
      <c r="B423" s="18">
        <v>368</v>
      </c>
      <c r="C423" s="61">
        <v>3</v>
      </c>
      <c r="D423" s="118" t="b">
        <v>1</v>
      </c>
      <c r="E423" s="61"/>
      <c r="F423" s="66" t="s">
        <v>810</v>
      </c>
      <c r="G423" s="66" t="s">
        <v>827</v>
      </c>
      <c r="H423" s="38" t="s">
        <v>260</v>
      </c>
      <c r="I423" s="39">
        <f t="shared" si="127"/>
        <v>55</v>
      </c>
      <c r="J423" s="40">
        <f t="shared" si="128"/>
        <v>84</v>
      </c>
      <c r="K423" s="41">
        <f t="shared" si="129"/>
        <v>105</v>
      </c>
      <c r="L423" s="42">
        <f t="shared" si="130"/>
        <v>114</v>
      </c>
      <c r="M423" s="43">
        <f t="shared" si="131"/>
        <v>75</v>
      </c>
      <c r="N423" s="44">
        <f t="shared" si="132"/>
        <v>52</v>
      </c>
      <c r="O423" s="45">
        <f t="shared" si="133"/>
        <v>485</v>
      </c>
      <c r="P423" s="19">
        <f t="shared" si="134"/>
        <v>80.83</v>
      </c>
      <c r="Q423" s="177">
        <v>55</v>
      </c>
      <c r="R423" s="40">
        <v>84</v>
      </c>
      <c r="S423" s="41">
        <v>105</v>
      </c>
      <c r="T423" s="42">
        <v>114</v>
      </c>
      <c r="U423" s="43">
        <v>75</v>
      </c>
      <c r="V423" s="44">
        <v>52</v>
      </c>
      <c r="W423" s="45">
        <f t="shared" si="135"/>
        <v>485</v>
      </c>
      <c r="X423" s="19">
        <f t="shared" si="136"/>
        <v>80.83</v>
      </c>
      <c r="Y423" s="3">
        <v>55</v>
      </c>
      <c r="Z423" s="4">
        <v>84</v>
      </c>
      <c r="AA423" s="5">
        <v>105</v>
      </c>
      <c r="AB423" s="6">
        <v>114</v>
      </c>
      <c r="AC423" s="7">
        <v>75</v>
      </c>
      <c r="AD423" s="8">
        <v>52</v>
      </c>
      <c r="AE423" s="1">
        <v>485</v>
      </c>
      <c r="AF423" s="19">
        <v>80.83</v>
      </c>
      <c r="AG423" s="139">
        <v>55</v>
      </c>
      <c r="AH423" s="140">
        <v>84</v>
      </c>
      <c r="AI423" s="141">
        <v>105</v>
      </c>
      <c r="AJ423" s="142">
        <v>114</v>
      </c>
      <c r="AK423" s="143">
        <v>75</v>
      </c>
      <c r="AL423" s="144">
        <v>52</v>
      </c>
      <c r="AM423" s="138">
        <v>485</v>
      </c>
      <c r="AN423" s="153">
        <v>80.83</v>
      </c>
      <c r="AW423" s="45"/>
      <c r="AX423" s="174" t="b">
        <f>IF('Refined Compare'!$D$2="All",TRUE,IF(F423='Refined Compare'!$D$2,TRUE,IF(G423='Refined Compare'!$D$2,TRUE,FALSE)))</f>
        <v>0</v>
      </c>
      <c r="AY423" s="174" t="b">
        <f>IF('Refined Compare'!$D$3="All",TRUE,IF(F423='Refined Compare'!$D$3,TRUE,IF(G423='Refined Compare'!$D$3,TRUE,FALSE)))</f>
        <v>1</v>
      </c>
      <c r="AZ423" s="174" t="b">
        <f t="shared" si="125"/>
        <v>1</v>
      </c>
    </row>
    <row r="424" spans="1:52" x14ac:dyDescent="0.35">
      <c r="A424">
        <f t="shared" si="126"/>
        <v>423</v>
      </c>
      <c r="B424" s="18">
        <v>369</v>
      </c>
      <c r="C424" s="61">
        <v>3</v>
      </c>
      <c r="D424" s="118" t="b">
        <v>1</v>
      </c>
      <c r="E424" s="61"/>
      <c r="F424" s="66" t="s">
        <v>810</v>
      </c>
      <c r="G424" s="66" t="s">
        <v>818</v>
      </c>
      <c r="H424" s="38" t="s">
        <v>282</v>
      </c>
      <c r="I424" s="39">
        <f t="shared" si="127"/>
        <v>100</v>
      </c>
      <c r="J424" s="40">
        <f t="shared" si="128"/>
        <v>90</v>
      </c>
      <c r="K424" s="41">
        <f t="shared" si="129"/>
        <v>130</v>
      </c>
      <c r="L424" s="42">
        <f t="shared" si="130"/>
        <v>45</v>
      </c>
      <c r="M424" s="43">
        <f t="shared" si="131"/>
        <v>65</v>
      </c>
      <c r="N424" s="44">
        <f t="shared" si="132"/>
        <v>55</v>
      </c>
      <c r="O424" s="45">
        <f t="shared" si="133"/>
        <v>485</v>
      </c>
      <c r="P424" s="19">
        <f t="shared" si="134"/>
        <v>80.83</v>
      </c>
      <c r="Q424" s="177">
        <v>100</v>
      </c>
      <c r="R424" s="40">
        <v>90</v>
      </c>
      <c r="S424" s="41">
        <v>130</v>
      </c>
      <c r="T424" s="42">
        <v>45</v>
      </c>
      <c r="U424" s="43">
        <v>65</v>
      </c>
      <c r="V424" s="44">
        <v>55</v>
      </c>
      <c r="W424" s="45">
        <f t="shared" si="135"/>
        <v>485</v>
      </c>
      <c r="X424" s="19">
        <f t="shared" si="136"/>
        <v>80.83</v>
      </c>
      <c r="Y424" s="3">
        <v>100</v>
      </c>
      <c r="Z424" s="4">
        <v>90</v>
      </c>
      <c r="AA424" s="5">
        <v>130</v>
      </c>
      <c r="AB424" s="6">
        <v>45</v>
      </c>
      <c r="AC424" s="7">
        <v>65</v>
      </c>
      <c r="AD424" s="8">
        <v>55</v>
      </c>
      <c r="AE424" s="1">
        <v>485</v>
      </c>
      <c r="AF424" s="19">
        <v>80.83</v>
      </c>
      <c r="AG424" s="139">
        <v>100</v>
      </c>
      <c r="AH424" s="140">
        <v>90</v>
      </c>
      <c r="AI424" s="141">
        <v>130</v>
      </c>
      <c r="AJ424" s="142">
        <v>45</v>
      </c>
      <c r="AK424" s="143">
        <v>65</v>
      </c>
      <c r="AL424" s="144">
        <v>55</v>
      </c>
      <c r="AM424" s="138">
        <v>485</v>
      </c>
      <c r="AN424" s="153">
        <v>80.83</v>
      </c>
      <c r="AW424" s="45"/>
      <c r="AX424" s="174" t="b">
        <f>IF('Refined Compare'!$D$2="All",TRUE,IF(F424='Refined Compare'!$D$2,TRUE,IF(G424='Refined Compare'!$D$2,TRUE,FALSE)))</f>
        <v>0</v>
      </c>
      <c r="AY424" s="174" t="b">
        <f>IF('Refined Compare'!$D$3="All",TRUE,IF(F424='Refined Compare'!$D$3,TRUE,IF(G424='Refined Compare'!$D$3,TRUE,FALSE)))</f>
        <v>0</v>
      </c>
      <c r="AZ424" s="174" t="b">
        <f t="shared" si="125"/>
        <v>1</v>
      </c>
    </row>
    <row r="425" spans="1:52" x14ac:dyDescent="0.35">
      <c r="A425">
        <f t="shared" si="126"/>
        <v>424</v>
      </c>
      <c r="B425" s="18">
        <v>370</v>
      </c>
      <c r="C425" s="61">
        <v>3</v>
      </c>
      <c r="D425" s="118" t="b">
        <v>1</v>
      </c>
      <c r="E425" s="61"/>
      <c r="F425" s="66" t="s">
        <v>810</v>
      </c>
      <c r="G425" s="66" t="s">
        <v>827</v>
      </c>
      <c r="H425" s="38" t="s">
        <v>642</v>
      </c>
      <c r="I425" s="39">
        <f t="shared" si="127"/>
        <v>43</v>
      </c>
      <c r="J425" s="40">
        <f t="shared" si="128"/>
        <v>30</v>
      </c>
      <c r="K425" s="41">
        <f t="shared" si="129"/>
        <v>55</v>
      </c>
      <c r="L425" s="42">
        <f t="shared" si="130"/>
        <v>40</v>
      </c>
      <c r="M425" s="43">
        <f t="shared" si="131"/>
        <v>65</v>
      </c>
      <c r="N425" s="44">
        <f t="shared" si="132"/>
        <v>97</v>
      </c>
      <c r="O425" s="45">
        <f t="shared" si="133"/>
        <v>330</v>
      </c>
      <c r="P425" s="19">
        <f t="shared" si="134"/>
        <v>55</v>
      </c>
      <c r="Q425" s="177">
        <v>43</v>
      </c>
      <c r="R425" s="40">
        <v>30</v>
      </c>
      <c r="S425" s="41">
        <v>55</v>
      </c>
      <c r="T425" s="42">
        <v>40</v>
      </c>
      <c r="U425" s="43">
        <v>65</v>
      </c>
      <c r="V425" s="44">
        <v>97</v>
      </c>
      <c r="W425" s="45">
        <f t="shared" si="135"/>
        <v>330</v>
      </c>
      <c r="X425" s="19">
        <f t="shared" si="136"/>
        <v>55</v>
      </c>
      <c r="Y425" s="3">
        <v>43</v>
      </c>
      <c r="Z425" s="4">
        <v>30</v>
      </c>
      <c r="AA425" s="5">
        <v>55</v>
      </c>
      <c r="AB425" s="6">
        <v>40</v>
      </c>
      <c r="AC425" s="7">
        <v>65</v>
      </c>
      <c r="AD425" s="8">
        <v>97</v>
      </c>
      <c r="AE425" s="1">
        <v>330</v>
      </c>
      <c r="AF425" s="19">
        <v>55</v>
      </c>
      <c r="AG425" s="139">
        <v>43</v>
      </c>
      <c r="AH425" s="140">
        <v>30</v>
      </c>
      <c r="AI425" s="141">
        <v>55</v>
      </c>
      <c r="AJ425" s="142">
        <v>40</v>
      </c>
      <c r="AK425" s="143">
        <v>65</v>
      </c>
      <c r="AL425" s="144">
        <v>97</v>
      </c>
      <c r="AM425" s="138">
        <v>330</v>
      </c>
      <c r="AN425" s="153">
        <v>55</v>
      </c>
      <c r="AW425" s="45"/>
      <c r="AX425" s="174" t="b">
        <f>IF('Refined Compare'!$D$2="All",TRUE,IF(F425='Refined Compare'!$D$2,TRUE,IF(G425='Refined Compare'!$D$2,TRUE,FALSE)))</f>
        <v>0</v>
      </c>
      <c r="AY425" s="174" t="b">
        <f>IF('Refined Compare'!$D$3="All",TRUE,IF(F425='Refined Compare'!$D$3,TRUE,IF(G425='Refined Compare'!$D$3,TRUE,FALSE)))</f>
        <v>1</v>
      </c>
      <c r="AZ425" s="174" t="b">
        <f t="shared" si="125"/>
        <v>1</v>
      </c>
    </row>
    <row r="426" spans="1:52" x14ac:dyDescent="0.35">
      <c r="A426">
        <f t="shared" si="126"/>
        <v>425</v>
      </c>
      <c r="B426" s="18">
        <v>371</v>
      </c>
      <c r="C426" s="61">
        <v>3</v>
      </c>
      <c r="D426" s="61" t="b">
        <v>0</v>
      </c>
      <c r="E426" s="61"/>
      <c r="F426" s="66" t="s">
        <v>822</v>
      </c>
      <c r="G426" s="66" t="s">
        <v>827</v>
      </c>
      <c r="H426" s="38" t="s">
        <v>237</v>
      </c>
      <c r="I426" s="39">
        <f t="shared" si="127"/>
        <v>45</v>
      </c>
      <c r="J426" s="40">
        <f t="shared" si="128"/>
        <v>75</v>
      </c>
      <c r="K426" s="41">
        <f t="shared" si="129"/>
        <v>60</v>
      </c>
      <c r="L426" s="42">
        <f t="shared" si="130"/>
        <v>40</v>
      </c>
      <c r="M426" s="43">
        <f t="shared" si="131"/>
        <v>30</v>
      </c>
      <c r="N426" s="44">
        <f t="shared" si="132"/>
        <v>50</v>
      </c>
      <c r="O426" s="45">
        <f t="shared" si="133"/>
        <v>300</v>
      </c>
      <c r="P426" s="19">
        <f t="shared" si="134"/>
        <v>50</v>
      </c>
      <c r="Q426" s="177">
        <v>45</v>
      </c>
      <c r="R426" s="40">
        <v>75</v>
      </c>
      <c r="S426" s="41">
        <v>60</v>
      </c>
      <c r="T426" s="42">
        <v>40</v>
      </c>
      <c r="U426" s="43">
        <v>30</v>
      </c>
      <c r="V426" s="44">
        <v>50</v>
      </c>
      <c r="W426" s="45">
        <f t="shared" si="135"/>
        <v>300</v>
      </c>
      <c r="X426" s="19">
        <f t="shared" si="136"/>
        <v>50</v>
      </c>
      <c r="Y426" s="3">
        <v>45</v>
      </c>
      <c r="Z426" s="4">
        <v>75</v>
      </c>
      <c r="AA426" s="5">
        <v>60</v>
      </c>
      <c r="AB426" s="6">
        <v>40</v>
      </c>
      <c r="AC426" s="7">
        <v>30</v>
      </c>
      <c r="AD426" s="8">
        <v>50</v>
      </c>
      <c r="AE426" s="1">
        <v>300</v>
      </c>
      <c r="AF426" s="19">
        <v>50</v>
      </c>
      <c r="AG426" s="139">
        <v>45</v>
      </c>
      <c r="AH426" s="140">
        <v>75</v>
      </c>
      <c r="AI426" s="141">
        <v>60</v>
      </c>
      <c r="AJ426" s="142">
        <v>40</v>
      </c>
      <c r="AK426" s="143">
        <v>30</v>
      </c>
      <c r="AL426" s="144">
        <v>50</v>
      </c>
      <c r="AM426" s="138">
        <v>300</v>
      </c>
      <c r="AN426" s="153">
        <v>50</v>
      </c>
      <c r="AW426" s="45"/>
      <c r="AX426" s="174" t="b">
        <f>IF('Refined Compare'!$D$2="All",TRUE,IF(F426='Refined Compare'!$D$2,TRUE,IF(G426='Refined Compare'!$D$2,TRUE,FALSE)))</f>
        <v>0</v>
      </c>
      <c r="AY426" s="174" t="b">
        <f>IF('Refined Compare'!$D$3="All",TRUE,IF(F426='Refined Compare'!$D$3,TRUE,IF(G426='Refined Compare'!$D$3,TRUE,FALSE)))</f>
        <v>1</v>
      </c>
      <c r="AZ426" s="174" t="b">
        <f t="shared" si="125"/>
        <v>1</v>
      </c>
    </row>
    <row r="427" spans="1:52" x14ac:dyDescent="0.35">
      <c r="A427">
        <f t="shared" si="126"/>
        <v>426</v>
      </c>
      <c r="B427" s="18">
        <v>372</v>
      </c>
      <c r="C427" s="61">
        <v>3</v>
      </c>
      <c r="D427" s="61" t="b">
        <v>0</v>
      </c>
      <c r="E427" s="61"/>
      <c r="F427" s="66" t="s">
        <v>822</v>
      </c>
      <c r="G427" s="66" t="s">
        <v>827</v>
      </c>
      <c r="H427" s="38" t="s">
        <v>238</v>
      </c>
      <c r="I427" s="39">
        <f t="shared" si="127"/>
        <v>65</v>
      </c>
      <c r="J427" s="40">
        <f t="shared" si="128"/>
        <v>95</v>
      </c>
      <c r="K427" s="41">
        <f t="shared" si="129"/>
        <v>100</v>
      </c>
      <c r="L427" s="42">
        <f t="shared" si="130"/>
        <v>60</v>
      </c>
      <c r="M427" s="43">
        <f t="shared" si="131"/>
        <v>50</v>
      </c>
      <c r="N427" s="44">
        <f t="shared" si="132"/>
        <v>50</v>
      </c>
      <c r="O427" s="45">
        <f t="shared" si="133"/>
        <v>420</v>
      </c>
      <c r="P427" s="19">
        <f t="shared" si="134"/>
        <v>70</v>
      </c>
      <c r="Q427" s="177">
        <v>65</v>
      </c>
      <c r="R427" s="40">
        <v>95</v>
      </c>
      <c r="S427" s="41">
        <v>100</v>
      </c>
      <c r="T427" s="42">
        <v>60</v>
      </c>
      <c r="U427" s="43">
        <v>50</v>
      </c>
      <c r="V427" s="44">
        <v>50</v>
      </c>
      <c r="W427" s="45">
        <f t="shared" si="135"/>
        <v>420</v>
      </c>
      <c r="X427" s="19">
        <f t="shared" si="136"/>
        <v>70</v>
      </c>
      <c r="Y427" s="3">
        <v>65</v>
      </c>
      <c r="Z427" s="4">
        <v>95</v>
      </c>
      <c r="AA427" s="5">
        <v>100</v>
      </c>
      <c r="AB427" s="6">
        <v>60</v>
      </c>
      <c r="AC427" s="7">
        <v>50</v>
      </c>
      <c r="AD427" s="8">
        <v>50</v>
      </c>
      <c r="AE427" s="1">
        <v>420</v>
      </c>
      <c r="AF427" s="19">
        <v>70</v>
      </c>
      <c r="AG427" s="139">
        <v>65</v>
      </c>
      <c r="AH427" s="140">
        <v>95</v>
      </c>
      <c r="AI427" s="141">
        <v>100</v>
      </c>
      <c r="AJ427" s="142">
        <v>60</v>
      </c>
      <c r="AK427" s="143">
        <v>50</v>
      </c>
      <c r="AL427" s="144">
        <v>50</v>
      </c>
      <c r="AM427" s="138">
        <v>420</v>
      </c>
      <c r="AN427" s="153">
        <v>70</v>
      </c>
      <c r="AW427" s="45"/>
      <c r="AX427" s="174" t="b">
        <f>IF('Refined Compare'!$D$2="All",TRUE,IF(F427='Refined Compare'!$D$2,TRUE,IF(G427='Refined Compare'!$D$2,TRUE,FALSE)))</f>
        <v>0</v>
      </c>
      <c r="AY427" s="174" t="b">
        <f>IF('Refined Compare'!$D$3="All",TRUE,IF(F427='Refined Compare'!$D$3,TRUE,IF(G427='Refined Compare'!$D$3,TRUE,FALSE)))</f>
        <v>1</v>
      </c>
      <c r="AZ427" s="174" t="b">
        <f t="shared" si="125"/>
        <v>1</v>
      </c>
    </row>
    <row r="428" spans="1:52" x14ac:dyDescent="0.35">
      <c r="A428">
        <f t="shared" si="126"/>
        <v>427</v>
      </c>
      <c r="B428" s="18">
        <v>373</v>
      </c>
      <c r="C428" s="61">
        <v>3</v>
      </c>
      <c r="D428" s="61" t="b">
        <f>IF($AW$2&lt;6,TRUE,FALSE)</f>
        <v>1</v>
      </c>
      <c r="E428" s="61"/>
      <c r="F428" s="66" t="s">
        <v>822</v>
      </c>
      <c r="G428" s="66" t="s">
        <v>809</v>
      </c>
      <c r="H428" s="38" t="s">
        <v>674</v>
      </c>
      <c r="I428" s="39">
        <f t="shared" si="127"/>
        <v>95</v>
      </c>
      <c r="J428" s="40">
        <f t="shared" si="128"/>
        <v>135</v>
      </c>
      <c r="K428" s="41">
        <f t="shared" si="129"/>
        <v>80</v>
      </c>
      <c r="L428" s="42">
        <f t="shared" si="130"/>
        <v>110</v>
      </c>
      <c r="M428" s="43">
        <f t="shared" si="131"/>
        <v>80</v>
      </c>
      <c r="N428" s="44">
        <f t="shared" si="132"/>
        <v>100</v>
      </c>
      <c r="O428" s="45">
        <f t="shared" si="133"/>
        <v>600</v>
      </c>
      <c r="P428" s="19">
        <f t="shared" si="134"/>
        <v>100</v>
      </c>
      <c r="Q428" s="177">
        <v>95</v>
      </c>
      <c r="R428" s="40">
        <v>135</v>
      </c>
      <c r="S428" s="41">
        <v>80</v>
      </c>
      <c r="T428" s="42">
        <v>110</v>
      </c>
      <c r="U428" s="43">
        <v>80</v>
      </c>
      <c r="V428" s="44">
        <v>100</v>
      </c>
      <c r="W428" s="45">
        <f t="shared" si="135"/>
        <v>600</v>
      </c>
      <c r="X428" s="19">
        <f t="shared" si="136"/>
        <v>100</v>
      </c>
      <c r="Y428" s="3">
        <v>95</v>
      </c>
      <c r="Z428" s="4">
        <v>135</v>
      </c>
      <c r="AA428" s="5">
        <v>80</v>
      </c>
      <c r="AB428" s="6">
        <v>110</v>
      </c>
      <c r="AC428" s="7">
        <v>80</v>
      </c>
      <c r="AD428" s="8">
        <v>100</v>
      </c>
      <c r="AE428" s="1">
        <v>600</v>
      </c>
      <c r="AF428" s="19">
        <v>100</v>
      </c>
      <c r="AG428" s="139">
        <v>95</v>
      </c>
      <c r="AH428" s="140">
        <v>135</v>
      </c>
      <c r="AI428" s="141">
        <v>80</v>
      </c>
      <c r="AJ428" s="142">
        <v>110</v>
      </c>
      <c r="AK428" s="143">
        <v>80</v>
      </c>
      <c r="AL428" s="144">
        <v>100</v>
      </c>
      <c r="AM428" s="138">
        <v>600</v>
      </c>
      <c r="AN428" s="153">
        <v>100</v>
      </c>
      <c r="AW428" s="45"/>
      <c r="AX428" s="174" t="b">
        <f>IF('Refined Compare'!$D$2="All",TRUE,IF(F428='Refined Compare'!$D$2,TRUE,IF(G428='Refined Compare'!$D$2,TRUE,FALSE)))</f>
        <v>0</v>
      </c>
      <c r="AY428" s="174" t="b">
        <f>IF('Refined Compare'!$D$3="All",TRUE,IF(F428='Refined Compare'!$D$3,TRUE,IF(G428='Refined Compare'!$D$3,TRUE,FALSE)))</f>
        <v>0</v>
      </c>
      <c r="AZ428" s="174" t="b">
        <f t="shared" si="125"/>
        <v>1</v>
      </c>
    </row>
    <row r="429" spans="1:52" x14ac:dyDescent="0.35">
      <c r="A429">
        <f t="shared" si="126"/>
        <v>428</v>
      </c>
      <c r="B429" s="62">
        <v>373</v>
      </c>
      <c r="C429" s="61">
        <v>6</v>
      </c>
      <c r="D429" s="118" t="b">
        <f>IF(AZ429,TRUE,FALSE)</f>
        <v>0</v>
      </c>
      <c r="E429" s="61" t="s">
        <v>801</v>
      </c>
      <c r="F429" s="66" t="s">
        <v>822</v>
      </c>
      <c r="G429" s="66" t="s">
        <v>809</v>
      </c>
      <c r="H429" s="38" t="s">
        <v>835</v>
      </c>
      <c r="I429" s="39">
        <f t="shared" si="127"/>
        <v>0</v>
      </c>
      <c r="J429" s="40">
        <f t="shared" si="128"/>
        <v>0</v>
      </c>
      <c r="K429" s="41">
        <f t="shared" si="129"/>
        <v>0</v>
      </c>
      <c r="L429" s="42">
        <f t="shared" si="130"/>
        <v>0</v>
      </c>
      <c r="M429" s="43">
        <f t="shared" si="131"/>
        <v>0</v>
      </c>
      <c r="N429" s="44">
        <f t="shared" si="132"/>
        <v>0</v>
      </c>
      <c r="O429" s="45">
        <f t="shared" si="133"/>
        <v>0</v>
      </c>
      <c r="P429" s="19">
        <f t="shared" si="134"/>
        <v>0</v>
      </c>
      <c r="Q429" s="177">
        <v>95</v>
      </c>
      <c r="R429" s="40">
        <v>145</v>
      </c>
      <c r="S429" s="41">
        <v>130</v>
      </c>
      <c r="T429" s="42">
        <v>120</v>
      </c>
      <c r="U429" s="43">
        <v>90</v>
      </c>
      <c r="V429" s="44">
        <v>120</v>
      </c>
      <c r="W429" s="45">
        <f t="shared" si="135"/>
        <v>700</v>
      </c>
      <c r="X429" s="19">
        <f t="shared" si="136"/>
        <v>116.67</v>
      </c>
      <c r="Y429" s="3">
        <v>95</v>
      </c>
      <c r="Z429" s="4">
        <v>145</v>
      </c>
      <c r="AA429" s="5">
        <v>130</v>
      </c>
      <c r="AB429" s="6">
        <v>120</v>
      </c>
      <c r="AC429" s="7">
        <v>90</v>
      </c>
      <c r="AD429" s="8">
        <v>120</v>
      </c>
      <c r="AE429" s="1">
        <v>700</v>
      </c>
      <c r="AF429" s="19">
        <v>116.67</v>
      </c>
      <c r="AN429" s="172"/>
      <c r="AV429" s="174"/>
      <c r="AW429" s="45"/>
      <c r="AX429" s="174" t="b">
        <f>IF('Refined Compare'!$D$2="All",TRUE,IF(F429='Refined Compare'!$D$2,TRUE,IF(G429='Refined Compare'!$D$2,TRUE,FALSE)))</f>
        <v>0</v>
      </c>
      <c r="AY429" s="174" t="b">
        <f>IF('Refined Compare'!$D$3="All",TRUE,IF(F429='Refined Compare'!$D$3,TRUE,IF(G429='Refined Compare'!$D$3,TRUE,FALSE)))</f>
        <v>0</v>
      </c>
      <c r="AZ429" s="174" t="b">
        <f t="shared" si="125"/>
        <v>0</v>
      </c>
    </row>
    <row r="430" spans="1:52" x14ac:dyDescent="0.35">
      <c r="A430">
        <f t="shared" si="126"/>
        <v>429</v>
      </c>
      <c r="B430" s="18">
        <v>374</v>
      </c>
      <c r="C430" s="61">
        <v>3</v>
      </c>
      <c r="D430" s="61" t="b">
        <v>0</v>
      </c>
      <c r="E430" s="61"/>
      <c r="F430" s="66" t="s">
        <v>819</v>
      </c>
      <c r="G430" s="66" t="s">
        <v>817</v>
      </c>
      <c r="H430" s="38" t="s">
        <v>73</v>
      </c>
      <c r="I430" s="39">
        <f t="shared" si="127"/>
        <v>40</v>
      </c>
      <c r="J430" s="40">
        <f t="shared" si="128"/>
        <v>55</v>
      </c>
      <c r="K430" s="41">
        <f t="shared" si="129"/>
        <v>80</v>
      </c>
      <c r="L430" s="42">
        <f t="shared" si="130"/>
        <v>35</v>
      </c>
      <c r="M430" s="43">
        <f t="shared" si="131"/>
        <v>60</v>
      </c>
      <c r="N430" s="44">
        <f t="shared" si="132"/>
        <v>30</v>
      </c>
      <c r="O430" s="45">
        <f t="shared" si="133"/>
        <v>300</v>
      </c>
      <c r="P430" s="19">
        <f t="shared" si="134"/>
        <v>50</v>
      </c>
      <c r="Q430" s="177">
        <v>40</v>
      </c>
      <c r="R430" s="40">
        <v>55</v>
      </c>
      <c r="S430" s="41">
        <v>80</v>
      </c>
      <c r="T430" s="42">
        <v>35</v>
      </c>
      <c r="U430" s="43">
        <v>60</v>
      </c>
      <c r="V430" s="44">
        <v>30</v>
      </c>
      <c r="W430" s="45">
        <f t="shared" si="135"/>
        <v>300</v>
      </c>
      <c r="X430" s="19">
        <f t="shared" si="136"/>
        <v>50</v>
      </c>
      <c r="Y430" s="3">
        <v>40</v>
      </c>
      <c r="Z430" s="4">
        <v>55</v>
      </c>
      <c r="AA430" s="5">
        <v>80</v>
      </c>
      <c r="AB430" s="6">
        <v>35</v>
      </c>
      <c r="AC430" s="7">
        <v>60</v>
      </c>
      <c r="AD430" s="8">
        <v>30</v>
      </c>
      <c r="AE430" s="1">
        <v>300</v>
      </c>
      <c r="AF430" s="19">
        <v>50</v>
      </c>
      <c r="AG430" s="139">
        <v>40</v>
      </c>
      <c r="AH430" s="140">
        <v>55</v>
      </c>
      <c r="AI430" s="141">
        <v>80</v>
      </c>
      <c r="AJ430" s="142">
        <v>35</v>
      </c>
      <c r="AK430" s="143">
        <v>60</v>
      </c>
      <c r="AL430" s="144">
        <v>30</v>
      </c>
      <c r="AM430" s="138">
        <v>300</v>
      </c>
      <c r="AN430" s="153">
        <v>50</v>
      </c>
      <c r="AW430" s="45"/>
      <c r="AX430" s="174" t="b">
        <f>IF('Refined Compare'!$D$2="All",TRUE,IF(F430='Refined Compare'!$D$2,TRUE,IF(G430='Refined Compare'!$D$2,TRUE,FALSE)))</f>
        <v>0</v>
      </c>
      <c r="AY430" s="174" t="b">
        <f>IF('Refined Compare'!$D$3="All",TRUE,IF(F430='Refined Compare'!$D$3,TRUE,IF(G430='Refined Compare'!$D$3,TRUE,FALSE)))</f>
        <v>0</v>
      </c>
      <c r="AZ430" s="174" t="b">
        <f t="shared" si="125"/>
        <v>1</v>
      </c>
    </row>
    <row r="431" spans="1:52" x14ac:dyDescent="0.35">
      <c r="A431">
        <f t="shared" si="126"/>
        <v>430</v>
      </c>
      <c r="B431" s="18">
        <v>375</v>
      </c>
      <c r="C431" s="61">
        <v>3</v>
      </c>
      <c r="D431" s="61" t="b">
        <v>0</v>
      </c>
      <c r="E431" s="61"/>
      <c r="F431" s="66" t="s">
        <v>819</v>
      </c>
      <c r="G431" s="66" t="s">
        <v>817</v>
      </c>
      <c r="H431" s="38" t="s">
        <v>239</v>
      </c>
      <c r="I431" s="39">
        <f t="shared" si="127"/>
        <v>60</v>
      </c>
      <c r="J431" s="40">
        <f t="shared" si="128"/>
        <v>75</v>
      </c>
      <c r="K431" s="41">
        <f t="shared" si="129"/>
        <v>100</v>
      </c>
      <c r="L431" s="42">
        <f t="shared" si="130"/>
        <v>55</v>
      </c>
      <c r="M431" s="43">
        <f t="shared" si="131"/>
        <v>80</v>
      </c>
      <c r="N431" s="44">
        <f t="shared" si="132"/>
        <v>50</v>
      </c>
      <c r="O431" s="45">
        <f t="shared" si="133"/>
        <v>420</v>
      </c>
      <c r="P431" s="19">
        <f t="shared" si="134"/>
        <v>70</v>
      </c>
      <c r="Q431" s="177">
        <v>60</v>
      </c>
      <c r="R431" s="40">
        <v>75</v>
      </c>
      <c r="S431" s="41">
        <v>100</v>
      </c>
      <c r="T431" s="42">
        <v>55</v>
      </c>
      <c r="U431" s="43">
        <v>80</v>
      </c>
      <c r="V431" s="44">
        <v>50</v>
      </c>
      <c r="W431" s="45">
        <f t="shared" si="135"/>
        <v>420</v>
      </c>
      <c r="X431" s="19">
        <f t="shared" si="136"/>
        <v>70</v>
      </c>
      <c r="Y431" s="3">
        <v>60</v>
      </c>
      <c r="Z431" s="4">
        <v>75</v>
      </c>
      <c r="AA431" s="5">
        <v>100</v>
      </c>
      <c r="AB431" s="6">
        <v>55</v>
      </c>
      <c r="AC431" s="7">
        <v>80</v>
      </c>
      <c r="AD431" s="8">
        <v>50</v>
      </c>
      <c r="AE431" s="1">
        <v>420</v>
      </c>
      <c r="AF431" s="19">
        <v>70</v>
      </c>
      <c r="AG431" s="139">
        <v>60</v>
      </c>
      <c r="AH431" s="140">
        <v>75</v>
      </c>
      <c r="AI431" s="141">
        <v>100</v>
      </c>
      <c r="AJ431" s="142">
        <v>55</v>
      </c>
      <c r="AK431" s="143">
        <v>80</v>
      </c>
      <c r="AL431" s="144">
        <v>50</v>
      </c>
      <c r="AM431" s="138">
        <v>420</v>
      </c>
      <c r="AN431" s="153">
        <v>70</v>
      </c>
      <c r="AW431" s="45"/>
      <c r="AX431" s="174" t="b">
        <f>IF('Refined Compare'!$D$2="All",TRUE,IF(F431='Refined Compare'!$D$2,TRUE,IF(G431='Refined Compare'!$D$2,TRUE,FALSE)))</f>
        <v>0</v>
      </c>
      <c r="AY431" s="174" t="b">
        <f>IF('Refined Compare'!$D$3="All",TRUE,IF(F431='Refined Compare'!$D$3,TRUE,IF(G431='Refined Compare'!$D$3,TRUE,FALSE)))</f>
        <v>0</v>
      </c>
      <c r="AZ431" s="174" t="b">
        <f t="shared" si="125"/>
        <v>1</v>
      </c>
    </row>
    <row r="432" spans="1:52" x14ac:dyDescent="0.35">
      <c r="A432">
        <f t="shared" si="126"/>
        <v>431</v>
      </c>
      <c r="B432" s="18">
        <v>376</v>
      </c>
      <c r="C432" s="61">
        <v>3</v>
      </c>
      <c r="D432" s="61" t="b">
        <f>IF($AW$2&lt;6,TRUE,FALSE)</f>
        <v>1</v>
      </c>
      <c r="E432" s="61"/>
      <c r="F432" s="66" t="s">
        <v>819</v>
      </c>
      <c r="G432" s="66" t="s">
        <v>817</v>
      </c>
      <c r="H432" s="38" t="s">
        <v>445</v>
      </c>
      <c r="I432" s="39">
        <f t="shared" si="127"/>
        <v>80</v>
      </c>
      <c r="J432" s="40">
        <f t="shared" si="128"/>
        <v>135</v>
      </c>
      <c r="K432" s="41">
        <f t="shared" si="129"/>
        <v>130</v>
      </c>
      <c r="L432" s="42">
        <f t="shared" si="130"/>
        <v>95</v>
      </c>
      <c r="M432" s="43">
        <f t="shared" si="131"/>
        <v>90</v>
      </c>
      <c r="N432" s="44">
        <f t="shared" si="132"/>
        <v>70</v>
      </c>
      <c r="O432" s="45">
        <f t="shared" si="133"/>
        <v>600</v>
      </c>
      <c r="P432" s="19">
        <f t="shared" si="134"/>
        <v>100</v>
      </c>
      <c r="Q432" s="177">
        <v>80</v>
      </c>
      <c r="R432" s="40">
        <v>135</v>
      </c>
      <c r="S432" s="41">
        <v>130</v>
      </c>
      <c r="T432" s="42">
        <v>95</v>
      </c>
      <c r="U432" s="43">
        <v>90</v>
      </c>
      <c r="V432" s="44">
        <v>70</v>
      </c>
      <c r="W432" s="45">
        <f t="shared" si="135"/>
        <v>600</v>
      </c>
      <c r="X432" s="19">
        <f t="shared" si="136"/>
        <v>100</v>
      </c>
      <c r="Y432" s="3">
        <v>80</v>
      </c>
      <c r="Z432" s="4">
        <v>135</v>
      </c>
      <c r="AA432" s="5">
        <v>130</v>
      </c>
      <c r="AB432" s="6">
        <v>95</v>
      </c>
      <c r="AC432" s="7">
        <v>90</v>
      </c>
      <c r="AD432" s="8">
        <v>70</v>
      </c>
      <c r="AE432" s="1">
        <v>600</v>
      </c>
      <c r="AF432" s="19">
        <v>100</v>
      </c>
      <c r="AG432" s="139">
        <v>80</v>
      </c>
      <c r="AH432" s="140">
        <v>135</v>
      </c>
      <c r="AI432" s="141">
        <v>130</v>
      </c>
      <c r="AJ432" s="142">
        <v>95</v>
      </c>
      <c r="AK432" s="143">
        <v>90</v>
      </c>
      <c r="AL432" s="144">
        <v>70</v>
      </c>
      <c r="AM432" s="138">
        <v>600</v>
      </c>
      <c r="AN432" s="153">
        <v>100</v>
      </c>
      <c r="AW432" s="45"/>
      <c r="AX432" s="174" t="b">
        <f>IF('Refined Compare'!$D$2="All",TRUE,IF(F432='Refined Compare'!$D$2,TRUE,IF(G432='Refined Compare'!$D$2,TRUE,FALSE)))</f>
        <v>0</v>
      </c>
      <c r="AY432" s="174" t="b">
        <f>IF('Refined Compare'!$D$3="All",TRUE,IF(F432='Refined Compare'!$D$3,TRUE,IF(G432='Refined Compare'!$D$3,TRUE,FALSE)))</f>
        <v>0</v>
      </c>
      <c r="AZ432" s="174" t="b">
        <f t="shared" si="125"/>
        <v>1</v>
      </c>
    </row>
    <row r="433" spans="1:52" x14ac:dyDescent="0.35">
      <c r="A433">
        <f t="shared" si="126"/>
        <v>432</v>
      </c>
      <c r="B433" s="62">
        <v>376</v>
      </c>
      <c r="C433" s="61">
        <v>6</v>
      </c>
      <c r="D433" s="118" t="b">
        <f>IF(AZ433,TRUE,FALSE)</f>
        <v>0</v>
      </c>
      <c r="E433" s="61" t="s">
        <v>801</v>
      </c>
      <c r="F433" s="66" t="s">
        <v>819</v>
      </c>
      <c r="G433" s="66" t="s">
        <v>817</v>
      </c>
      <c r="H433" s="38" t="s">
        <v>721</v>
      </c>
      <c r="I433" s="39">
        <f t="shared" si="127"/>
        <v>0</v>
      </c>
      <c r="J433" s="40">
        <f t="shared" si="128"/>
        <v>0</v>
      </c>
      <c r="K433" s="41">
        <f t="shared" si="129"/>
        <v>0</v>
      </c>
      <c r="L433" s="42">
        <f t="shared" si="130"/>
        <v>0</v>
      </c>
      <c r="M433" s="43">
        <f t="shared" si="131"/>
        <v>0</v>
      </c>
      <c r="N433" s="44">
        <f t="shared" si="132"/>
        <v>0</v>
      </c>
      <c r="O433" s="45">
        <f t="shared" si="133"/>
        <v>0</v>
      </c>
      <c r="P433" s="19">
        <f t="shared" si="134"/>
        <v>0</v>
      </c>
      <c r="Q433" s="177">
        <v>80</v>
      </c>
      <c r="R433" s="40">
        <v>145</v>
      </c>
      <c r="S433" s="41">
        <v>150</v>
      </c>
      <c r="T433" s="42">
        <v>105</v>
      </c>
      <c r="U433" s="43">
        <v>110</v>
      </c>
      <c r="V433" s="44">
        <v>110</v>
      </c>
      <c r="W433" s="45">
        <f t="shared" si="135"/>
        <v>700</v>
      </c>
      <c r="X433" s="19">
        <f t="shared" si="136"/>
        <v>116.67</v>
      </c>
      <c r="Y433" s="3">
        <v>80</v>
      </c>
      <c r="Z433" s="4">
        <v>145</v>
      </c>
      <c r="AA433" s="5">
        <v>150</v>
      </c>
      <c r="AB433" s="6">
        <v>105</v>
      </c>
      <c r="AC433" s="7">
        <v>110</v>
      </c>
      <c r="AD433" s="8">
        <v>110</v>
      </c>
      <c r="AE433" s="1">
        <v>700</v>
      </c>
      <c r="AF433" s="19">
        <v>116.67</v>
      </c>
      <c r="AN433" s="172"/>
      <c r="AV433" s="174"/>
      <c r="AW433" s="45"/>
      <c r="AX433" s="174" t="b">
        <f>IF('Refined Compare'!$D$2="All",TRUE,IF(F433='Refined Compare'!$D$2,TRUE,IF(G433='Refined Compare'!$D$2,TRUE,FALSE)))</f>
        <v>0</v>
      </c>
      <c r="AY433" s="174" t="b">
        <f>IF('Refined Compare'!$D$3="All",TRUE,IF(F433='Refined Compare'!$D$3,TRUE,IF(G433='Refined Compare'!$D$3,TRUE,FALSE)))</f>
        <v>0</v>
      </c>
      <c r="AZ433" s="174" t="b">
        <f t="shared" si="125"/>
        <v>0</v>
      </c>
    </row>
    <row r="434" spans="1:52" x14ac:dyDescent="0.35">
      <c r="A434">
        <f t="shared" si="126"/>
        <v>433</v>
      </c>
      <c r="B434" s="18">
        <v>377</v>
      </c>
      <c r="C434" s="61">
        <v>3</v>
      </c>
      <c r="D434" s="118" t="b">
        <v>1</v>
      </c>
      <c r="E434" s="61"/>
      <c r="F434" s="66" t="s">
        <v>818</v>
      </c>
      <c r="G434" s="66" t="s">
        <v>827</v>
      </c>
      <c r="H434" s="38" t="s">
        <v>240</v>
      </c>
      <c r="I434" s="39">
        <f t="shared" si="127"/>
        <v>80</v>
      </c>
      <c r="J434" s="40">
        <f t="shared" si="128"/>
        <v>100</v>
      </c>
      <c r="K434" s="41">
        <f t="shared" si="129"/>
        <v>200</v>
      </c>
      <c r="L434" s="42">
        <f t="shared" si="130"/>
        <v>50</v>
      </c>
      <c r="M434" s="43">
        <f t="shared" si="131"/>
        <v>100</v>
      </c>
      <c r="N434" s="44">
        <f t="shared" si="132"/>
        <v>50</v>
      </c>
      <c r="O434" s="45">
        <f t="shared" si="133"/>
        <v>580</v>
      </c>
      <c r="P434" s="19">
        <f t="shared" si="134"/>
        <v>96.67</v>
      </c>
      <c r="Q434" s="177">
        <v>80</v>
      </c>
      <c r="R434" s="40">
        <v>100</v>
      </c>
      <c r="S434" s="41">
        <v>200</v>
      </c>
      <c r="T434" s="42">
        <v>50</v>
      </c>
      <c r="U434" s="43">
        <v>100</v>
      </c>
      <c r="V434" s="44">
        <v>50</v>
      </c>
      <c r="W434" s="45">
        <f t="shared" si="135"/>
        <v>580</v>
      </c>
      <c r="X434" s="19">
        <f t="shared" si="136"/>
        <v>96.67</v>
      </c>
      <c r="Y434" s="3">
        <v>80</v>
      </c>
      <c r="Z434" s="4">
        <v>100</v>
      </c>
      <c r="AA434" s="5">
        <v>200</v>
      </c>
      <c r="AB434" s="6">
        <v>50</v>
      </c>
      <c r="AC434" s="7">
        <v>100</v>
      </c>
      <c r="AD434" s="8">
        <v>50</v>
      </c>
      <c r="AE434" s="1">
        <v>580</v>
      </c>
      <c r="AF434" s="19">
        <v>96.67</v>
      </c>
      <c r="AG434" s="139">
        <v>80</v>
      </c>
      <c r="AH434" s="140">
        <v>100</v>
      </c>
      <c r="AI434" s="141">
        <v>200</v>
      </c>
      <c r="AJ434" s="142">
        <v>50</v>
      </c>
      <c r="AK434" s="143">
        <v>100</v>
      </c>
      <c r="AL434" s="144">
        <v>50</v>
      </c>
      <c r="AM434" s="138">
        <v>580</v>
      </c>
      <c r="AN434" s="153">
        <v>96.67</v>
      </c>
      <c r="AW434" s="45"/>
      <c r="AX434" s="174" t="b">
        <f>IF('Refined Compare'!$D$2="All",TRUE,IF(F434='Refined Compare'!$D$2,TRUE,IF(G434='Refined Compare'!$D$2,TRUE,FALSE)))</f>
        <v>0</v>
      </c>
      <c r="AY434" s="174" t="b">
        <f>IF('Refined Compare'!$D$3="All",TRUE,IF(F434='Refined Compare'!$D$3,TRUE,IF(G434='Refined Compare'!$D$3,TRUE,FALSE)))</f>
        <v>1</v>
      </c>
      <c r="AZ434" s="174" t="b">
        <f t="shared" si="125"/>
        <v>1</v>
      </c>
    </row>
    <row r="435" spans="1:52" x14ac:dyDescent="0.35">
      <c r="A435">
        <f t="shared" si="126"/>
        <v>434</v>
      </c>
      <c r="B435" s="18">
        <v>378</v>
      </c>
      <c r="C435" s="61">
        <v>3</v>
      </c>
      <c r="D435" s="118" t="b">
        <v>1</v>
      </c>
      <c r="E435" s="61"/>
      <c r="F435" s="66" t="s">
        <v>820</v>
      </c>
      <c r="G435" s="66" t="s">
        <v>827</v>
      </c>
      <c r="H435" s="38" t="s">
        <v>241</v>
      </c>
      <c r="I435" s="39">
        <f t="shared" si="127"/>
        <v>80</v>
      </c>
      <c r="J435" s="40">
        <f t="shared" si="128"/>
        <v>50</v>
      </c>
      <c r="K435" s="41">
        <f t="shared" si="129"/>
        <v>100</v>
      </c>
      <c r="L435" s="42">
        <f t="shared" si="130"/>
        <v>100</v>
      </c>
      <c r="M435" s="43">
        <f t="shared" si="131"/>
        <v>200</v>
      </c>
      <c r="N435" s="44">
        <f t="shared" si="132"/>
        <v>50</v>
      </c>
      <c r="O435" s="45">
        <f t="shared" si="133"/>
        <v>580</v>
      </c>
      <c r="P435" s="19">
        <f t="shared" si="134"/>
        <v>96.67</v>
      </c>
      <c r="Q435" s="177">
        <v>80</v>
      </c>
      <c r="R435" s="40">
        <v>50</v>
      </c>
      <c r="S435" s="41">
        <v>100</v>
      </c>
      <c r="T435" s="42">
        <v>100</v>
      </c>
      <c r="U435" s="43">
        <v>200</v>
      </c>
      <c r="V435" s="44">
        <v>50</v>
      </c>
      <c r="W435" s="45">
        <f t="shared" si="135"/>
        <v>580</v>
      </c>
      <c r="X435" s="19">
        <f t="shared" si="136"/>
        <v>96.67</v>
      </c>
      <c r="Y435" s="3">
        <v>80</v>
      </c>
      <c r="Z435" s="4">
        <v>50</v>
      </c>
      <c r="AA435" s="5">
        <v>100</v>
      </c>
      <c r="AB435" s="6">
        <v>100</v>
      </c>
      <c r="AC435" s="7">
        <v>200</v>
      </c>
      <c r="AD435" s="8">
        <v>50</v>
      </c>
      <c r="AE435" s="1">
        <v>580</v>
      </c>
      <c r="AF435" s="19">
        <v>96.67</v>
      </c>
      <c r="AG435" s="139">
        <v>80</v>
      </c>
      <c r="AH435" s="140">
        <v>50</v>
      </c>
      <c r="AI435" s="141">
        <v>100</v>
      </c>
      <c r="AJ435" s="142">
        <v>100</v>
      </c>
      <c r="AK435" s="143">
        <v>200</v>
      </c>
      <c r="AL435" s="144">
        <v>50</v>
      </c>
      <c r="AM435" s="138">
        <v>580</v>
      </c>
      <c r="AN435" s="153">
        <v>96.67</v>
      </c>
      <c r="AW435" s="45"/>
      <c r="AX435" s="174" t="b">
        <f>IF('Refined Compare'!$D$2="All",TRUE,IF(F435='Refined Compare'!$D$2,TRUE,IF(G435='Refined Compare'!$D$2,TRUE,FALSE)))</f>
        <v>0</v>
      </c>
      <c r="AY435" s="174" t="b">
        <f>IF('Refined Compare'!$D$3="All",TRUE,IF(F435='Refined Compare'!$D$3,TRUE,IF(G435='Refined Compare'!$D$3,TRUE,FALSE)))</f>
        <v>1</v>
      </c>
      <c r="AZ435" s="174" t="b">
        <f t="shared" si="125"/>
        <v>1</v>
      </c>
    </row>
    <row r="436" spans="1:52" x14ac:dyDescent="0.35">
      <c r="A436">
        <f t="shared" si="126"/>
        <v>435</v>
      </c>
      <c r="B436" s="18">
        <v>379</v>
      </c>
      <c r="C436" s="61">
        <v>3</v>
      </c>
      <c r="D436" s="118" t="b">
        <v>1</v>
      </c>
      <c r="E436" s="61"/>
      <c r="F436" s="66" t="s">
        <v>819</v>
      </c>
      <c r="G436" s="66" t="s">
        <v>827</v>
      </c>
      <c r="H436" s="38" t="s">
        <v>242</v>
      </c>
      <c r="I436" s="39">
        <f t="shared" si="127"/>
        <v>80</v>
      </c>
      <c r="J436" s="40">
        <f t="shared" si="128"/>
        <v>75</v>
      </c>
      <c r="K436" s="41">
        <f t="shared" si="129"/>
        <v>150</v>
      </c>
      <c r="L436" s="42">
        <f t="shared" si="130"/>
        <v>75</v>
      </c>
      <c r="M436" s="43">
        <f t="shared" si="131"/>
        <v>150</v>
      </c>
      <c r="N436" s="44">
        <f t="shared" si="132"/>
        <v>50</v>
      </c>
      <c r="O436" s="45">
        <f t="shared" si="133"/>
        <v>580</v>
      </c>
      <c r="P436" s="19">
        <f t="shared" si="134"/>
        <v>96.67</v>
      </c>
      <c r="Q436" s="177">
        <v>80</v>
      </c>
      <c r="R436" s="40">
        <v>75</v>
      </c>
      <c r="S436" s="41">
        <v>150</v>
      </c>
      <c r="T436" s="42">
        <v>75</v>
      </c>
      <c r="U436" s="43">
        <v>150</v>
      </c>
      <c r="V436" s="44">
        <v>50</v>
      </c>
      <c r="W436" s="45">
        <f t="shared" si="135"/>
        <v>580</v>
      </c>
      <c r="X436" s="19">
        <f t="shared" si="136"/>
        <v>96.67</v>
      </c>
      <c r="Y436" s="3">
        <v>80</v>
      </c>
      <c r="Z436" s="4">
        <v>75</v>
      </c>
      <c r="AA436" s="5">
        <v>150</v>
      </c>
      <c r="AB436" s="6">
        <v>75</v>
      </c>
      <c r="AC436" s="7">
        <v>150</v>
      </c>
      <c r="AD436" s="8">
        <v>50</v>
      </c>
      <c r="AE436" s="1">
        <v>580</v>
      </c>
      <c r="AF436" s="19">
        <v>96.67</v>
      </c>
      <c r="AG436" s="139">
        <v>80</v>
      </c>
      <c r="AH436" s="140">
        <v>75</v>
      </c>
      <c r="AI436" s="141">
        <v>150</v>
      </c>
      <c r="AJ436" s="142">
        <v>75</v>
      </c>
      <c r="AK436" s="143">
        <v>150</v>
      </c>
      <c r="AL436" s="144">
        <v>50</v>
      </c>
      <c r="AM436" s="138">
        <v>580</v>
      </c>
      <c r="AN436" s="153">
        <v>96.67</v>
      </c>
      <c r="AW436" s="45"/>
      <c r="AX436" s="174" t="b">
        <f>IF('Refined Compare'!$D$2="All",TRUE,IF(F436='Refined Compare'!$D$2,TRUE,IF(G436='Refined Compare'!$D$2,TRUE,FALSE)))</f>
        <v>0</v>
      </c>
      <c r="AY436" s="174" t="b">
        <f>IF('Refined Compare'!$D$3="All",TRUE,IF(F436='Refined Compare'!$D$3,TRUE,IF(G436='Refined Compare'!$D$3,TRUE,FALSE)))</f>
        <v>1</v>
      </c>
      <c r="AZ436" s="174" t="b">
        <f t="shared" si="125"/>
        <v>1</v>
      </c>
    </row>
    <row r="437" spans="1:52" x14ac:dyDescent="0.35">
      <c r="A437">
        <f t="shared" si="126"/>
        <v>436</v>
      </c>
      <c r="B437" s="18">
        <v>380</v>
      </c>
      <c r="C437" s="61">
        <v>3</v>
      </c>
      <c r="D437" s="61" t="b">
        <f>IF($AW$2&lt;6,TRUE,FALSE)</f>
        <v>1</v>
      </c>
      <c r="E437" s="61"/>
      <c r="F437" s="66" t="s">
        <v>822</v>
      </c>
      <c r="G437" s="66" t="s">
        <v>817</v>
      </c>
      <c r="H437" s="38" t="s">
        <v>722</v>
      </c>
      <c r="I437" s="39">
        <f t="shared" si="127"/>
        <v>80</v>
      </c>
      <c r="J437" s="40">
        <f t="shared" si="128"/>
        <v>80</v>
      </c>
      <c r="K437" s="41">
        <f t="shared" si="129"/>
        <v>90</v>
      </c>
      <c r="L437" s="42">
        <f t="shared" si="130"/>
        <v>110</v>
      </c>
      <c r="M437" s="43">
        <f t="shared" si="131"/>
        <v>130</v>
      </c>
      <c r="N437" s="44">
        <f t="shared" si="132"/>
        <v>110</v>
      </c>
      <c r="O437" s="45">
        <f t="shared" si="133"/>
        <v>600</v>
      </c>
      <c r="P437" s="19">
        <f t="shared" si="134"/>
        <v>100</v>
      </c>
      <c r="Q437" s="177">
        <v>80</v>
      </c>
      <c r="R437" s="40">
        <v>80</v>
      </c>
      <c r="S437" s="41">
        <v>90</v>
      </c>
      <c r="T437" s="42">
        <v>110</v>
      </c>
      <c r="U437" s="43">
        <v>130</v>
      </c>
      <c r="V437" s="44">
        <v>110</v>
      </c>
      <c r="W437" s="45">
        <f t="shared" si="135"/>
        <v>600</v>
      </c>
      <c r="X437" s="19">
        <f t="shared" si="136"/>
        <v>100</v>
      </c>
      <c r="Y437" s="3">
        <v>80</v>
      </c>
      <c r="Z437" s="4">
        <v>80</v>
      </c>
      <c r="AA437" s="5">
        <v>90</v>
      </c>
      <c r="AB437" s="6">
        <v>110</v>
      </c>
      <c r="AC437" s="7">
        <v>130</v>
      </c>
      <c r="AD437" s="8">
        <v>110</v>
      </c>
      <c r="AE437" s="1">
        <v>600</v>
      </c>
      <c r="AF437" s="19">
        <v>100</v>
      </c>
      <c r="AG437" s="139">
        <v>80</v>
      </c>
      <c r="AH437" s="140">
        <v>80</v>
      </c>
      <c r="AI437" s="141">
        <v>90</v>
      </c>
      <c r="AJ437" s="142">
        <v>110</v>
      </c>
      <c r="AK437" s="143">
        <v>130</v>
      </c>
      <c r="AL437" s="144">
        <v>110</v>
      </c>
      <c r="AM437" s="138">
        <v>600</v>
      </c>
      <c r="AN437" s="153">
        <v>100</v>
      </c>
      <c r="AW437" s="45"/>
      <c r="AX437" s="174" t="b">
        <f>IF('Refined Compare'!$D$2="All",TRUE,IF(F437='Refined Compare'!$D$2,TRUE,IF(G437='Refined Compare'!$D$2,TRUE,FALSE)))</f>
        <v>0</v>
      </c>
      <c r="AY437" s="174" t="b">
        <f>IF('Refined Compare'!$D$3="All",TRUE,IF(F437='Refined Compare'!$D$3,TRUE,IF(G437='Refined Compare'!$D$3,TRUE,FALSE)))</f>
        <v>0</v>
      </c>
      <c r="AZ437" s="174" t="b">
        <f t="shared" si="125"/>
        <v>1</v>
      </c>
    </row>
    <row r="438" spans="1:52" x14ac:dyDescent="0.35">
      <c r="A438">
        <f t="shared" si="126"/>
        <v>437</v>
      </c>
      <c r="B438" s="62">
        <v>380</v>
      </c>
      <c r="C438" s="61">
        <v>6</v>
      </c>
      <c r="D438" s="118" t="b">
        <f>IF(AZ438,TRUE,FALSE)</f>
        <v>0</v>
      </c>
      <c r="E438" s="61" t="s">
        <v>801</v>
      </c>
      <c r="F438" s="66" t="s">
        <v>822</v>
      </c>
      <c r="G438" s="66" t="s">
        <v>817</v>
      </c>
      <c r="H438" s="38" t="s">
        <v>723</v>
      </c>
      <c r="I438" s="39">
        <f t="shared" si="127"/>
        <v>0</v>
      </c>
      <c r="J438" s="40">
        <f t="shared" si="128"/>
        <v>0</v>
      </c>
      <c r="K438" s="41">
        <f t="shared" si="129"/>
        <v>0</v>
      </c>
      <c r="L438" s="42">
        <f t="shared" si="130"/>
        <v>0</v>
      </c>
      <c r="M438" s="43">
        <f t="shared" si="131"/>
        <v>0</v>
      </c>
      <c r="N438" s="44">
        <f t="shared" si="132"/>
        <v>0</v>
      </c>
      <c r="O438" s="45">
        <f t="shared" si="133"/>
        <v>0</v>
      </c>
      <c r="P438" s="19">
        <f t="shared" si="134"/>
        <v>0</v>
      </c>
      <c r="Q438" s="177">
        <v>80</v>
      </c>
      <c r="R438" s="40">
        <v>100</v>
      </c>
      <c r="S438" s="41">
        <v>120</v>
      </c>
      <c r="T438" s="42">
        <v>140</v>
      </c>
      <c r="U438" s="43">
        <v>150</v>
      </c>
      <c r="V438" s="44">
        <v>110</v>
      </c>
      <c r="W438" s="45">
        <f t="shared" si="135"/>
        <v>700</v>
      </c>
      <c r="X438" s="19">
        <f t="shared" si="136"/>
        <v>116.67</v>
      </c>
      <c r="Y438" s="3">
        <v>80</v>
      </c>
      <c r="Z438" s="4">
        <v>100</v>
      </c>
      <c r="AA438" s="5">
        <v>120</v>
      </c>
      <c r="AB438" s="6">
        <v>140</v>
      </c>
      <c r="AC438" s="7">
        <v>150</v>
      </c>
      <c r="AD438" s="8">
        <v>110</v>
      </c>
      <c r="AE438" s="1">
        <v>700</v>
      </c>
      <c r="AF438" s="19">
        <v>116.67</v>
      </c>
      <c r="AN438" s="172"/>
      <c r="AV438" s="174"/>
      <c r="AW438" s="45"/>
      <c r="AX438" s="174" t="b">
        <f>IF('Refined Compare'!$D$2="All",TRUE,IF(F438='Refined Compare'!$D$2,TRUE,IF(G438='Refined Compare'!$D$2,TRUE,FALSE)))</f>
        <v>0</v>
      </c>
      <c r="AY438" s="174" t="b">
        <f>IF('Refined Compare'!$D$3="All",TRUE,IF(F438='Refined Compare'!$D$3,TRUE,IF(G438='Refined Compare'!$D$3,TRUE,FALSE)))</f>
        <v>0</v>
      </c>
      <c r="AZ438" s="174" t="b">
        <f t="shared" si="125"/>
        <v>0</v>
      </c>
    </row>
    <row r="439" spans="1:52" x14ac:dyDescent="0.35">
      <c r="A439">
        <f t="shared" si="126"/>
        <v>438</v>
      </c>
      <c r="B439" s="18">
        <v>381</v>
      </c>
      <c r="C439" s="61">
        <v>3</v>
      </c>
      <c r="D439" s="61" t="b">
        <f>IF($AW$2&lt;6,TRUE,FALSE)</f>
        <v>1</v>
      </c>
      <c r="E439" s="61"/>
      <c r="F439" s="66" t="s">
        <v>822</v>
      </c>
      <c r="G439" s="66" t="s">
        <v>817</v>
      </c>
      <c r="H439" s="38" t="s">
        <v>724</v>
      </c>
      <c r="I439" s="39">
        <f t="shared" si="127"/>
        <v>80</v>
      </c>
      <c r="J439" s="40">
        <f t="shared" si="128"/>
        <v>90</v>
      </c>
      <c r="K439" s="41">
        <f t="shared" si="129"/>
        <v>80</v>
      </c>
      <c r="L439" s="42">
        <f t="shared" si="130"/>
        <v>130</v>
      </c>
      <c r="M439" s="43">
        <f t="shared" si="131"/>
        <v>110</v>
      </c>
      <c r="N439" s="44">
        <f t="shared" si="132"/>
        <v>110</v>
      </c>
      <c r="O439" s="45">
        <f t="shared" si="133"/>
        <v>600</v>
      </c>
      <c r="P439" s="19">
        <f t="shared" si="134"/>
        <v>100</v>
      </c>
      <c r="Q439" s="177">
        <v>80</v>
      </c>
      <c r="R439" s="40">
        <v>90</v>
      </c>
      <c r="S439" s="41">
        <v>80</v>
      </c>
      <c r="T439" s="42">
        <v>130</v>
      </c>
      <c r="U439" s="43">
        <v>110</v>
      </c>
      <c r="V439" s="44">
        <v>110</v>
      </c>
      <c r="W439" s="45">
        <f t="shared" si="135"/>
        <v>600</v>
      </c>
      <c r="X439" s="19">
        <f t="shared" si="136"/>
        <v>100</v>
      </c>
      <c r="Y439" s="3">
        <v>80</v>
      </c>
      <c r="Z439" s="4">
        <v>90</v>
      </c>
      <c r="AA439" s="5">
        <v>80</v>
      </c>
      <c r="AB439" s="6">
        <v>130</v>
      </c>
      <c r="AC439" s="7">
        <v>110</v>
      </c>
      <c r="AD439" s="8">
        <v>110</v>
      </c>
      <c r="AE439" s="1">
        <v>600</v>
      </c>
      <c r="AF439" s="19">
        <v>100</v>
      </c>
      <c r="AG439" s="139">
        <v>80</v>
      </c>
      <c r="AH439" s="140">
        <v>90</v>
      </c>
      <c r="AI439" s="141">
        <v>80</v>
      </c>
      <c r="AJ439" s="142">
        <v>130</v>
      </c>
      <c r="AK439" s="143">
        <v>110</v>
      </c>
      <c r="AL439" s="144">
        <v>110</v>
      </c>
      <c r="AM439" s="138">
        <v>600</v>
      </c>
      <c r="AN439" s="153">
        <v>100</v>
      </c>
      <c r="AW439" s="45"/>
      <c r="AX439" s="174" t="b">
        <f>IF('Refined Compare'!$D$2="All",TRUE,IF(F439='Refined Compare'!$D$2,TRUE,IF(G439='Refined Compare'!$D$2,TRUE,FALSE)))</f>
        <v>0</v>
      </c>
      <c r="AY439" s="174" t="b">
        <f>IF('Refined Compare'!$D$3="All",TRUE,IF(F439='Refined Compare'!$D$3,TRUE,IF(G439='Refined Compare'!$D$3,TRUE,FALSE)))</f>
        <v>0</v>
      </c>
      <c r="AZ439" s="174" t="b">
        <f t="shared" si="125"/>
        <v>1</v>
      </c>
    </row>
    <row r="440" spans="1:52" x14ac:dyDescent="0.35">
      <c r="A440">
        <f t="shared" si="126"/>
        <v>439</v>
      </c>
      <c r="B440" s="62">
        <v>381</v>
      </c>
      <c r="C440" s="61">
        <v>6</v>
      </c>
      <c r="D440" s="118" t="b">
        <f>IF(AZ440,TRUE,FALSE)</f>
        <v>0</v>
      </c>
      <c r="E440" s="61" t="s">
        <v>801</v>
      </c>
      <c r="F440" s="66" t="s">
        <v>822</v>
      </c>
      <c r="G440" s="66" t="s">
        <v>817</v>
      </c>
      <c r="H440" s="38" t="s">
        <v>725</v>
      </c>
      <c r="I440" s="39">
        <f t="shared" si="127"/>
        <v>0</v>
      </c>
      <c r="J440" s="40">
        <f t="shared" si="128"/>
        <v>0</v>
      </c>
      <c r="K440" s="41">
        <f t="shared" si="129"/>
        <v>0</v>
      </c>
      <c r="L440" s="42">
        <f t="shared" si="130"/>
        <v>0</v>
      </c>
      <c r="M440" s="43">
        <f t="shared" si="131"/>
        <v>0</v>
      </c>
      <c r="N440" s="44">
        <f t="shared" si="132"/>
        <v>0</v>
      </c>
      <c r="O440" s="45">
        <f t="shared" si="133"/>
        <v>0</v>
      </c>
      <c r="P440" s="19">
        <f t="shared" si="134"/>
        <v>0</v>
      </c>
      <c r="Q440" s="177">
        <v>80</v>
      </c>
      <c r="R440" s="40">
        <v>130</v>
      </c>
      <c r="S440" s="41">
        <v>100</v>
      </c>
      <c r="T440" s="42">
        <v>160</v>
      </c>
      <c r="U440" s="43">
        <v>120</v>
      </c>
      <c r="V440" s="44">
        <v>110</v>
      </c>
      <c r="W440" s="45">
        <f t="shared" si="135"/>
        <v>700</v>
      </c>
      <c r="X440" s="19">
        <f t="shared" si="136"/>
        <v>116.67</v>
      </c>
      <c r="Y440" s="3">
        <v>80</v>
      </c>
      <c r="Z440" s="4">
        <v>130</v>
      </c>
      <c r="AA440" s="5">
        <v>100</v>
      </c>
      <c r="AB440" s="6">
        <v>160</v>
      </c>
      <c r="AC440" s="7">
        <v>120</v>
      </c>
      <c r="AD440" s="8">
        <v>110</v>
      </c>
      <c r="AE440" s="1">
        <v>700</v>
      </c>
      <c r="AF440" s="19">
        <v>116.67</v>
      </c>
      <c r="AN440" s="172"/>
      <c r="AV440" s="174"/>
      <c r="AW440" s="45"/>
      <c r="AX440" s="174" t="b">
        <f>IF('Refined Compare'!$D$2="All",TRUE,IF(F440='Refined Compare'!$D$2,TRUE,IF(G440='Refined Compare'!$D$2,TRUE,FALSE)))</f>
        <v>0</v>
      </c>
      <c r="AY440" s="174" t="b">
        <f>IF('Refined Compare'!$D$3="All",TRUE,IF(F440='Refined Compare'!$D$3,TRUE,IF(G440='Refined Compare'!$D$3,TRUE,FALSE)))</f>
        <v>0</v>
      </c>
      <c r="AZ440" s="174" t="b">
        <f t="shared" si="125"/>
        <v>0</v>
      </c>
    </row>
    <row r="441" spans="1:52" x14ac:dyDescent="0.35">
      <c r="A441">
        <f t="shared" si="126"/>
        <v>440</v>
      </c>
      <c r="B441" s="18">
        <v>382</v>
      </c>
      <c r="C441" s="61">
        <v>3</v>
      </c>
      <c r="D441" s="61" t="b">
        <f>IF($AW$2&lt;6,TRUE,FALSE)</f>
        <v>1</v>
      </c>
      <c r="E441" s="61"/>
      <c r="F441" s="66" t="s">
        <v>810</v>
      </c>
      <c r="G441" s="66" t="s">
        <v>827</v>
      </c>
      <c r="H441" s="38" t="s">
        <v>589</v>
      </c>
      <c r="I441" s="39">
        <f t="shared" si="127"/>
        <v>100</v>
      </c>
      <c r="J441" s="40">
        <f t="shared" si="128"/>
        <v>100</v>
      </c>
      <c r="K441" s="41">
        <f t="shared" si="129"/>
        <v>90</v>
      </c>
      <c r="L441" s="42">
        <f t="shared" si="130"/>
        <v>150</v>
      </c>
      <c r="M441" s="43">
        <f t="shared" si="131"/>
        <v>140</v>
      </c>
      <c r="N441" s="44">
        <f t="shared" si="132"/>
        <v>90</v>
      </c>
      <c r="O441" s="45">
        <f t="shared" si="133"/>
        <v>670</v>
      </c>
      <c r="P441" s="19">
        <f t="shared" si="134"/>
        <v>111.67</v>
      </c>
      <c r="Q441" s="177">
        <v>100</v>
      </c>
      <c r="R441" s="40">
        <v>100</v>
      </c>
      <c r="S441" s="41">
        <v>90</v>
      </c>
      <c r="T441" s="42">
        <v>150</v>
      </c>
      <c r="U441" s="43">
        <v>140</v>
      </c>
      <c r="V441" s="44">
        <v>90</v>
      </c>
      <c r="W441" s="45">
        <f t="shared" si="135"/>
        <v>670</v>
      </c>
      <c r="X441" s="19">
        <f t="shared" si="136"/>
        <v>111.67</v>
      </c>
      <c r="Y441" s="3">
        <v>100</v>
      </c>
      <c r="Z441" s="4">
        <v>100</v>
      </c>
      <c r="AA441" s="5">
        <v>90</v>
      </c>
      <c r="AB441" s="6">
        <v>150</v>
      </c>
      <c r="AC441" s="7">
        <v>140</v>
      </c>
      <c r="AD441" s="8">
        <v>90</v>
      </c>
      <c r="AE441" s="1">
        <v>670</v>
      </c>
      <c r="AF441" s="19">
        <v>111.67</v>
      </c>
      <c r="AG441" s="139">
        <v>100</v>
      </c>
      <c r="AH441" s="140">
        <v>100</v>
      </c>
      <c r="AI441" s="141">
        <v>90</v>
      </c>
      <c r="AJ441" s="142">
        <v>150</v>
      </c>
      <c r="AK441" s="143">
        <v>140</v>
      </c>
      <c r="AL441" s="144">
        <v>90</v>
      </c>
      <c r="AM441" s="138">
        <v>670</v>
      </c>
      <c r="AN441" s="153">
        <v>111.67</v>
      </c>
      <c r="AW441" s="45"/>
      <c r="AX441" s="174" t="b">
        <f>IF('Refined Compare'!$D$2="All",TRUE,IF(F441='Refined Compare'!$D$2,TRUE,IF(G441='Refined Compare'!$D$2,TRUE,FALSE)))</f>
        <v>0</v>
      </c>
      <c r="AY441" s="174" t="b">
        <f>IF('Refined Compare'!$D$3="All",TRUE,IF(F441='Refined Compare'!$D$3,TRUE,IF(G441='Refined Compare'!$D$3,TRUE,FALSE)))</f>
        <v>1</v>
      </c>
      <c r="AZ441" s="174" t="b">
        <f t="shared" si="125"/>
        <v>1</v>
      </c>
    </row>
    <row r="442" spans="1:52" x14ac:dyDescent="0.35">
      <c r="A442">
        <f t="shared" si="126"/>
        <v>441</v>
      </c>
      <c r="B442" s="62">
        <v>382</v>
      </c>
      <c r="C442" s="61">
        <v>6</v>
      </c>
      <c r="D442" s="118" t="b">
        <f>IF(AZ442,TRUE,FALSE)</f>
        <v>0</v>
      </c>
      <c r="E442" s="61" t="s">
        <v>804</v>
      </c>
      <c r="F442" s="66" t="s">
        <v>810</v>
      </c>
      <c r="G442" s="66" t="s">
        <v>827</v>
      </c>
      <c r="H442" s="38" t="s">
        <v>590</v>
      </c>
      <c r="I442" s="39">
        <f t="shared" si="127"/>
        <v>0</v>
      </c>
      <c r="J442" s="40">
        <f t="shared" si="128"/>
        <v>0</v>
      </c>
      <c r="K442" s="41">
        <f t="shared" si="129"/>
        <v>0</v>
      </c>
      <c r="L442" s="42">
        <f t="shared" si="130"/>
        <v>0</v>
      </c>
      <c r="M442" s="43">
        <f t="shared" si="131"/>
        <v>0</v>
      </c>
      <c r="N442" s="44">
        <f t="shared" si="132"/>
        <v>0</v>
      </c>
      <c r="O442" s="45">
        <f t="shared" si="133"/>
        <v>0</v>
      </c>
      <c r="P442" s="19">
        <f t="shared" si="134"/>
        <v>0</v>
      </c>
      <c r="Q442" s="177">
        <v>100</v>
      </c>
      <c r="R442" s="40">
        <v>150</v>
      </c>
      <c r="S442" s="41">
        <v>90</v>
      </c>
      <c r="T442" s="42">
        <v>180</v>
      </c>
      <c r="U442" s="43">
        <v>160</v>
      </c>
      <c r="V442" s="44">
        <v>90</v>
      </c>
      <c r="W442" s="45">
        <f t="shared" si="135"/>
        <v>770</v>
      </c>
      <c r="X442" s="19">
        <f t="shared" si="136"/>
        <v>128.33000000000001</v>
      </c>
      <c r="Y442" s="3">
        <v>100</v>
      </c>
      <c r="Z442" s="4">
        <v>150</v>
      </c>
      <c r="AA442" s="5">
        <v>90</v>
      </c>
      <c r="AB442" s="6">
        <v>180</v>
      </c>
      <c r="AC442" s="7">
        <v>160</v>
      </c>
      <c r="AD442" s="8">
        <v>90</v>
      </c>
      <c r="AE442" s="1">
        <v>770</v>
      </c>
      <c r="AF442" s="19">
        <v>128.33000000000001</v>
      </c>
      <c r="AN442" s="172"/>
      <c r="AV442" s="174"/>
      <c r="AW442" s="45"/>
      <c r="AX442" s="174" t="b">
        <f>IF('Refined Compare'!$D$2="All",TRUE,IF(F442='Refined Compare'!$D$2,TRUE,IF(G442='Refined Compare'!$D$2,TRUE,FALSE)))</f>
        <v>0</v>
      </c>
      <c r="AY442" s="174" t="b">
        <f>IF('Refined Compare'!$D$3="All",TRUE,IF(F442='Refined Compare'!$D$3,TRUE,IF(G442='Refined Compare'!$D$3,TRUE,FALSE)))</f>
        <v>1</v>
      </c>
      <c r="AZ442" s="174" t="b">
        <f t="shared" si="125"/>
        <v>0</v>
      </c>
    </row>
    <row r="443" spans="1:52" x14ac:dyDescent="0.35">
      <c r="A443">
        <f t="shared" si="126"/>
        <v>442</v>
      </c>
      <c r="B443" s="18">
        <v>383</v>
      </c>
      <c r="C443" s="61">
        <v>3</v>
      </c>
      <c r="D443" s="61" t="b">
        <f>IF($AW$2&lt;6,TRUE,FALSE)</f>
        <v>1</v>
      </c>
      <c r="E443" s="61"/>
      <c r="F443" s="66" t="s">
        <v>814</v>
      </c>
      <c r="G443" s="66" t="s">
        <v>827</v>
      </c>
      <c r="H443" s="38" t="s">
        <v>591</v>
      </c>
      <c r="I443" s="39">
        <f t="shared" si="127"/>
        <v>100</v>
      </c>
      <c r="J443" s="40">
        <f t="shared" si="128"/>
        <v>150</v>
      </c>
      <c r="K443" s="41">
        <f t="shared" si="129"/>
        <v>140</v>
      </c>
      <c r="L443" s="42">
        <f t="shared" si="130"/>
        <v>100</v>
      </c>
      <c r="M443" s="43">
        <f t="shared" si="131"/>
        <v>90</v>
      </c>
      <c r="N443" s="44">
        <f t="shared" si="132"/>
        <v>90</v>
      </c>
      <c r="O443" s="45">
        <f t="shared" si="133"/>
        <v>670</v>
      </c>
      <c r="P443" s="19">
        <f t="shared" si="134"/>
        <v>111.67</v>
      </c>
      <c r="Q443" s="177">
        <v>100</v>
      </c>
      <c r="R443" s="40">
        <v>150</v>
      </c>
      <c r="S443" s="41">
        <v>140</v>
      </c>
      <c r="T443" s="42">
        <v>100</v>
      </c>
      <c r="U443" s="43">
        <v>90</v>
      </c>
      <c r="V443" s="44">
        <v>90</v>
      </c>
      <c r="W443" s="45">
        <f t="shared" si="135"/>
        <v>670</v>
      </c>
      <c r="X443" s="19">
        <f t="shared" si="136"/>
        <v>111.67</v>
      </c>
      <c r="Y443" s="3">
        <v>100</v>
      </c>
      <c r="Z443" s="4">
        <v>150</v>
      </c>
      <c r="AA443" s="5">
        <v>140</v>
      </c>
      <c r="AB443" s="6">
        <v>100</v>
      </c>
      <c r="AC443" s="7">
        <v>90</v>
      </c>
      <c r="AD443" s="8">
        <v>90</v>
      </c>
      <c r="AE443" s="1">
        <v>670</v>
      </c>
      <c r="AF443" s="19">
        <v>111.67</v>
      </c>
      <c r="AG443" s="139">
        <v>100</v>
      </c>
      <c r="AH443" s="140">
        <v>150</v>
      </c>
      <c r="AI443" s="141">
        <v>140</v>
      </c>
      <c r="AJ443" s="142">
        <v>100</v>
      </c>
      <c r="AK443" s="143">
        <v>90</v>
      </c>
      <c r="AL443" s="144">
        <v>90</v>
      </c>
      <c r="AM443" s="138">
        <v>670</v>
      </c>
      <c r="AN443" s="153">
        <v>111.67</v>
      </c>
      <c r="AW443" s="45"/>
      <c r="AX443" s="174" t="b">
        <f>IF('Refined Compare'!$D$2="All",TRUE,IF(F443='Refined Compare'!$D$2,TRUE,IF(G443='Refined Compare'!$D$2,TRUE,FALSE)))</f>
        <v>0</v>
      </c>
      <c r="AY443" s="174" t="b">
        <f>IF('Refined Compare'!$D$3="All",TRUE,IF(F443='Refined Compare'!$D$3,TRUE,IF(G443='Refined Compare'!$D$3,TRUE,FALSE)))</f>
        <v>1</v>
      </c>
      <c r="AZ443" s="174" t="b">
        <f t="shared" si="125"/>
        <v>1</v>
      </c>
    </row>
    <row r="444" spans="1:52" x14ac:dyDescent="0.35">
      <c r="A444">
        <f t="shared" si="126"/>
        <v>443</v>
      </c>
      <c r="B444" s="62">
        <v>383</v>
      </c>
      <c r="C444" s="61">
        <v>6</v>
      </c>
      <c r="D444" s="118" t="b">
        <f>IF(AZ444,TRUE,FALSE)</f>
        <v>0</v>
      </c>
      <c r="E444" s="61" t="s">
        <v>804</v>
      </c>
      <c r="F444" s="66" t="s">
        <v>814</v>
      </c>
      <c r="G444" s="66" t="s">
        <v>808</v>
      </c>
      <c r="H444" s="38" t="s">
        <v>592</v>
      </c>
      <c r="I444" s="39">
        <f t="shared" si="127"/>
        <v>0</v>
      </c>
      <c r="J444" s="40">
        <f t="shared" si="128"/>
        <v>0</v>
      </c>
      <c r="K444" s="41">
        <f t="shared" si="129"/>
        <v>0</v>
      </c>
      <c r="L444" s="42">
        <f t="shared" si="130"/>
        <v>0</v>
      </c>
      <c r="M444" s="43">
        <f t="shared" si="131"/>
        <v>0</v>
      </c>
      <c r="N444" s="44">
        <f t="shared" si="132"/>
        <v>0</v>
      </c>
      <c r="O444" s="45">
        <f t="shared" si="133"/>
        <v>0</v>
      </c>
      <c r="P444" s="19">
        <f t="shared" si="134"/>
        <v>0</v>
      </c>
      <c r="Q444" s="177">
        <v>100</v>
      </c>
      <c r="R444" s="40">
        <v>180</v>
      </c>
      <c r="S444" s="41">
        <v>160</v>
      </c>
      <c r="T444" s="42">
        <v>150</v>
      </c>
      <c r="U444" s="43">
        <v>90</v>
      </c>
      <c r="V444" s="44">
        <v>90</v>
      </c>
      <c r="W444" s="45">
        <f t="shared" si="135"/>
        <v>770</v>
      </c>
      <c r="X444" s="19">
        <f t="shared" si="136"/>
        <v>128.33000000000001</v>
      </c>
      <c r="Y444" s="3">
        <v>100</v>
      </c>
      <c r="Z444" s="4">
        <v>180</v>
      </c>
      <c r="AA444" s="5">
        <v>160</v>
      </c>
      <c r="AB444" s="6">
        <v>150</v>
      </c>
      <c r="AC444" s="7">
        <v>90</v>
      </c>
      <c r="AD444" s="8">
        <v>90</v>
      </c>
      <c r="AE444" s="1">
        <v>770</v>
      </c>
      <c r="AF444" s="19">
        <v>128.33000000000001</v>
      </c>
      <c r="AN444" s="172"/>
      <c r="AV444" s="174"/>
      <c r="AW444" s="45"/>
      <c r="AX444" s="174" t="b">
        <f>IF('Refined Compare'!$D$2="All",TRUE,IF(F444='Refined Compare'!$D$2,TRUE,IF(G444='Refined Compare'!$D$2,TRUE,FALSE)))</f>
        <v>0</v>
      </c>
      <c r="AY444" s="174" t="b">
        <f>IF('Refined Compare'!$D$3="All",TRUE,IF(F444='Refined Compare'!$D$3,TRUE,IF(G444='Refined Compare'!$D$3,TRUE,FALSE)))</f>
        <v>0</v>
      </c>
      <c r="AZ444" s="174" t="b">
        <f t="shared" si="125"/>
        <v>0</v>
      </c>
    </row>
    <row r="445" spans="1:52" x14ac:dyDescent="0.35">
      <c r="A445">
        <f t="shared" si="126"/>
        <v>444</v>
      </c>
      <c r="B445" s="18">
        <v>384</v>
      </c>
      <c r="C445" s="61">
        <v>3</v>
      </c>
      <c r="D445" s="61" t="b">
        <f>IF($AW$2&lt;6,TRUE,FALSE)</f>
        <v>1</v>
      </c>
      <c r="E445" s="61"/>
      <c r="F445" s="66" t="s">
        <v>822</v>
      </c>
      <c r="G445" s="66" t="s">
        <v>809</v>
      </c>
      <c r="H445" s="38" t="s">
        <v>628</v>
      </c>
      <c r="I445" s="39">
        <f t="shared" si="127"/>
        <v>105</v>
      </c>
      <c r="J445" s="40">
        <f t="shared" si="128"/>
        <v>150</v>
      </c>
      <c r="K445" s="41">
        <f t="shared" si="129"/>
        <v>90</v>
      </c>
      <c r="L445" s="42">
        <f t="shared" si="130"/>
        <v>150</v>
      </c>
      <c r="M445" s="43">
        <f t="shared" si="131"/>
        <v>90</v>
      </c>
      <c r="N445" s="44">
        <f t="shared" si="132"/>
        <v>95</v>
      </c>
      <c r="O445" s="45">
        <f t="shared" si="133"/>
        <v>680</v>
      </c>
      <c r="P445" s="19">
        <f t="shared" si="134"/>
        <v>113.33</v>
      </c>
      <c r="Q445" s="177">
        <v>105</v>
      </c>
      <c r="R445" s="40">
        <v>150</v>
      </c>
      <c r="S445" s="41">
        <v>90</v>
      </c>
      <c r="T445" s="42">
        <v>150</v>
      </c>
      <c r="U445" s="43">
        <v>90</v>
      </c>
      <c r="V445" s="44">
        <v>95</v>
      </c>
      <c r="W445" s="45">
        <f t="shared" si="135"/>
        <v>680</v>
      </c>
      <c r="X445" s="19">
        <f t="shared" si="136"/>
        <v>113.33</v>
      </c>
      <c r="Y445" s="3">
        <v>105</v>
      </c>
      <c r="Z445" s="4">
        <v>150</v>
      </c>
      <c r="AA445" s="5">
        <v>90</v>
      </c>
      <c r="AB445" s="6">
        <v>150</v>
      </c>
      <c r="AC445" s="7">
        <v>90</v>
      </c>
      <c r="AD445" s="8">
        <v>95</v>
      </c>
      <c r="AE445" s="1">
        <v>680</v>
      </c>
      <c r="AF445" s="19">
        <v>113.33</v>
      </c>
      <c r="AG445" s="139">
        <v>105</v>
      </c>
      <c r="AH445" s="140">
        <v>150</v>
      </c>
      <c r="AI445" s="141">
        <v>90</v>
      </c>
      <c r="AJ445" s="142">
        <v>150</v>
      </c>
      <c r="AK445" s="143">
        <v>90</v>
      </c>
      <c r="AL445" s="144">
        <v>95</v>
      </c>
      <c r="AM445" s="138">
        <v>680</v>
      </c>
      <c r="AN445" s="153">
        <v>113.33</v>
      </c>
      <c r="AW445" s="45"/>
      <c r="AX445" s="174" t="b">
        <f>IF('Refined Compare'!$D$2="All",TRUE,IF(F445='Refined Compare'!$D$2,TRUE,IF(G445='Refined Compare'!$D$2,TRUE,FALSE)))</f>
        <v>0</v>
      </c>
      <c r="AY445" s="174" t="b">
        <f>IF('Refined Compare'!$D$3="All",TRUE,IF(F445='Refined Compare'!$D$3,TRUE,IF(G445='Refined Compare'!$D$3,TRUE,FALSE)))</f>
        <v>0</v>
      </c>
      <c r="AZ445" s="174" t="b">
        <f t="shared" si="125"/>
        <v>1</v>
      </c>
    </row>
    <row r="446" spans="1:52" x14ac:dyDescent="0.35">
      <c r="A446">
        <f t="shared" si="126"/>
        <v>445</v>
      </c>
      <c r="B446" s="62">
        <v>384</v>
      </c>
      <c r="C446" s="61">
        <v>6</v>
      </c>
      <c r="D446" s="118" t="b">
        <f>IF(AZ446,TRUE,FALSE)</f>
        <v>0</v>
      </c>
      <c r="E446" s="61" t="s">
        <v>801</v>
      </c>
      <c r="F446" s="66" t="s">
        <v>822</v>
      </c>
      <c r="G446" s="66" t="s">
        <v>809</v>
      </c>
      <c r="H446" s="38" t="s">
        <v>741</v>
      </c>
      <c r="I446" s="39">
        <f t="shared" si="127"/>
        <v>0</v>
      </c>
      <c r="J446" s="40">
        <f t="shared" si="128"/>
        <v>0</v>
      </c>
      <c r="K446" s="41">
        <f t="shared" si="129"/>
        <v>0</v>
      </c>
      <c r="L446" s="42">
        <f t="shared" si="130"/>
        <v>0</v>
      </c>
      <c r="M446" s="43">
        <f t="shared" si="131"/>
        <v>0</v>
      </c>
      <c r="N446" s="44">
        <f t="shared" si="132"/>
        <v>0</v>
      </c>
      <c r="O446" s="45">
        <f t="shared" si="133"/>
        <v>0</v>
      </c>
      <c r="P446" s="19">
        <f t="shared" si="134"/>
        <v>0</v>
      </c>
      <c r="Q446" s="177">
        <v>105</v>
      </c>
      <c r="R446" s="40">
        <v>180</v>
      </c>
      <c r="S446" s="41">
        <v>100</v>
      </c>
      <c r="T446" s="42">
        <v>180</v>
      </c>
      <c r="U446" s="43">
        <v>100</v>
      </c>
      <c r="V446" s="44">
        <v>115</v>
      </c>
      <c r="W446" s="45">
        <f t="shared" si="135"/>
        <v>780</v>
      </c>
      <c r="X446" s="19">
        <f t="shared" si="136"/>
        <v>130</v>
      </c>
      <c r="Y446" s="3">
        <v>105</v>
      </c>
      <c r="Z446" s="4">
        <v>180</v>
      </c>
      <c r="AA446" s="5">
        <v>100</v>
      </c>
      <c r="AB446" s="6">
        <v>180</v>
      </c>
      <c r="AC446" s="7">
        <v>100</v>
      </c>
      <c r="AD446" s="8">
        <v>115</v>
      </c>
      <c r="AE446" s="1">
        <v>780</v>
      </c>
      <c r="AF446" s="19">
        <v>130</v>
      </c>
      <c r="AN446" s="172"/>
      <c r="AV446" s="174"/>
      <c r="AW446" s="45"/>
      <c r="AX446" s="174" t="b">
        <f>IF('Refined Compare'!$D$2="All",TRUE,IF(F446='Refined Compare'!$D$2,TRUE,IF(G446='Refined Compare'!$D$2,TRUE,FALSE)))</f>
        <v>0</v>
      </c>
      <c r="AY446" s="174" t="b">
        <f>IF('Refined Compare'!$D$3="All",TRUE,IF(F446='Refined Compare'!$D$3,TRUE,IF(G446='Refined Compare'!$D$3,TRUE,FALSE)))</f>
        <v>0</v>
      </c>
      <c r="AZ446" s="174" t="b">
        <f t="shared" si="125"/>
        <v>0</v>
      </c>
    </row>
    <row r="447" spans="1:52" x14ac:dyDescent="0.35">
      <c r="A447">
        <f t="shared" si="126"/>
        <v>446</v>
      </c>
      <c r="B447" s="18">
        <v>385</v>
      </c>
      <c r="C447" s="61">
        <v>3</v>
      </c>
      <c r="D447" s="61" t="b">
        <v>0</v>
      </c>
      <c r="E447" s="61"/>
      <c r="F447" s="66" t="s">
        <v>819</v>
      </c>
      <c r="G447" s="66" t="s">
        <v>817</v>
      </c>
      <c r="H447" s="38" t="s">
        <v>675</v>
      </c>
      <c r="I447" s="39">
        <f t="shared" si="127"/>
        <v>100</v>
      </c>
      <c r="J447" s="40">
        <f t="shared" si="128"/>
        <v>100</v>
      </c>
      <c r="K447" s="41">
        <f t="shared" si="129"/>
        <v>100</v>
      </c>
      <c r="L447" s="42">
        <f t="shared" si="130"/>
        <v>100</v>
      </c>
      <c r="M447" s="43">
        <f t="shared" si="131"/>
        <v>100</v>
      </c>
      <c r="N447" s="44">
        <f t="shared" si="132"/>
        <v>100</v>
      </c>
      <c r="O447" s="45">
        <f t="shared" si="133"/>
        <v>600</v>
      </c>
      <c r="P447" s="19">
        <f t="shared" si="134"/>
        <v>100</v>
      </c>
      <c r="Q447" s="177">
        <v>100</v>
      </c>
      <c r="R447" s="40">
        <v>100</v>
      </c>
      <c r="S447" s="41">
        <v>100</v>
      </c>
      <c r="T447" s="42">
        <v>100</v>
      </c>
      <c r="U447" s="43">
        <v>100</v>
      </c>
      <c r="V447" s="44">
        <v>100</v>
      </c>
      <c r="W447" s="45">
        <f t="shared" si="135"/>
        <v>600</v>
      </c>
      <c r="X447" s="19">
        <f t="shared" si="136"/>
        <v>100</v>
      </c>
      <c r="Y447" s="3">
        <v>100</v>
      </c>
      <c r="Z447" s="4">
        <v>100</v>
      </c>
      <c r="AA447" s="5">
        <v>100</v>
      </c>
      <c r="AB447" s="6">
        <v>100</v>
      </c>
      <c r="AC447" s="7">
        <v>100</v>
      </c>
      <c r="AD447" s="8">
        <v>100</v>
      </c>
      <c r="AE447" s="1">
        <v>600</v>
      </c>
      <c r="AF447" s="19">
        <v>100</v>
      </c>
      <c r="AG447" s="139">
        <v>100</v>
      </c>
      <c r="AH447" s="140">
        <v>100</v>
      </c>
      <c r="AI447" s="141">
        <v>100</v>
      </c>
      <c r="AJ447" s="142">
        <v>100</v>
      </c>
      <c r="AK447" s="143">
        <v>100</v>
      </c>
      <c r="AL447" s="144">
        <v>100</v>
      </c>
      <c r="AM447" s="138">
        <v>600</v>
      </c>
      <c r="AN447" s="153">
        <v>100</v>
      </c>
      <c r="AW447" s="45"/>
      <c r="AX447" s="174" t="b">
        <f>IF('Refined Compare'!$D$2="All",TRUE,IF(F447='Refined Compare'!$D$2,TRUE,IF(G447='Refined Compare'!$D$2,TRUE,FALSE)))</f>
        <v>0</v>
      </c>
      <c r="AY447" s="174" t="b">
        <f>IF('Refined Compare'!$D$3="All",TRUE,IF(F447='Refined Compare'!$D$3,TRUE,IF(G447='Refined Compare'!$D$3,TRUE,FALSE)))</f>
        <v>0</v>
      </c>
      <c r="AZ447" s="174" t="b">
        <f t="shared" si="125"/>
        <v>1</v>
      </c>
    </row>
    <row r="448" spans="1:52" x14ac:dyDescent="0.35">
      <c r="A448">
        <f t="shared" si="126"/>
        <v>447</v>
      </c>
      <c r="B448" s="18">
        <v>386</v>
      </c>
      <c r="C448" s="61">
        <v>3</v>
      </c>
      <c r="D448" s="118" t="b">
        <v>1</v>
      </c>
      <c r="E448" s="61"/>
      <c r="F448" s="66" t="s">
        <v>817</v>
      </c>
      <c r="G448" s="66" t="s">
        <v>827</v>
      </c>
      <c r="H448" s="38" t="s">
        <v>778</v>
      </c>
      <c r="I448" s="39">
        <f t="shared" si="127"/>
        <v>50</v>
      </c>
      <c r="J448" s="40">
        <f t="shared" si="128"/>
        <v>150</v>
      </c>
      <c r="K448" s="41">
        <f t="shared" si="129"/>
        <v>50</v>
      </c>
      <c r="L448" s="42">
        <f t="shared" si="130"/>
        <v>150</v>
      </c>
      <c r="M448" s="43">
        <f t="shared" si="131"/>
        <v>50</v>
      </c>
      <c r="N448" s="44">
        <f t="shared" si="132"/>
        <v>150</v>
      </c>
      <c r="O448" s="45">
        <f t="shared" si="133"/>
        <v>600</v>
      </c>
      <c r="P448" s="19">
        <f t="shared" si="134"/>
        <v>100</v>
      </c>
      <c r="Q448" s="177">
        <v>50</v>
      </c>
      <c r="R448" s="40">
        <v>180</v>
      </c>
      <c r="S448" s="41">
        <v>20</v>
      </c>
      <c r="T448" s="42">
        <v>180</v>
      </c>
      <c r="U448" s="43">
        <v>20</v>
      </c>
      <c r="V448" s="44">
        <v>150</v>
      </c>
      <c r="W448" s="45">
        <f t="shared" si="135"/>
        <v>600</v>
      </c>
      <c r="X448" s="19">
        <f t="shared" si="136"/>
        <v>100</v>
      </c>
      <c r="Y448" s="3">
        <v>50</v>
      </c>
      <c r="Z448" s="4">
        <v>180</v>
      </c>
      <c r="AA448" s="5">
        <v>20</v>
      </c>
      <c r="AB448" s="6">
        <v>180</v>
      </c>
      <c r="AC448" s="7">
        <v>20</v>
      </c>
      <c r="AD448" s="8">
        <v>150</v>
      </c>
      <c r="AE448" s="1">
        <v>600</v>
      </c>
      <c r="AF448" s="19">
        <v>100</v>
      </c>
      <c r="AG448" s="139">
        <v>50</v>
      </c>
      <c r="AH448" s="140">
        <v>150</v>
      </c>
      <c r="AI448" s="141">
        <v>50</v>
      </c>
      <c r="AJ448" s="142">
        <v>150</v>
      </c>
      <c r="AK448" s="143">
        <v>50</v>
      </c>
      <c r="AL448" s="144">
        <v>150</v>
      </c>
      <c r="AM448" s="138">
        <v>600</v>
      </c>
      <c r="AN448" s="153">
        <v>100</v>
      </c>
      <c r="AW448" s="45"/>
      <c r="AX448" s="174" t="b">
        <f>IF('Refined Compare'!$D$2="All",TRUE,IF(F448='Refined Compare'!$D$2,TRUE,IF(G448='Refined Compare'!$D$2,TRUE,FALSE)))</f>
        <v>0</v>
      </c>
      <c r="AY448" s="174" t="b">
        <f>IF('Refined Compare'!$D$3="All",TRUE,IF(F448='Refined Compare'!$D$3,TRUE,IF(G448='Refined Compare'!$D$3,TRUE,FALSE)))</f>
        <v>1</v>
      </c>
      <c r="AZ448" s="174" t="b">
        <f t="shared" si="125"/>
        <v>1</v>
      </c>
    </row>
    <row r="449" spans="1:52" x14ac:dyDescent="0.35">
      <c r="A449">
        <f t="shared" si="126"/>
        <v>448</v>
      </c>
      <c r="B449" s="18">
        <v>386</v>
      </c>
      <c r="C449" s="61">
        <v>3</v>
      </c>
      <c r="D449" s="118" t="b">
        <v>1</v>
      </c>
      <c r="E449" s="61"/>
      <c r="F449" s="66" t="s">
        <v>817</v>
      </c>
      <c r="G449" s="66" t="s">
        <v>827</v>
      </c>
      <c r="H449" s="38" t="s">
        <v>777</v>
      </c>
      <c r="I449" s="39">
        <f t="shared" si="127"/>
        <v>50</v>
      </c>
      <c r="J449" s="40">
        <f t="shared" si="128"/>
        <v>180</v>
      </c>
      <c r="K449" s="41">
        <f t="shared" si="129"/>
        <v>20</v>
      </c>
      <c r="L449" s="42">
        <f t="shared" si="130"/>
        <v>180</v>
      </c>
      <c r="M449" s="43">
        <f t="shared" si="131"/>
        <v>20</v>
      </c>
      <c r="N449" s="44">
        <f t="shared" si="132"/>
        <v>150</v>
      </c>
      <c r="O449" s="45">
        <f t="shared" si="133"/>
        <v>600</v>
      </c>
      <c r="P449" s="19">
        <f t="shared" si="134"/>
        <v>100</v>
      </c>
      <c r="Q449" s="177">
        <v>50</v>
      </c>
      <c r="R449" s="40">
        <v>150</v>
      </c>
      <c r="S449" s="41">
        <v>50</v>
      </c>
      <c r="T449" s="42">
        <v>150</v>
      </c>
      <c r="U449" s="43">
        <v>50</v>
      </c>
      <c r="V449" s="44">
        <v>150</v>
      </c>
      <c r="W449" s="45">
        <f t="shared" si="135"/>
        <v>600</v>
      </c>
      <c r="X449" s="19">
        <f t="shared" si="136"/>
        <v>100</v>
      </c>
      <c r="Y449" s="3">
        <v>50</v>
      </c>
      <c r="Z449" s="4">
        <v>150</v>
      </c>
      <c r="AA449" s="5">
        <v>50</v>
      </c>
      <c r="AB449" s="6">
        <v>150</v>
      </c>
      <c r="AC449" s="7">
        <v>50</v>
      </c>
      <c r="AD449" s="8">
        <v>150</v>
      </c>
      <c r="AE449" s="1">
        <v>600</v>
      </c>
      <c r="AF449" s="19">
        <v>100</v>
      </c>
      <c r="AG449" s="139">
        <v>50</v>
      </c>
      <c r="AH449" s="140">
        <v>180</v>
      </c>
      <c r="AI449" s="141">
        <v>20</v>
      </c>
      <c r="AJ449" s="142">
        <v>180</v>
      </c>
      <c r="AK449" s="143">
        <v>20</v>
      </c>
      <c r="AL449" s="144">
        <v>150</v>
      </c>
      <c r="AM449" s="138">
        <v>600</v>
      </c>
      <c r="AN449" s="153">
        <v>100</v>
      </c>
      <c r="AW449" s="45"/>
      <c r="AX449" s="174" t="b">
        <f>IF('Refined Compare'!$D$2="All",TRUE,IF(F449='Refined Compare'!$D$2,TRUE,IF(G449='Refined Compare'!$D$2,TRUE,FALSE)))</f>
        <v>0</v>
      </c>
      <c r="AY449" s="174" t="b">
        <f>IF('Refined Compare'!$D$3="All",TRUE,IF(F449='Refined Compare'!$D$3,TRUE,IF(G449='Refined Compare'!$D$3,TRUE,FALSE)))</f>
        <v>1</v>
      </c>
      <c r="AZ449" s="174" t="b">
        <f t="shared" si="125"/>
        <v>1</v>
      </c>
    </row>
    <row r="450" spans="1:52" x14ac:dyDescent="0.35">
      <c r="A450">
        <f t="shared" si="126"/>
        <v>449</v>
      </c>
      <c r="B450" s="18">
        <v>386</v>
      </c>
      <c r="C450" s="61">
        <v>3</v>
      </c>
      <c r="D450" s="118" t="b">
        <v>1</v>
      </c>
      <c r="E450" s="61"/>
      <c r="F450" s="66" t="s">
        <v>817</v>
      </c>
      <c r="G450" s="66" t="s">
        <v>827</v>
      </c>
      <c r="H450" s="38" t="s">
        <v>593</v>
      </c>
      <c r="I450" s="39">
        <f t="shared" si="127"/>
        <v>50</v>
      </c>
      <c r="J450" s="40">
        <f t="shared" si="128"/>
        <v>70</v>
      </c>
      <c r="K450" s="41">
        <f t="shared" si="129"/>
        <v>160</v>
      </c>
      <c r="L450" s="42">
        <f t="shared" si="130"/>
        <v>70</v>
      </c>
      <c r="M450" s="43">
        <f t="shared" si="131"/>
        <v>160</v>
      </c>
      <c r="N450" s="44">
        <f t="shared" si="132"/>
        <v>90</v>
      </c>
      <c r="O450" s="45">
        <f t="shared" si="133"/>
        <v>600</v>
      </c>
      <c r="P450" s="19">
        <f t="shared" si="134"/>
        <v>100</v>
      </c>
      <c r="Q450" s="177">
        <v>50</v>
      </c>
      <c r="R450" s="40">
        <v>70</v>
      </c>
      <c r="S450" s="41">
        <v>160</v>
      </c>
      <c r="T450" s="42">
        <v>70</v>
      </c>
      <c r="U450" s="43">
        <v>160</v>
      </c>
      <c r="V450" s="44">
        <v>90</v>
      </c>
      <c r="W450" s="45">
        <f t="shared" si="135"/>
        <v>600</v>
      </c>
      <c r="X450" s="19">
        <f t="shared" si="136"/>
        <v>100</v>
      </c>
      <c r="Y450" s="3">
        <v>50</v>
      </c>
      <c r="Z450" s="4">
        <v>70</v>
      </c>
      <c r="AA450" s="5">
        <v>160</v>
      </c>
      <c r="AB450" s="6">
        <v>70</v>
      </c>
      <c r="AC450" s="7">
        <v>160</v>
      </c>
      <c r="AD450" s="8">
        <v>90</v>
      </c>
      <c r="AE450" s="1">
        <v>600</v>
      </c>
      <c r="AF450" s="19">
        <v>100</v>
      </c>
      <c r="AG450" s="139">
        <v>50</v>
      </c>
      <c r="AH450" s="140">
        <v>70</v>
      </c>
      <c r="AI450" s="141">
        <v>160</v>
      </c>
      <c r="AJ450" s="142">
        <v>70</v>
      </c>
      <c r="AK450" s="143">
        <v>160</v>
      </c>
      <c r="AL450" s="144">
        <v>90</v>
      </c>
      <c r="AM450" s="138">
        <v>600</v>
      </c>
      <c r="AN450" s="153">
        <v>100</v>
      </c>
      <c r="AW450" s="45"/>
      <c r="AX450" s="174" t="b">
        <f>IF('Refined Compare'!$D$2="All",TRUE,IF(F450='Refined Compare'!$D$2,TRUE,IF(G450='Refined Compare'!$D$2,TRUE,FALSE)))</f>
        <v>0</v>
      </c>
      <c r="AY450" s="174" t="b">
        <f>IF('Refined Compare'!$D$3="All",TRUE,IF(F450='Refined Compare'!$D$3,TRUE,IF(G450='Refined Compare'!$D$3,TRUE,FALSE)))</f>
        <v>1</v>
      </c>
      <c r="AZ450" s="174" t="b">
        <f t="shared" ref="AZ450:AZ513" si="137">IF(C450&lt;=$AW$2,TRUE,FALSE)</f>
        <v>1</v>
      </c>
    </row>
    <row r="451" spans="1:52" x14ac:dyDescent="0.35">
      <c r="A451">
        <f t="shared" si="126"/>
        <v>450</v>
      </c>
      <c r="B451" s="18">
        <v>386</v>
      </c>
      <c r="C451" s="61">
        <v>3</v>
      </c>
      <c r="D451" s="118" t="b">
        <v>1</v>
      </c>
      <c r="E451" s="61"/>
      <c r="F451" s="66" t="s">
        <v>817</v>
      </c>
      <c r="G451" s="66" t="s">
        <v>827</v>
      </c>
      <c r="H451" s="38" t="s">
        <v>780</v>
      </c>
      <c r="I451" s="39">
        <f t="shared" si="127"/>
        <v>50</v>
      </c>
      <c r="J451" s="40">
        <f t="shared" si="128"/>
        <v>95</v>
      </c>
      <c r="K451" s="41">
        <f t="shared" si="129"/>
        <v>90</v>
      </c>
      <c r="L451" s="42">
        <f t="shared" si="130"/>
        <v>95</v>
      </c>
      <c r="M451" s="43">
        <f t="shared" si="131"/>
        <v>90</v>
      </c>
      <c r="N451" s="44">
        <f t="shared" si="132"/>
        <v>180</v>
      </c>
      <c r="O451" s="45">
        <f t="shared" si="133"/>
        <v>600</v>
      </c>
      <c r="P451" s="19">
        <f t="shared" si="134"/>
        <v>100</v>
      </c>
      <c r="Q451" s="177">
        <v>50</v>
      </c>
      <c r="R451" s="40">
        <v>95</v>
      </c>
      <c r="S451" s="41">
        <v>90</v>
      </c>
      <c r="T451" s="42">
        <v>95</v>
      </c>
      <c r="U451" s="43">
        <v>90</v>
      </c>
      <c r="V451" s="44">
        <v>180</v>
      </c>
      <c r="W451" s="45">
        <f t="shared" si="135"/>
        <v>600</v>
      </c>
      <c r="X451" s="19">
        <f t="shared" si="136"/>
        <v>100</v>
      </c>
      <c r="Y451" s="39">
        <v>50</v>
      </c>
      <c r="Z451" s="40">
        <v>95</v>
      </c>
      <c r="AA451" s="41">
        <v>90</v>
      </c>
      <c r="AB451" s="42">
        <v>95</v>
      </c>
      <c r="AC451" s="43">
        <v>90</v>
      </c>
      <c r="AD451" s="44">
        <v>180</v>
      </c>
      <c r="AE451" s="45">
        <v>600</v>
      </c>
      <c r="AF451" s="19">
        <v>100</v>
      </c>
      <c r="AG451" s="139">
        <v>50</v>
      </c>
      <c r="AH451" s="140">
        <v>95</v>
      </c>
      <c r="AI451" s="141">
        <v>90</v>
      </c>
      <c r="AJ451" s="142">
        <v>95</v>
      </c>
      <c r="AK451" s="143">
        <v>90</v>
      </c>
      <c r="AL451" s="144">
        <v>180</v>
      </c>
      <c r="AM451" s="138">
        <v>600</v>
      </c>
      <c r="AN451" s="153">
        <v>100</v>
      </c>
      <c r="AW451" s="45"/>
      <c r="AX451" s="174" t="b">
        <f>IF('Refined Compare'!$D$2="All",TRUE,IF(F451='Refined Compare'!$D$2,TRUE,IF(G451='Refined Compare'!$D$2,TRUE,FALSE)))</f>
        <v>0</v>
      </c>
      <c r="AY451" s="174" t="b">
        <f>IF('Refined Compare'!$D$3="All",TRUE,IF(F451='Refined Compare'!$D$3,TRUE,IF(G451='Refined Compare'!$D$3,TRUE,FALSE)))</f>
        <v>1</v>
      </c>
      <c r="AZ451" s="174" t="b">
        <f t="shared" si="137"/>
        <v>1</v>
      </c>
    </row>
    <row r="452" spans="1:52" x14ac:dyDescent="0.35">
      <c r="A452">
        <f t="shared" si="126"/>
        <v>451</v>
      </c>
      <c r="B452" s="18">
        <v>387</v>
      </c>
      <c r="C452" s="61">
        <v>4</v>
      </c>
      <c r="D452" s="61" t="b">
        <v>0</v>
      </c>
      <c r="E452" s="61"/>
      <c r="F452" s="66" t="s">
        <v>806</v>
      </c>
      <c r="G452" s="66" t="s">
        <v>827</v>
      </c>
      <c r="H452" s="38" t="s">
        <v>86</v>
      </c>
      <c r="I452" s="39">
        <f t="shared" si="127"/>
        <v>55</v>
      </c>
      <c r="J452" s="40">
        <f t="shared" si="128"/>
        <v>68</v>
      </c>
      <c r="K452" s="41">
        <f t="shared" si="129"/>
        <v>64</v>
      </c>
      <c r="L452" s="42">
        <f t="shared" si="130"/>
        <v>45</v>
      </c>
      <c r="M452" s="43">
        <f t="shared" si="131"/>
        <v>55</v>
      </c>
      <c r="N452" s="44">
        <f t="shared" si="132"/>
        <v>31</v>
      </c>
      <c r="O452" s="45">
        <f t="shared" si="133"/>
        <v>318</v>
      </c>
      <c r="P452" s="19">
        <f t="shared" si="134"/>
        <v>53</v>
      </c>
      <c r="Q452" s="177">
        <v>55</v>
      </c>
      <c r="R452" s="40">
        <v>68</v>
      </c>
      <c r="S452" s="41">
        <v>64</v>
      </c>
      <c r="T452" s="42">
        <v>45</v>
      </c>
      <c r="U452" s="43">
        <v>55</v>
      </c>
      <c r="V452" s="44">
        <v>31</v>
      </c>
      <c r="W452" s="45">
        <f t="shared" si="135"/>
        <v>318</v>
      </c>
      <c r="X452" s="19">
        <f t="shared" si="136"/>
        <v>53</v>
      </c>
      <c r="Y452" s="3">
        <v>55</v>
      </c>
      <c r="Z452" s="4">
        <v>68</v>
      </c>
      <c r="AA452" s="5">
        <v>64</v>
      </c>
      <c r="AB452" s="6">
        <v>45</v>
      </c>
      <c r="AC452" s="7">
        <v>55</v>
      </c>
      <c r="AD452" s="8">
        <v>31</v>
      </c>
      <c r="AE452" s="1">
        <v>318</v>
      </c>
      <c r="AF452" s="19">
        <v>53</v>
      </c>
      <c r="AG452" s="139">
        <v>55</v>
      </c>
      <c r="AH452" s="140">
        <v>68</v>
      </c>
      <c r="AI452" s="141">
        <v>64</v>
      </c>
      <c r="AJ452" s="142">
        <v>45</v>
      </c>
      <c r="AK452" s="143">
        <v>55</v>
      </c>
      <c r="AL452" s="144">
        <v>31</v>
      </c>
      <c r="AM452" s="138">
        <v>318</v>
      </c>
      <c r="AN452" s="153">
        <v>53</v>
      </c>
      <c r="AW452" s="45"/>
      <c r="AX452" s="174" t="b">
        <f>IF('Refined Compare'!$D$2="All",TRUE,IF(F452='Refined Compare'!$D$2,TRUE,IF(G452='Refined Compare'!$D$2,TRUE,FALSE)))</f>
        <v>0</v>
      </c>
      <c r="AY452" s="174" t="b">
        <f>IF('Refined Compare'!$D$3="All",TRUE,IF(F452='Refined Compare'!$D$3,TRUE,IF(G452='Refined Compare'!$D$3,TRUE,FALSE)))</f>
        <v>1</v>
      </c>
      <c r="AZ452" s="174" t="b">
        <f t="shared" si="137"/>
        <v>1</v>
      </c>
    </row>
    <row r="453" spans="1:52" x14ac:dyDescent="0.35">
      <c r="A453">
        <f t="shared" si="126"/>
        <v>452</v>
      </c>
      <c r="B453" s="18">
        <v>388</v>
      </c>
      <c r="C453" s="61">
        <v>4</v>
      </c>
      <c r="D453" s="61" t="b">
        <v>0</v>
      </c>
      <c r="E453" s="61"/>
      <c r="F453" s="66" t="s">
        <v>806</v>
      </c>
      <c r="G453" s="66" t="s">
        <v>827</v>
      </c>
      <c r="H453" s="38" t="s">
        <v>117</v>
      </c>
      <c r="I453" s="39">
        <f t="shared" si="127"/>
        <v>75</v>
      </c>
      <c r="J453" s="40">
        <f t="shared" si="128"/>
        <v>89</v>
      </c>
      <c r="K453" s="41">
        <f t="shared" si="129"/>
        <v>85</v>
      </c>
      <c r="L453" s="42">
        <f t="shared" si="130"/>
        <v>55</v>
      </c>
      <c r="M453" s="43">
        <f t="shared" si="131"/>
        <v>65</v>
      </c>
      <c r="N453" s="44">
        <f t="shared" si="132"/>
        <v>36</v>
      </c>
      <c r="O453" s="45">
        <f t="shared" si="133"/>
        <v>405</v>
      </c>
      <c r="P453" s="19">
        <f t="shared" si="134"/>
        <v>67.5</v>
      </c>
      <c r="Q453" s="177">
        <v>75</v>
      </c>
      <c r="R453" s="40">
        <v>89</v>
      </c>
      <c r="S453" s="41">
        <v>85</v>
      </c>
      <c r="T453" s="42">
        <v>55</v>
      </c>
      <c r="U453" s="43">
        <v>65</v>
      </c>
      <c r="V453" s="44">
        <v>36</v>
      </c>
      <c r="W453" s="45">
        <f t="shared" si="135"/>
        <v>405</v>
      </c>
      <c r="X453" s="19">
        <f t="shared" si="136"/>
        <v>67.5</v>
      </c>
      <c r="Y453" s="3">
        <v>75</v>
      </c>
      <c r="Z453" s="4">
        <v>89</v>
      </c>
      <c r="AA453" s="5">
        <v>85</v>
      </c>
      <c r="AB453" s="6">
        <v>55</v>
      </c>
      <c r="AC453" s="7">
        <v>65</v>
      </c>
      <c r="AD453" s="8">
        <v>36</v>
      </c>
      <c r="AE453" s="1">
        <v>405</v>
      </c>
      <c r="AF453" s="19">
        <v>67.5</v>
      </c>
      <c r="AG453" s="139">
        <v>75</v>
      </c>
      <c r="AH453" s="140">
        <v>89</v>
      </c>
      <c r="AI453" s="141">
        <v>85</v>
      </c>
      <c r="AJ453" s="142">
        <v>55</v>
      </c>
      <c r="AK453" s="143">
        <v>65</v>
      </c>
      <c r="AL453" s="144">
        <v>36</v>
      </c>
      <c r="AM453" s="138">
        <v>405</v>
      </c>
      <c r="AN453" s="153">
        <v>67.5</v>
      </c>
      <c r="AW453" s="45"/>
      <c r="AX453" s="174" t="b">
        <f>IF('Refined Compare'!$D$2="All",TRUE,IF(F453='Refined Compare'!$D$2,TRUE,IF(G453='Refined Compare'!$D$2,TRUE,FALSE)))</f>
        <v>0</v>
      </c>
      <c r="AY453" s="174" t="b">
        <f>IF('Refined Compare'!$D$3="All",TRUE,IF(F453='Refined Compare'!$D$3,TRUE,IF(G453='Refined Compare'!$D$3,TRUE,FALSE)))</f>
        <v>1</v>
      </c>
      <c r="AZ453" s="174" t="b">
        <f t="shared" si="137"/>
        <v>1</v>
      </c>
    </row>
    <row r="454" spans="1:52" x14ac:dyDescent="0.35">
      <c r="A454">
        <f t="shared" si="126"/>
        <v>453</v>
      </c>
      <c r="B454" s="18">
        <v>389</v>
      </c>
      <c r="C454" s="61">
        <v>4</v>
      </c>
      <c r="D454" s="118" t="b">
        <v>1</v>
      </c>
      <c r="E454" s="61"/>
      <c r="F454" s="66" t="s">
        <v>806</v>
      </c>
      <c r="G454" s="66" t="s">
        <v>814</v>
      </c>
      <c r="H454" s="38" t="s">
        <v>296</v>
      </c>
      <c r="I454" s="39">
        <f t="shared" si="127"/>
        <v>95</v>
      </c>
      <c r="J454" s="40">
        <f t="shared" si="128"/>
        <v>109</v>
      </c>
      <c r="K454" s="41">
        <f t="shared" si="129"/>
        <v>105</v>
      </c>
      <c r="L454" s="42">
        <f t="shared" si="130"/>
        <v>75</v>
      </c>
      <c r="M454" s="43">
        <f t="shared" si="131"/>
        <v>85</v>
      </c>
      <c r="N454" s="44">
        <f t="shared" si="132"/>
        <v>56</v>
      </c>
      <c r="O454" s="45">
        <f t="shared" si="133"/>
        <v>525</v>
      </c>
      <c r="P454" s="19">
        <f t="shared" si="134"/>
        <v>87.5</v>
      </c>
      <c r="Q454" s="177">
        <v>95</v>
      </c>
      <c r="R454" s="40">
        <v>109</v>
      </c>
      <c r="S454" s="41">
        <v>105</v>
      </c>
      <c r="T454" s="42">
        <v>75</v>
      </c>
      <c r="U454" s="43">
        <v>85</v>
      </c>
      <c r="V454" s="44">
        <v>56</v>
      </c>
      <c r="W454" s="45">
        <f t="shared" si="135"/>
        <v>525</v>
      </c>
      <c r="X454" s="19">
        <f t="shared" si="136"/>
        <v>87.5</v>
      </c>
      <c r="Y454" s="3">
        <v>95</v>
      </c>
      <c r="Z454" s="4">
        <v>109</v>
      </c>
      <c r="AA454" s="5">
        <v>105</v>
      </c>
      <c r="AB454" s="6">
        <v>75</v>
      </c>
      <c r="AC454" s="7">
        <v>85</v>
      </c>
      <c r="AD454" s="8">
        <v>56</v>
      </c>
      <c r="AE454" s="1">
        <v>525</v>
      </c>
      <c r="AF454" s="19">
        <v>87.5</v>
      </c>
      <c r="AG454" s="139">
        <v>95</v>
      </c>
      <c r="AH454" s="140">
        <v>109</v>
      </c>
      <c r="AI454" s="141">
        <v>105</v>
      </c>
      <c r="AJ454" s="142">
        <v>75</v>
      </c>
      <c r="AK454" s="143">
        <v>85</v>
      </c>
      <c r="AL454" s="144">
        <v>56</v>
      </c>
      <c r="AM454" s="138">
        <v>525</v>
      </c>
      <c r="AN454" s="153">
        <v>87.5</v>
      </c>
      <c r="AW454" s="45"/>
      <c r="AX454" s="174" t="b">
        <f>IF('Refined Compare'!$D$2="All",TRUE,IF(F454='Refined Compare'!$D$2,TRUE,IF(G454='Refined Compare'!$D$2,TRUE,FALSE)))</f>
        <v>0</v>
      </c>
      <c r="AY454" s="174" t="b">
        <f>IF('Refined Compare'!$D$3="All",TRUE,IF(F454='Refined Compare'!$D$3,TRUE,IF(G454='Refined Compare'!$D$3,TRUE,FALSE)))</f>
        <v>0</v>
      </c>
      <c r="AZ454" s="174" t="b">
        <f t="shared" si="137"/>
        <v>1</v>
      </c>
    </row>
    <row r="455" spans="1:52" x14ac:dyDescent="0.35">
      <c r="A455">
        <f t="shared" si="126"/>
        <v>454</v>
      </c>
      <c r="B455" s="18">
        <v>390</v>
      </c>
      <c r="C455" s="61">
        <v>4</v>
      </c>
      <c r="D455" s="61" t="b">
        <v>0</v>
      </c>
      <c r="E455" s="61"/>
      <c r="F455" s="66" t="s">
        <v>808</v>
      </c>
      <c r="G455" s="66" t="s">
        <v>827</v>
      </c>
      <c r="H455" s="38" t="s">
        <v>357</v>
      </c>
      <c r="I455" s="39">
        <f t="shared" si="127"/>
        <v>44</v>
      </c>
      <c r="J455" s="40">
        <f t="shared" si="128"/>
        <v>58</v>
      </c>
      <c r="K455" s="41">
        <f t="shared" si="129"/>
        <v>44</v>
      </c>
      <c r="L455" s="42">
        <f t="shared" si="130"/>
        <v>58</v>
      </c>
      <c r="M455" s="43">
        <f t="shared" si="131"/>
        <v>44</v>
      </c>
      <c r="N455" s="44">
        <f t="shared" si="132"/>
        <v>61</v>
      </c>
      <c r="O455" s="45">
        <f t="shared" si="133"/>
        <v>309</v>
      </c>
      <c r="P455" s="19">
        <f t="shared" si="134"/>
        <v>51.5</v>
      </c>
      <c r="Q455" s="177">
        <v>44</v>
      </c>
      <c r="R455" s="40">
        <v>58</v>
      </c>
      <c r="S455" s="41">
        <v>44</v>
      </c>
      <c r="T455" s="42">
        <v>58</v>
      </c>
      <c r="U455" s="43">
        <v>44</v>
      </c>
      <c r="V455" s="44">
        <v>61</v>
      </c>
      <c r="W455" s="45">
        <f t="shared" si="135"/>
        <v>309</v>
      </c>
      <c r="X455" s="19">
        <f t="shared" si="136"/>
        <v>51.5</v>
      </c>
      <c r="Y455" s="3">
        <v>44</v>
      </c>
      <c r="Z455" s="4">
        <v>58</v>
      </c>
      <c r="AA455" s="5">
        <v>44</v>
      </c>
      <c r="AB455" s="6">
        <v>58</v>
      </c>
      <c r="AC455" s="7">
        <v>44</v>
      </c>
      <c r="AD455" s="8">
        <v>61</v>
      </c>
      <c r="AE455" s="1">
        <v>309</v>
      </c>
      <c r="AF455" s="19">
        <v>51.5</v>
      </c>
      <c r="AG455" s="139">
        <v>44</v>
      </c>
      <c r="AH455" s="140">
        <v>58</v>
      </c>
      <c r="AI455" s="141">
        <v>44</v>
      </c>
      <c r="AJ455" s="142">
        <v>58</v>
      </c>
      <c r="AK455" s="143">
        <v>44</v>
      </c>
      <c r="AL455" s="144">
        <v>61</v>
      </c>
      <c r="AM455" s="138">
        <v>309</v>
      </c>
      <c r="AN455" s="153">
        <v>51.5</v>
      </c>
      <c r="AW455" s="45"/>
      <c r="AX455" s="174" t="b">
        <f>IF('Refined Compare'!$D$2="All",TRUE,IF(F455='Refined Compare'!$D$2,TRUE,IF(G455='Refined Compare'!$D$2,TRUE,FALSE)))</f>
        <v>0</v>
      </c>
      <c r="AY455" s="174" t="b">
        <f>IF('Refined Compare'!$D$3="All",TRUE,IF(F455='Refined Compare'!$D$3,TRUE,IF(G455='Refined Compare'!$D$3,TRUE,FALSE)))</f>
        <v>1</v>
      </c>
      <c r="AZ455" s="174" t="b">
        <f t="shared" si="137"/>
        <v>1</v>
      </c>
    </row>
    <row r="456" spans="1:52" x14ac:dyDescent="0.35">
      <c r="A456">
        <f t="shared" si="126"/>
        <v>455</v>
      </c>
      <c r="B456" s="18">
        <v>391</v>
      </c>
      <c r="C456" s="61">
        <v>4</v>
      </c>
      <c r="D456" s="61" t="b">
        <v>0</v>
      </c>
      <c r="E456" s="61"/>
      <c r="F456" s="66" t="s">
        <v>808</v>
      </c>
      <c r="G456" s="66" t="s">
        <v>816</v>
      </c>
      <c r="H456" s="38" t="s">
        <v>532</v>
      </c>
      <c r="I456" s="39">
        <f t="shared" si="127"/>
        <v>64</v>
      </c>
      <c r="J456" s="40">
        <f t="shared" si="128"/>
        <v>78</v>
      </c>
      <c r="K456" s="41">
        <f t="shared" si="129"/>
        <v>52</v>
      </c>
      <c r="L456" s="42">
        <f t="shared" si="130"/>
        <v>78</v>
      </c>
      <c r="M456" s="43">
        <f t="shared" si="131"/>
        <v>52</v>
      </c>
      <c r="N456" s="44">
        <f t="shared" si="132"/>
        <v>81</v>
      </c>
      <c r="O456" s="45">
        <f t="shared" si="133"/>
        <v>405</v>
      </c>
      <c r="P456" s="19">
        <f t="shared" si="134"/>
        <v>67.5</v>
      </c>
      <c r="Q456" s="177">
        <v>64</v>
      </c>
      <c r="R456" s="40">
        <v>78</v>
      </c>
      <c r="S456" s="41">
        <v>52</v>
      </c>
      <c r="T456" s="42">
        <v>78</v>
      </c>
      <c r="U456" s="43">
        <v>52</v>
      </c>
      <c r="V456" s="44">
        <v>81</v>
      </c>
      <c r="W456" s="45">
        <f t="shared" si="135"/>
        <v>405</v>
      </c>
      <c r="X456" s="19">
        <f t="shared" si="136"/>
        <v>67.5</v>
      </c>
      <c r="Y456" s="3">
        <v>64</v>
      </c>
      <c r="Z456" s="4">
        <v>78</v>
      </c>
      <c r="AA456" s="5">
        <v>52</v>
      </c>
      <c r="AB456" s="6">
        <v>78</v>
      </c>
      <c r="AC456" s="7">
        <v>52</v>
      </c>
      <c r="AD456" s="8">
        <v>81</v>
      </c>
      <c r="AE456" s="1">
        <v>405</v>
      </c>
      <c r="AF456" s="19">
        <v>67.5</v>
      </c>
      <c r="AG456" s="139">
        <v>64</v>
      </c>
      <c r="AH456" s="140">
        <v>78</v>
      </c>
      <c r="AI456" s="141">
        <v>52</v>
      </c>
      <c r="AJ456" s="142">
        <v>78</v>
      </c>
      <c r="AK456" s="143">
        <v>52</v>
      </c>
      <c r="AL456" s="144">
        <v>81</v>
      </c>
      <c r="AM456" s="138">
        <v>405</v>
      </c>
      <c r="AN456" s="153">
        <v>67.5</v>
      </c>
      <c r="AW456" s="45"/>
      <c r="AX456" s="174" t="b">
        <f>IF('Refined Compare'!$D$2="All",TRUE,IF(F456='Refined Compare'!$D$2,TRUE,IF(G456='Refined Compare'!$D$2,TRUE,FALSE)))</f>
        <v>0</v>
      </c>
      <c r="AY456" s="174" t="b">
        <f>IF('Refined Compare'!$D$3="All",TRUE,IF(F456='Refined Compare'!$D$3,TRUE,IF(G456='Refined Compare'!$D$3,TRUE,FALSE)))</f>
        <v>0</v>
      </c>
      <c r="AZ456" s="174" t="b">
        <f t="shared" si="137"/>
        <v>1</v>
      </c>
    </row>
    <row r="457" spans="1:52" x14ac:dyDescent="0.35">
      <c r="A457">
        <f t="shared" si="126"/>
        <v>456</v>
      </c>
      <c r="B457" s="18">
        <v>392</v>
      </c>
      <c r="C457" s="61">
        <v>4</v>
      </c>
      <c r="D457" s="118" t="b">
        <v>1</v>
      </c>
      <c r="E457" s="61"/>
      <c r="F457" s="66" t="s">
        <v>808</v>
      </c>
      <c r="G457" s="66" t="s">
        <v>816</v>
      </c>
      <c r="H457" s="38" t="s">
        <v>707</v>
      </c>
      <c r="I457" s="39">
        <f t="shared" si="127"/>
        <v>76</v>
      </c>
      <c r="J457" s="40">
        <f t="shared" si="128"/>
        <v>104</v>
      </c>
      <c r="K457" s="41">
        <f t="shared" si="129"/>
        <v>71</v>
      </c>
      <c r="L457" s="42">
        <f t="shared" si="130"/>
        <v>104</v>
      </c>
      <c r="M457" s="43">
        <f t="shared" si="131"/>
        <v>71</v>
      </c>
      <c r="N457" s="44">
        <f t="shared" si="132"/>
        <v>108</v>
      </c>
      <c r="O457" s="45">
        <f t="shared" si="133"/>
        <v>534</v>
      </c>
      <c r="P457" s="19">
        <f t="shared" si="134"/>
        <v>89</v>
      </c>
      <c r="Q457" s="177">
        <v>76</v>
      </c>
      <c r="R457" s="40">
        <v>104</v>
      </c>
      <c r="S457" s="41">
        <v>71</v>
      </c>
      <c r="T457" s="42">
        <v>104</v>
      </c>
      <c r="U457" s="43">
        <v>71</v>
      </c>
      <c r="V457" s="44">
        <v>108</v>
      </c>
      <c r="W457" s="45">
        <f t="shared" si="135"/>
        <v>534</v>
      </c>
      <c r="X457" s="19">
        <f t="shared" si="136"/>
        <v>89</v>
      </c>
      <c r="Y457" s="3">
        <v>76</v>
      </c>
      <c r="Z457" s="4">
        <v>104</v>
      </c>
      <c r="AA457" s="5">
        <v>71</v>
      </c>
      <c r="AB457" s="6">
        <v>104</v>
      </c>
      <c r="AC457" s="7">
        <v>71</v>
      </c>
      <c r="AD457" s="8">
        <v>108</v>
      </c>
      <c r="AE457" s="1">
        <v>534</v>
      </c>
      <c r="AF457" s="19">
        <v>89</v>
      </c>
      <c r="AG457" s="139">
        <v>76</v>
      </c>
      <c r="AH457" s="140">
        <v>104</v>
      </c>
      <c r="AI457" s="141">
        <v>71</v>
      </c>
      <c r="AJ457" s="142">
        <v>104</v>
      </c>
      <c r="AK457" s="143">
        <v>71</v>
      </c>
      <c r="AL457" s="144">
        <v>108</v>
      </c>
      <c r="AM457" s="138">
        <v>534</v>
      </c>
      <c r="AN457" s="153">
        <v>89</v>
      </c>
      <c r="AW457" s="45"/>
      <c r="AX457" s="174" t="b">
        <f>IF('Refined Compare'!$D$2="All",TRUE,IF(F457='Refined Compare'!$D$2,TRUE,IF(G457='Refined Compare'!$D$2,TRUE,FALSE)))</f>
        <v>0</v>
      </c>
      <c r="AY457" s="174" t="b">
        <f>IF('Refined Compare'!$D$3="All",TRUE,IF(F457='Refined Compare'!$D$3,TRUE,IF(G457='Refined Compare'!$D$3,TRUE,FALSE)))</f>
        <v>0</v>
      </c>
      <c r="AZ457" s="174" t="b">
        <f t="shared" si="137"/>
        <v>1</v>
      </c>
    </row>
    <row r="458" spans="1:52" x14ac:dyDescent="0.35">
      <c r="A458">
        <f t="shared" si="126"/>
        <v>457</v>
      </c>
      <c r="B458" s="18">
        <v>393</v>
      </c>
      <c r="C458" s="61">
        <v>4</v>
      </c>
      <c r="D458" s="61" t="b">
        <v>0</v>
      </c>
      <c r="E458" s="61"/>
      <c r="F458" s="66" t="s">
        <v>810</v>
      </c>
      <c r="G458" s="66" t="s">
        <v>827</v>
      </c>
      <c r="H458" s="38" t="s">
        <v>144</v>
      </c>
      <c r="I458" s="39">
        <f t="shared" si="127"/>
        <v>53</v>
      </c>
      <c r="J458" s="40">
        <f t="shared" si="128"/>
        <v>51</v>
      </c>
      <c r="K458" s="41">
        <f t="shared" si="129"/>
        <v>53</v>
      </c>
      <c r="L458" s="42">
        <f t="shared" si="130"/>
        <v>61</v>
      </c>
      <c r="M458" s="43">
        <f t="shared" si="131"/>
        <v>56</v>
      </c>
      <c r="N458" s="44">
        <f t="shared" si="132"/>
        <v>40</v>
      </c>
      <c r="O458" s="45">
        <f t="shared" si="133"/>
        <v>314</v>
      </c>
      <c r="P458" s="19">
        <f t="shared" si="134"/>
        <v>52.33</v>
      </c>
      <c r="Q458" s="177">
        <v>53</v>
      </c>
      <c r="R458" s="40">
        <v>51</v>
      </c>
      <c r="S458" s="41">
        <v>53</v>
      </c>
      <c r="T458" s="42">
        <v>61</v>
      </c>
      <c r="U458" s="43">
        <v>56</v>
      </c>
      <c r="V458" s="44">
        <v>40</v>
      </c>
      <c r="W458" s="45">
        <f t="shared" si="135"/>
        <v>314</v>
      </c>
      <c r="X458" s="19">
        <f t="shared" si="136"/>
        <v>52.33</v>
      </c>
      <c r="Y458" s="3">
        <v>53</v>
      </c>
      <c r="Z458" s="4">
        <v>51</v>
      </c>
      <c r="AA458" s="5">
        <v>53</v>
      </c>
      <c r="AB458" s="6">
        <v>61</v>
      </c>
      <c r="AC458" s="7">
        <v>56</v>
      </c>
      <c r="AD458" s="8">
        <v>40</v>
      </c>
      <c r="AE458" s="1">
        <v>314</v>
      </c>
      <c r="AF458" s="19">
        <v>52.33</v>
      </c>
      <c r="AG458" s="139">
        <v>53</v>
      </c>
      <c r="AH458" s="140">
        <v>51</v>
      </c>
      <c r="AI458" s="141">
        <v>53</v>
      </c>
      <c r="AJ458" s="142">
        <v>61</v>
      </c>
      <c r="AK458" s="143">
        <v>56</v>
      </c>
      <c r="AL458" s="144">
        <v>40</v>
      </c>
      <c r="AM458" s="138">
        <v>314</v>
      </c>
      <c r="AN458" s="153">
        <v>52.33</v>
      </c>
      <c r="AW458" s="45"/>
      <c r="AX458" s="174" t="b">
        <f>IF('Refined Compare'!$D$2="All",TRUE,IF(F458='Refined Compare'!$D$2,TRUE,IF(G458='Refined Compare'!$D$2,TRUE,FALSE)))</f>
        <v>0</v>
      </c>
      <c r="AY458" s="174" t="b">
        <f>IF('Refined Compare'!$D$3="All",TRUE,IF(F458='Refined Compare'!$D$3,TRUE,IF(G458='Refined Compare'!$D$3,TRUE,FALSE)))</f>
        <v>1</v>
      </c>
      <c r="AZ458" s="174" t="b">
        <f t="shared" si="137"/>
        <v>1</v>
      </c>
    </row>
    <row r="459" spans="1:52" x14ac:dyDescent="0.35">
      <c r="A459">
        <f t="shared" si="126"/>
        <v>458</v>
      </c>
      <c r="B459" s="18">
        <v>394</v>
      </c>
      <c r="C459" s="61">
        <v>4</v>
      </c>
      <c r="D459" s="61" t="b">
        <v>0</v>
      </c>
      <c r="E459" s="61"/>
      <c r="F459" s="66" t="s">
        <v>810</v>
      </c>
      <c r="G459" s="66" t="s">
        <v>827</v>
      </c>
      <c r="H459" s="38" t="s">
        <v>243</v>
      </c>
      <c r="I459" s="39">
        <f t="shared" si="127"/>
        <v>64</v>
      </c>
      <c r="J459" s="40">
        <f t="shared" si="128"/>
        <v>66</v>
      </c>
      <c r="K459" s="41">
        <f t="shared" si="129"/>
        <v>68</v>
      </c>
      <c r="L459" s="42">
        <f t="shared" si="130"/>
        <v>81</v>
      </c>
      <c r="M459" s="43">
        <f t="shared" si="131"/>
        <v>76</v>
      </c>
      <c r="N459" s="44">
        <f t="shared" si="132"/>
        <v>50</v>
      </c>
      <c r="O459" s="45">
        <f t="shared" si="133"/>
        <v>405</v>
      </c>
      <c r="P459" s="19">
        <f t="shared" si="134"/>
        <v>67.5</v>
      </c>
      <c r="Q459" s="177">
        <v>64</v>
      </c>
      <c r="R459" s="40">
        <v>66</v>
      </c>
      <c r="S459" s="41">
        <v>68</v>
      </c>
      <c r="T459" s="42">
        <v>81</v>
      </c>
      <c r="U459" s="43">
        <v>76</v>
      </c>
      <c r="V459" s="44">
        <v>50</v>
      </c>
      <c r="W459" s="45">
        <f t="shared" si="135"/>
        <v>405</v>
      </c>
      <c r="X459" s="19">
        <f t="shared" si="136"/>
        <v>67.5</v>
      </c>
      <c r="Y459" s="3">
        <v>64</v>
      </c>
      <c r="Z459" s="4">
        <v>66</v>
      </c>
      <c r="AA459" s="5">
        <v>68</v>
      </c>
      <c r="AB459" s="6">
        <v>81</v>
      </c>
      <c r="AC459" s="7">
        <v>76</v>
      </c>
      <c r="AD459" s="8">
        <v>50</v>
      </c>
      <c r="AE459" s="1">
        <v>405</v>
      </c>
      <c r="AF459" s="19">
        <v>67.5</v>
      </c>
      <c r="AG459" s="139">
        <v>64</v>
      </c>
      <c r="AH459" s="140">
        <v>66</v>
      </c>
      <c r="AI459" s="141">
        <v>68</v>
      </c>
      <c r="AJ459" s="142">
        <v>81</v>
      </c>
      <c r="AK459" s="143">
        <v>76</v>
      </c>
      <c r="AL459" s="144">
        <v>50</v>
      </c>
      <c r="AM459" s="138">
        <v>405</v>
      </c>
      <c r="AN459" s="153">
        <v>67.5</v>
      </c>
      <c r="AW459" s="45"/>
      <c r="AX459" s="174" t="b">
        <f>IF('Refined Compare'!$D$2="All",TRUE,IF(F459='Refined Compare'!$D$2,TRUE,IF(G459='Refined Compare'!$D$2,TRUE,FALSE)))</f>
        <v>0</v>
      </c>
      <c r="AY459" s="174" t="b">
        <f>IF('Refined Compare'!$D$3="All",TRUE,IF(F459='Refined Compare'!$D$3,TRUE,IF(G459='Refined Compare'!$D$3,TRUE,FALSE)))</f>
        <v>1</v>
      </c>
      <c r="AZ459" s="174" t="b">
        <f t="shared" si="137"/>
        <v>1</v>
      </c>
    </row>
    <row r="460" spans="1:52" x14ac:dyDescent="0.35">
      <c r="A460">
        <f t="shared" si="126"/>
        <v>459</v>
      </c>
      <c r="B460" s="18">
        <v>395</v>
      </c>
      <c r="C460" s="61">
        <v>4</v>
      </c>
      <c r="D460" s="118" t="b">
        <v>1</v>
      </c>
      <c r="E460" s="61"/>
      <c r="F460" s="66" t="s">
        <v>810</v>
      </c>
      <c r="G460" s="66" t="s">
        <v>819</v>
      </c>
      <c r="H460" s="38" t="s">
        <v>334</v>
      </c>
      <c r="I460" s="39">
        <f t="shared" si="127"/>
        <v>84</v>
      </c>
      <c r="J460" s="40">
        <f t="shared" si="128"/>
        <v>86</v>
      </c>
      <c r="K460" s="41">
        <f t="shared" si="129"/>
        <v>88</v>
      </c>
      <c r="L460" s="42">
        <f t="shared" si="130"/>
        <v>111</v>
      </c>
      <c r="M460" s="43">
        <f t="shared" si="131"/>
        <v>101</v>
      </c>
      <c r="N460" s="44">
        <f t="shared" si="132"/>
        <v>60</v>
      </c>
      <c r="O460" s="45">
        <f t="shared" si="133"/>
        <v>530</v>
      </c>
      <c r="P460" s="19">
        <f t="shared" si="134"/>
        <v>88.33</v>
      </c>
      <c r="Q460" s="177">
        <v>84</v>
      </c>
      <c r="R460" s="40">
        <v>86</v>
      </c>
      <c r="S460" s="41">
        <v>88</v>
      </c>
      <c r="T460" s="42">
        <v>111</v>
      </c>
      <c r="U460" s="43">
        <v>101</v>
      </c>
      <c r="V460" s="44">
        <v>60</v>
      </c>
      <c r="W460" s="45">
        <f t="shared" si="135"/>
        <v>530</v>
      </c>
      <c r="X460" s="19">
        <f t="shared" si="136"/>
        <v>88.33</v>
      </c>
      <c r="Y460" s="3">
        <v>84</v>
      </c>
      <c r="Z460" s="4">
        <v>86</v>
      </c>
      <c r="AA460" s="5">
        <v>88</v>
      </c>
      <c r="AB460" s="6">
        <v>111</v>
      </c>
      <c r="AC460" s="7">
        <v>101</v>
      </c>
      <c r="AD460" s="8">
        <v>60</v>
      </c>
      <c r="AE460" s="1">
        <v>530</v>
      </c>
      <c r="AF460" s="19">
        <v>88.33</v>
      </c>
      <c r="AG460" s="139">
        <v>84</v>
      </c>
      <c r="AH460" s="140">
        <v>86</v>
      </c>
      <c r="AI460" s="141">
        <v>88</v>
      </c>
      <c r="AJ460" s="142">
        <v>111</v>
      </c>
      <c r="AK460" s="143">
        <v>101</v>
      </c>
      <c r="AL460" s="144">
        <v>60</v>
      </c>
      <c r="AM460" s="138">
        <v>530</v>
      </c>
      <c r="AN460" s="153">
        <v>88.33</v>
      </c>
      <c r="AW460" s="45"/>
      <c r="AX460" s="174" t="b">
        <f>IF('Refined Compare'!$D$2="All",TRUE,IF(F460='Refined Compare'!$D$2,TRUE,IF(G460='Refined Compare'!$D$2,TRUE,FALSE)))</f>
        <v>0</v>
      </c>
      <c r="AY460" s="174" t="b">
        <f>IF('Refined Compare'!$D$3="All",TRUE,IF(F460='Refined Compare'!$D$3,TRUE,IF(G460='Refined Compare'!$D$3,TRUE,FALSE)))</f>
        <v>0</v>
      </c>
      <c r="AZ460" s="174" t="b">
        <f t="shared" si="137"/>
        <v>1</v>
      </c>
    </row>
    <row r="461" spans="1:52" x14ac:dyDescent="0.35">
      <c r="A461">
        <f t="shared" si="126"/>
        <v>460</v>
      </c>
      <c r="B461" s="18">
        <v>396</v>
      </c>
      <c r="C461" s="61">
        <v>4</v>
      </c>
      <c r="D461" s="61" t="b">
        <v>0</v>
      </c>
      <c r="E461" s="61"/>
      <c r="F461" s="66" t="s">
        <v>812</v>
      </c>
      <c r="G461" s="66" t="s">
        <v>809</v>
      </c>
      <c r="H461" s="38" t="s">
        <v>335</v>
      </c>
      <c r="I461" s="39">
        <f t="shared" si="127"/>
        <v>40</v>
      </c>
      <c r="J461" s="40">
        <f t="shared" si="128"/>
        <v>55</v>
      </c>
      <c r="K461" s="41">
        <f t="shared" si="129"/>
        <v>30</v>
      </c>
      <c r="L461" s="42">
        <f t="shared" si="130"/>
        <v>30</v>
      </c>
      <c r="M461" s="43">
        <f t="shared" si="131"/>
        <v>30</v>
      </c>
      <c r="N461" s="44">
        <f t="shared" si="132"/>
        <v>60</v>
      </c>
      <c r="O461" s="45">
        <f t="shared" si="133"/>
        <v>245</v>
      </c>
      <c r="P461" s="19">
        <f t="shared" si="134"/>
        <v>40.83</v>
      </c>
      <c r="Q461" s="177">
        <v>40</v>
      </c>
      <c r="R461" s="40">
        <v>55</v>
      </c>
      <c r="S461" s="41">
        <v>30</v>
      </c>
      <c r="T461" s="42">
        <v>30</v>
      </c>
      <c r="U461" s="43">
        <v>30</v>
      </c>
      <c r="V461" s="44">
        <v>60</v>
      </c>
      <c r="W461" s="45">
        <f t="shared" si="135"/>
        <v>245</v>
      </c>
      <c r="X461" s="19">
        <f t="shared" si="136"/>
        <v>40.83</v>
      </c>
      <c r="Y461" s="3">
        <v>40</v>
      </c>
      <c r="Z461" s="4">
        <v>55</v>
      </c>
      <c r="AA461" s="5">
        <v>30</v>
      </c>
      <c r="AB461" s="6">
        <v>30</v>
      </c>
      <c r="AC461" s="7">
        <v>30</v>
      </c>
      <c r="AD461" s="8">
        <v>60</v>
      </c>
      <c r="AE461" s="1">
        <v>245</v>
      </c>
      <c r="AF461" s="19">
        <v>40.83</v>
      </c>
      <c r="AG461" s="139">
        <v>40</v>
      </c>
      <c r="AH461" s="140">
        <v>55</v>
      </c>
      <c r="AI461" s="141">
        <v>30</v>
      </c>
      <c r="AJ461" s="142">
        <v>30</v>
      </c>
      <c r="AK461" s="143">
        <v>30</v>
      </c>
      <c r="AL461" s="144">
        <v>60</v>
      </c>
      <c r="AM461" s="138">
        <v>245</v>
      </c>
      <c r="AN461" s="153">
        <v>40.83</v>
      </c>
      <c r="AW461" s="45"/>
      <c r="AX461" s="174" t="b">
        <f>IF('Refined Compare'!$D$2="All",TRUE,IF(F461='Refined Compare'!$D$2,TRUE,IF(G461='Refined Compare'!$D$2,TRUE,FALSE)))</f>
        <v>0</v>
      </c>
      <c r="AY461" s="174" t="b">
        <f>IF('Refined Compare'!$D$3="All",TRUE,IF(F461='Refined Compare'!$D$3,TRUE,IF(G461='Refined Compare'!$D$3,TRUE,FALSE)))</f>
        <v>0</v>
      </c>
      <c r="AZ461" s="174" t="b">
        <f t="shared" si="137"/>
        <v>1</v>
      </c>
    </row>
    <row r="462" spans="1:52" x14ac:dyDescent="0.35">
      <c r="A462">
        <f t="shared" si="126"/>
        <v>461</v>
      </c>
      <c r="B462" s="18">
        <v>397</v>
      </c>
      <c r="C462" s="61">
        <v>4</v>
      </c>
      <c r="D462" s="61" t="b">
        <v>0</v>
      </c>
      <c r="E462" s="61"/>
      <c r="F462" s="66" t="s">
        <v>812</v>
      </c>
      <c r="G462" s="66" t="s">
        <v>809</v>
      </c>
      <c r="H462" s="38" t="s">
        <v>516</v>
      </c>
      <c r="I462" s="39">
        <f t="shared" si="127"/>
        <v>55</v>
      </c>
      <c r="J462" s="40">
        <f t="shared" si="128"/>
        <v>75</v>
      </c>
      <c r="K462" s="41">
        <f t="shared" si="129"/>
        <v>50</v>
      </c>
      <c r="L462" s="42">
        <f t="shared" si="130"/>
        <v>40</v>
      </c>
      <c r="M462" s="43">
        <f t="shared" si="131"/>
        <v>40</v>
      </c>
      <c r="N462" s="44">
        <f t="shared" si="132"/>
        <v>80</v>
      </c>
      <c r="O462" s="45">
        <f t="shared" si="133"/>
        <v>340</v>
      </c>
      <c r="P462" s="19">
        <f t="shared" si="134"/>
        <v>56.67</v>
      </c>
      <c r="Q462" s="177">
        <v>55</v>
      </c>
      <c r="R462" s="40">
        <v>75</v>
      </c>
      <c r="S462" s="41">
        <v>50</v>
      </c>
      <c r="T462" s="42">
        <v>40</v>
      </c>
      <c r="U462" s="43">
        <v>40</v>
      </c>
      <c r="V462" s="44">
        <v>80</v>
      </c>
      <c r="W462" s="45">
        <f t="shared" si="135"/>
        <v>340</v>
      </c>
      <c r="X462" s="19">
        <f t="shared" si="136"/>
        <v>56.67</v>
      </c>
      <c r="Y462" s="3">
        <v>55</v>
      </c>
      <c r="Z462" s="4">
        <v>75</v>
      </c>
      <c r="AA462" s="5">
        <v>50</v>
      </c>
      <c r="AB462" s="6">
        <v>40</v>
      </c>
      <c r="AC462" s="7">
        <v>40</v>
      </c>
      <c r="AD462" s="8">
        <v>80</v>
      </c>
      <c r="AE462" s="1">
        <v>340</v>
      </c>
      <c r="AF462" s="19">
        <v>56.67</v>
      </c>
      <c r="AG462" s="139">
        <v>55</v>
      </c>
      <c r="AH462" s="140">
        <v>75</v>
      </c>
      <c r="AI462" s="141">
        <v>50</v>
      </c>
      <c r="AJ462" s="142">
        <v>40</v>
      </c>
      <c r="AK462" s="143">
        <v>40</v>
      </c>
      <c r="AL462" s="144">
        <v>80</v>
      </c>
      <c r="AM462" s="138">
        <v>340</v>
      </c>
      <c r="AN462" s="153">
        <v>56.67</v>
      </c>
      <c r="AW462" s="45"/>
      <c r="AX462" s="174" t="b">
        <f>IF('Refined Compare'!$D$2="All",TRUE,IF(F462='Refined Compare'!$D$2,TRUE,IF(G462='Refined Compare'!$D$2,TRUE,FALSE)))</f>
        <v>0</v>
      </c>
      <c r="AY462" s="174" t="b">
        <f>IF('Refined Compare'!$D$3="All",TRUE,IF(F462='Refined Compare'!$D$3,TRUE,IF(G462='Refined Compare'!$D$3,TRUE,FALSE)))</f>
        <v>0</v>
      </c>
      <c r="AZ462" s="174" t="b">
        <f t="shared" si="137"/>
        <v>1</v>
      </c>
    </row>
    <row r="463" spans="1:52" x14ac:dyDescent="0.35">
      <c r="A463">
        <f t="shared" ref="A463:A526" si="138">A462+1</f>
        <v>462</v>
      </c>
      <c r="B463" s="18">
        <v>398</v>
      </c>
      <c r="C463" s="61">
        <v>4</v>
      </c>
      <c r="D463" s="118" t="b">
        <v>1</v>
      </c>
      <c r="E463" s="61"/>
      <c r="F463" s="66" t="s">
        <v>812</v>
      </c>
      <c r="G463" s="66" t="s">
        <v>809</v>
      </c>
      <c r="H463" s="38" t="s">
        <v>676</v>
      </c>
      <c r="I463" s="39">
        <f t="shared" si="127"/>
        <v>85</v>
      </c>
      <c r="J463" s="40">
        <f t="shared" si="128"/>
        <v>120</v>
      </c>
      <c r="K463" s="41">
        <f t="shared" si="129"/>
        <v>70</v>
      </c>
      <c r="L463" s="42">
        <f t="shared" si="130"/>
        <v>50</v>
      </c>
      <c r="M463" s="43">
        <f t="shared" si="131"/>
        <v>50</v>
      </c>
      <c r="N463" s="44">
        <f t="shared" si="132"/>
        <v>100</v>
      </c>
      <c r="O463" s="45">
        <f t="shared" si="133"/>
        <v>475</v>
      </c>
      <c r="P463" s="19">
        <f t="shared" si="134"/>
        <v>79.17</v>
      </c>
      <c r="Q463" s="177">
        <v>85</v>
      </c>
      <c r="R463" s="40">
        <v>120</v>
      </c>
      <c r="S463" s="41">
        <v>70</v>
      </c>
      <c r="T463" s="42">
        <v>50</v>
      </c>
      <c r="U463" s="43">
        <v>60</v>
      </c>
      <c r="V463" s="44">
        <v>100</v>
      </c>
      <c r="W463" s="45">
        <f t="shared" si="135"/>
        <v>485</v>
      </c>
      <c r="X463" s="19">
        <f t="shared" si="136"/>
        <v>80.83</v>
      </c>
      <c r="Y463" s="3">
        <v>85</v>
      </c>
      <c r="Z463" s="4">
        <v>120</v>
      </c>
      <c r="AA463" s="5">
        <v>70</v>
      </c>
      <c r="AB463" s="6">
        <v>50</v>
      </c>
      <c r="AC463" s="7">
        <v>60</v>
      </c>
      <c r="AD463" s="8">
        <v>100</v>
      </c>
      <c r="AE463" s="1">
        <v>485</v>
      </c>
      <c r="AF463" s="19">
        <v>80.83</v>
      </c>
      <c r="AG463" s="139">
        <v>85</v>
      </c>
      <c r="AH463" s="140">
        <v>120</v>
      </c>
      <c r="AI463" s="141">
        <v>70</v>
      </c>
      <c r="AJ463" s="142">
        <v>50</v>
      </c>
      <c r="AK463" s="143">
        <v>50</v>
      </c>
      <c r="AL463" s="144">
        <v>100</v>
      </c>
      <c r="AM463" s="138">
        <v>475</v>
      </c>
      <c r="AN463" s="153">
        <v>79.17</v>
      </c>
      <c r="AW463" s="45"/>
      <c r="AX463" s="174" t="b">
        <f>IF('Refined Compare'!$D$2="All",TRUE,IF(F463='Refined Compare'!$D$2,TRUE,IF(G463='Refined Compare'!$D$2,TRUE,FALSE)))</f>
        <v>0</v>
      </c>
      <c r="AY463" s="174" t="b">
        <f>IF('Refined Compare'!$D$3="All",TRUE,IF(F463='Refined Compare'!$D$3,TRUE,IF(G463='Refined Compare'!$D$3,TRUE,FALSE)))</f>
        <v>0</v>
      </c>
      <c r="AZ463" s="174" t="b">
        <f t="shared" si="137"/>
        <v>1</v>
      </c>
    </row>
    <row r="464" spans="1:52" x14ac:dyDescent="0.35">
      <c r="A464">
        <f t="shared" si="138"/>
        <v>463</v>
      </c>
      <c r="B464" s="18">
        <v>399</v>
      </c>
      <c r="C464" s="61">
        <v>4</v>
      </c>
      <c r="D464" s="61" t="b">
        <v>0</v>
      </c>
      <c r="E464" s="61"/>
      <c r="F464" s="66" t="s">
        <v>812</v>
      </c>
      <c r="G464" s="66" t="s">
        <v>827</v>
      </c>
      <c r="H464" s="38" t="s">
        <v>87</v>
      </c>
      <c r="I464" s="39">
        <f t="shared" si="127"/>
        <v>59</v>
      </c>
      <c r="J464" s="40">
        <f t="shared" si="128"/>
        <v>45</v>
      </c>
      <c r="K464" s="41">
        <f t="shared" si="129"/>
        <v>40</v>
      </c>
      <c r="L464" s="42">
        <f t="shared" si="130"/>
        <v>35</v>
      </c>
      <c r="M464" s="43">
        <f t="shared" si="131"/>
        <v>40</v>
      </c>
      <c r="N464" s="44">
        <f t="shared" si="132"/>
        <v>31</v>
      </c>
      <c r="O464" s="45">
        <f t="shared" si="133"/>
        <v>250</v>
      </c>
      <c r="P464" s="19">
        <f t="shared" si="134"/>
        <v>41.67</v>
      </c>
      <c r="Q464" s="177">
        <v>59</v>
      </c>
      <c r="R464" s="40">
        <v>45</v>
      </c>
      <c r="S464" s="41">
        <v>40</v>
      </c>
      <c r="T464" s="42">
        <v>35</v>
      </c>
      <c r="U464" s="43">
        <v>40</v>
      </c>
      <c r="V464" s="44">
        <v>31</v>
      </c>
      <c r="W464" s="45">
        <f t="shared" si="135"/>
        <v>250</v>
      </c>
      <c r="X464" s="19">
        <f t="shared" si="136"/>
        <v>41.67</v>
      </c>
      <c r="Y464" s="3">
        <v>59</v>
      </c>
      <c r="Z464" s="4">
        <v>45</v>
      </c>
      <c r="AA464" s="5">
        <v>40</v>
      </c>
      <c r="AB464" s="6">
        <v>35</v>
      </c>
      <c r="AC464" s="7">
        <v>40</v>
      </c>
      <c r="AD464" s="8">
        <v>31</v>
      </c>
      <c r="AE464" s="1">
        <v>250</v>
      </c>
      <c r="AF464" s="19">
        <v>41.67</v>
      </c>
      <c r="AG464" s="139">
        <v>59</v>
      </c>
      <c r="AH464" s="140">
        <v>45</v>
      </c>
      <c r="AI464" s="141">
        <v>40</v>
      </c>
      <c r="AJ464" s="142">
        <v>35</v>
      </c>
      <c r="AK464" s="143">
        <v>40</v>
      </c>
      <c r="AL464" s="144">
        <v>31</v>
      </c>
      <c r="AM464" s="138">
        <v>250</v>
      </c>
      <c r="AN464" s="153">
        <v>41.67</v>
      </c>
      <c r="AW464" s="45"/>
      <c r="AX464" s="174" t="b">
        <f>IF('Refined Compare'!$D$2="All",TRUE,IF(F464='Refined Compare'!$D$2,TRUE,IF(G464='Refined Compare'!$D$2,TRUE,FALSE)))</f>
        <v>0</v>
      </c>
      <c r="AY464" s="174" t="b">
        <f>IF('Refined Compare'!$D$3="All",TRUE,IF(F464='Refined Compare'!$D$3,TRUE,IF(G464='Refined Compare'!$D$3,TRUE,FALSE)))</f>
        <v>1</v>
      </c>
      <c r="AZ464" s="174" t="b">
        <f t="shared" si="137"/>
        <v>1</v>
      </c>
    </row>
    <row r="465" spans="1:52" x14ac:dyDescent="0.35">
      <c r="A465">
        <f t="shared" si="138"/>
        <v>464</v>
      </c>
      <c r="B465" s="18">
        <v>400</v>
      </c>
      <c r="C465" s="61">
        <v>4</v>
      </c>
      <c r="D465" s="118" t="b">
        <v>1</v>
      </c>
      <c r="E465" s="61"/>
      <c r="F465" s="66" t="s">
        <v>812</v>
      </c>
      <c r="G465" s="66" t="s">
        <v>810</v>
      </c>
      <c r="H465" s="38" t="s">
        <v>457</v>
      </c>
      <c r="I465" s="39">
        <f t="shared" si="127"/>
        <v>79</v>
      </c>
      <c r="J465" s="40">
        <f t="shared" si="128"/>
        <v>85</v>
      </c>
      <c r="K465" s="41">
        <f t="shared" si="129"/>
        <v>60</v>
      </c>
      <c r="L465" s="42">
        <f t="shared" si="130"/>
        <v>55</v>
      </c>
      <c r="M465" s="43">
        <f t="shared" si="131"/>
        <v>60</v>
      </c>
      <c r="N465" s="44">
        <f t="shared" si="132"/>
        <v>71</v>
      </c>
      <c r="O465" s="45">
        <f t="shared" si="133"/>
        <v>410</v>
      </c>
      <c r="P465" s="19">
        <f t="shared" si="134"/>
        <v>68.33</v>
      </c>
      <c r="Q465" s="177">
        <v>79</v>
      </c>
      <c r="R465" s="40">
        <v>85</v>
      </c>
      <c r="S465" s="41">
        <v>60</v>
      </c>
      <c r="T465" s="42">
        <v>55</v>
      </c>
      <c r="U465" s="43">
        <v>60</v>
      </c>
      <c r="V465" s="44">
        <v>71</v>
      </c>
      <c r="W465" s="45">
        <f t="shared" si="135"/>
        <v>410</v>
      </c>
      <c r="X465" s="19">
        <f t="shared" si="136"/>
        <v>68.33</v>
      </c>
      <c r="Y465" s="3">
        <v>79</v>
      </c>
      <c r="Z465" s="4">
        <v>85</v>
      </c>
      <c r="AA465" s="5">
        <v>60</v>
      </c>
      <c r="AB465" s="6">
        <v>55</v>
      </c>
      <c r="AC465" s="7">
        <v>60</v>
      </c>
      <c r="AD465" s="8">
        <v>71</v>
      </c>
      <c r="AE465" s="1">
        <v>410</v>
      </c>
      <c r="AF465" s="19">
        <v>68.33</v>
      </c>
      <c r="AG465" s="139">
        <v>79</v>
      </c>
      <c r="AH465" s="140">
        <v>85</v>
      </c>
      <c r="AI465" s="141">
        <v>60</v>
      </c>
      <c r="AJ465" s="142">
        <v>55</v>
      </c>
      <c r="AK465" s="143">
        <v>60</v>
      </c>
      <c r="AL465" s="144">
        <v>71</v>
      </c>
      <c r="AM465" s="138">
        <v>410</v>
      </c>
      <c r="AN465" s="153">
        <v>68.33</v>
      </c>
      <c r="AW465" s="45"/>
      <c r="AX465" s="174" t="b">
        <f>IF('Refined Compare'!$D$2="All",TRUE,IF(F465='Refined Compare'!$D$2,TRUE,IF(G465='Refined Compare'!$D$2,TRUE,FALSE)))</f>
        <v>0</v>
      </c>
      <c r="AY465" s="174" t="b">
        <f>IF('Refined Compare'!$D$3="All",TRUE,IF(F465='Refined Compare'!$D$3,TRUE,IF(G465='Refined Compare'!$D$3,TRUE,FALSE)))</f>
        <v>0</v>
      </c>
      <c r="AZ465" s="174" t="b">
        <f t="shared" si="137"/>
        <v>1</v>
      </c>
    </row>
    <row r="466" spans="1:52" x14ac:dyDescent="0.35">
      <c r="A466">
        <f t="shared" si="138"/>
        <v>465</v>
      </c>
      <c r="B466" s="18">
        <v>401</v>
      </c>
      <c r="C466" s="61">
        <v>4</v>
      </c>
      <c r="D466" s="61" t="b">
        <v>0</v>
      </c>
      <c r="E466" s="61"/>
      <c r="F466" s="66" t="s">
        <v>811</v>
      </c>
      <c r="G466" s="66" t="s">
        <v>827</v>
      </c>
      <c r="H466" s="38" t="s">
        <v>42</v>
      </c>
      <c r="I466" s="39">
        <f t="shared" si="127"/>
        <v>37</v>
      </c>
      <c r="J466" s="40">
        <f t="shared" si="128"/>
        <v>25</v>
      </c>
      <c r="K466" s="41">
        <f t="shared" si="129"/>
        <v>41</v>
      </c>
      <c r="L466" s="42">
        <f t="shared" si="130"/>
        <v>25</v>
      </c>
      <c r="M466" s="43">
        <f t="shared" si="131"/>
        <v>41</v>
      </c>
      <c r="N466" s="44">
        <f t="shared" si="132"/>
        <v>25</v>
      </c>
      <c r="O466" s="45">
        <f t="shared" si="133"/>
        <v>194</v>
      </c>
      <c r="P466" s="19">
        <f t="shared" si="134"/>
        <v>32.33</v>
      </c>
      <c r="Q466" s="177">
        <v>37</v>
      </c>
      <c r="R466" s="40">
        <v>25</v>
      </c>
      <c r="S466" s="41">
        <v>41</v>
      </c>
      <c r="T466" s="42">
        <v>25</v>
      </c>
      <c r="U466" s="43">
        <v>41</v>
      </c>
      <c r="V466" s="44">
        <v>25</v>
      </c>
      <c r="W466" s="45">
        <f t="shared" si="135"/>
        <v>194</v>
      </c>
      <c r="X466" s="19">
        <f t="shared" si="136"/>
        <v>32.33</v>
      </c>
      <c r="Y466" s="3">
        <v>37</v>
      </c>
      <c r="Z466" s="4">
        <v>25</v>
      </c>
      <c r="AA466" s="5">
        <v>41</v>
      </c>
      <c r="AB466" s="6">
        <v>25</v>
      </c>
      <c r="AC466" s="7">
        <v>41</v>
      </c>
      <c r="AD466" s="8">
        <v>25</v>
      </c>
      <c r="AE466" s="1">
        <v>194</v>
      </c>
      <c r="AF466" s="19">
        <v>32.33</v>
      </c>
      <c r="AG466" s="139">
        <v>37</v>
      </c>
      <c r="AH466" s="140">
        <v>25</v>
      </c>
      <c r="AI466" s="141">
        <v>41</v>
      </c>
      <c r="AJ466" s="142">
        <v>25</v>
      </c>
      <c r="AK466" s="143">
        <v>41</v>
      </c>
      <c r="AL466" s="144">
        <v>25</v>
      </c>
      <c r="AM466" s="138">
        <v>194</v>
      </c>
      <c r="AN466" s="153">
        <v>32.33</v>
      </c>
      <c r="AW466" s="45"/>
      <c r="AX466" s="174" t="b">
        <f>IF('Refined Compare'!$D$2="All",TRUE,IF(F466='Refined Compare'!$D$2,TRUE,IF(G466='Refined Compare'!$D$2,TRUE,FALSE)))</f>
        <v>0</v>
      </c>
      <c r="AY466" s="174" t="b">
        <f>IF('Refined Compare'!$D$3="All",TRUE,IF(F466='Refined Compare'!$D$3,TRUE,IF(G466='Refined Compare'!$D$3,TRUE,FALSE)))</f>
        <v>1</v>
      </c>
      <c r="AZ466" s="174" t="b">
        <f t="shared" si="137"/>
        <v>1</v>
      </c>
    </row>
    <row r="467" spans="1:52" x14ac:dyDescent="0.35">
      <c r="A467">
        <f t="shared" si="138"/>
        <v>466</v>
      </c>
      <c r="B467" s="18">
        <v>402</v>
      </c>
      <c r="C467" s="61">
        <v>4</v>
      </c>
      <c r="D467" s="118" t="b">
        <v>1</v>
      </c>
      <c r="E467" s="61"/>
      <c r="F467" s="66" t="s">
        <v>811</v>
      </c>
      <c r="G467" s="66" t="s">
        <v>827</v>
      </c>
      <c r="H467" s="38" t="s">
        <v>389</v>
      </c>
      <c r="I467" s="39">
        <f t="shared" si="127"/>
        <v>77</v>
      </c>
      <c r="J467" s="40">
        <f t="shared" si="128"/>
        <v>85</v>
      </c>
      <c r="K467" s="41">
        <f t="shared" si="129"/>
        <v>51</v>
      </c>
      <c r="L467" s="42">
        <f t="shared" si="130"/>
        <v>55</v>
      </c>
      <c r="M467" s="43">
        <f t="shared" si="131"/>
        <v>51</v>
      </c>
      <c r="N467" s="44">
        <f t="shared" si="132"/>
        <v>65</v>
      </c>
      <c r="O467" s="45">
        <f t="shared" si="133"/>
        <v>384</v>
      </c>
      <c r="P467" s="19">
        <f t="shared" si="134"/>
        <v>64</v>
      </c>
      <c r="Q467" s="177">
        <v>77</v>
      </c>
      <c r="R467" s="40">
        <v>85</v>
      </c>
      <c r="S467" s="41">
        <v>51</v>
      </c>
      <c r="T467" s="42">
        <v>55</v>
      </c>
      <c r="U467" s="43">
        <v>51</v>
      </c>
      <c r="V467" s="44">
        <v>65</v>
      </c>
      <c r="W467" s="45">
        <f t="shared" si="135"/>
        <v>384</v>
      </c>
      <c r="X467" s="19">
        <f t="shared" si="136"/>
        <v>64</v>
      </c>
      <c r="Y467" s="3">
        <v>77</v>
      </c>
      <c r="Z467" s="4">
        <v>85</v>
      </c>
      <c r="AA467" s="5">
        <v>51</v>
      </c>
      <c r="AB467" s="6">
        <v>55</v>
      </c>
      <c r="AC467" s="7">
        <v>51</v>
      </c>
      <c r="AD467" s="8">
        <v>65</v>
      </c>
      <c r="AE467" s="1">
        <v>384</v>
      </c>
      <c r="AF467" s="19">
        <v>64</v>
      </c>
      <c r="AG467" s="139">
        <v>77</v>
      </c>
      <c r="AH467" s="140">
        <v>85</v>
      </c>
      <c r="AI467" s="141">
        <v>51</v>
      </c>
      <c r="AJ467" s="142">
        <v>55</v>
      </c>
      <c r="AK467" s="143">
        <v>51</v>
      </c>
      <c r="AL467" s="144">
        <v>65</v>
      </c>
      <c r="AM467" s="138">
        <v>384</v>
      </c>
      <c r="AN467" s="153">
        <v>64</v>
      </c>
      <c r="AW467" s="45"/>
      <c r="AX467" s="174" t="b">
        <f>IF('Refined Compare'!$D$2="All",TRUE,IF(F467='Refined Compare'!$D$2,TRUE,IF(G467='Refined Compare'!$D$2,TRUE,FALSE)))</f>
        <v>0</v>
      </c>
      <c r="AY467" s="174" t="b">
        <f>IF('Refined Compare'!$D$3="All",TRUE,IF(F467='Refined Compare'!$D$3,TRUE,IF(G467='Refined Compare'!$D$3,TRUE,FALSE)))</f>
        <v>1</v>
      </c>
      <c r="AZ467" s="174" t="b">
        <f t="shared" si="137"/>
        <v>1</v>
      </c>
    </row>
    <row r="468" spans="1:52" x14ac:dyDescent="0.35">
      <c r="A468">
        <f t="shared" si="138"/>
        <v>467</v>
      </c>
      <c r="B468" s="18">
        <v>403</v>
      </c>
      <c r="C468" s="61">
        <v>4</v>
      </c>
      <c r="D468" s="61" t="b">
        <v>0</v>
      </c>
      <c r="E468" s="61"/>
      <c r="F468" s="66" t="s">
        <v>813</v>
      </c>
      <c r="G468" s="66" t="s">
        <v>827</v>
      </c>
      <c r="H468" s="38" t="s">
        <v>190</v>
      </c>
      <c r="I468" s="39">
        <f t="shared" si="127"/>
        <v>45</v>
      </c>
      <c r="J468" s="40">
        <f t="shared" si="128"/>
        <v>65</v>
      </c>
      <c r="K468" s="41">
        <f t="shared" si="129"/>
        <v>34</v>
      </c>
      <c r="L468" s="42">
        <f t="shared" si="130"/>
        <v>40</v>
      </c>
      <c r="M468" s="43">
        <f t="shared" si="131"/>
        <v>34</v>
      </c>
      <c r="N468" s="44">
        <f t="shared" si="132"/>
        <v>45</v>
      </c>
      <c r="O468" s="45">
        <f t="shared" si="133"/>
        <v>263</v>
      </c>
      <c r="P468" s="19">
        <f t="shared" si="134"/>
        <v>43.83</v>
      </c>
      <c r="Q468" s="177">
        <v>45</v>
      </c>
      <c r="R468" s="40">
        <v>65</v>
      </c>
      <c r="S468" s="41">
        <v>34</v>
      </c>
      <c r="T468" s="42">
        <v>40</v>
      </c>
      <c r="U468" s="43">
        <v>34</v>
      </c>
      <c r="V468" s="44">
        <v>45</v>
      </c>
      <c r="W468" s="45">
        <f t="shared" si="135"/>
        <v>263</v>
      </c>
      <c r="X468" s="19">
        <f t="shared" si="136"/>
        <v>43.83</v>
      </c>
      <c r="Y468" s="3">
        <v>45</v>
      </c>
      <c r="Z468" s="4">
        <v>65</v>
      </c>
      <c r="AA468" s="5">
        <v>34</v>
      </c>
      <c r="AB468" s="6">
        <v>40</v>
      </c>
      <c r="AC468" s="7">
        <v>34</v>
      </c>
      <c r="AD468" s="8">
        <v>45</v>
      </c>
      <c r="AE468" s="1">
        <v>263</v>
      </c>
      <c r="AF468" s="19">
        <v>43.83</v>
      </c>
      <c r="AG468" s="139">
        <v>45</v>
      </c>
      <c r="AH468" s="140">
        <v>65</v>
      </c>
      <c r="AI468" s="141">
        <v>34</v>
      </c>
      <c r="AJ468" s="142">
        <v>40</v>
      </c>
      <c r="AK468" s="143">
        <v>34</v>
      </c>
      <c r="AL468" s="144">
        <v>45</v>
      </c>
      <c r="AM468" s="138">
        <v>263</v>
      </c>
      <c r="AN468" s="153">
        <v>43.83</v>
      </c>
      <c r="AW468" s="45"/>
      <c r="AX468" s="174" t="b">
        <f>IF('Refined Compare'!$D$2="All",TRUE,IF(F468='Refined Compare'!$D$2,TRUE,IF(G468='Refined Compare'!$D$2,TRUE,FALSE)))</f>
        <v>0</v>
      </c>
      <c r="AY468" s="174" t="b">
        <f>IF('Refined Compare'!$D$3="All",TRUE,IF(F468='Refined Compare'!$D$3,TRUE,IF(G468='Refined Compare'!$D$3,TRUE,FALSE)))</f>
        <v>1</v>
      </c>
      <c r="AZ468" s="174" t="b">
        <f t="shared" si="137"/>
        <v>1</v>
      </c>
    </row>
    <row r="469" spans="1:52" x14ac:dyDescent="0.35">
      <c r="A469">
        <f t="shared" si="138"/>
        <v>468</v>
      </c>
      <c r="B469" s="18">
        <v>404</v>
      </c>
      <c r="C469" s="61">
        <v>4</v>
      </c>
      <c r="D469" s="61" t="b">
        <v>0</v>
      </c>
      <c r="E469" s="61"/>
      <c r="F469" s="66" t="s">
        <v>813</v>
      </c>
      <c r="G469" s="66" t="s">
        <v>827</v>
      </c>
      <c r="H469" s="38" t="s">
        <v>336</v>
      </c>
      <c r="I469" s="39">
        <f t="shared" si="127"/>
        <v>60</v>
      </c>
      <c r="J469" s="40">
        <f t="shared" si="128"/>
        <v>85</v>
      </c>
      <c r="K469" s="41">
        <f t="shared" si="129"/>
        <v>49</v>
      </c>
      <c r="L469" s="42">
        <f t="shared" si="130"/>
        <v>60</v>
      </c>
      <c r="M469" s="43">
        <f t="shared" si="131"/>
        <v>49</v>
      </c>
      <c r="N469" s="44">
        <f t="shared" si="132"/>
        <v>60</v>
      </c>
      <c r="O469" s="45">
        <f t="shared" si="133"/>
        <v>363</v>
      </c>
      <c r="P469" s="19">
        <f t="shared" si="134"/>
        <v>60.5</v>
      </c>
      <c r="Q469" s="177">
        <v>60</v>
      </c>
      <c r="R469" s="40">
        <v>85</v>
      </c>
      <c r="S469" s="41">
        <v>49</v>
      </c>
      <c r="T469" s="42">
        <v>60</v>
      </c>
      <c r="U469" s="43">
        <v>49</v>
      </c>
      <c r="V469" s="44">
        <v>60</v>
      </c>
      <c r="W469" s="45">
        <f t="shared" si="135"/>
        <v>363</v>
      </c>
      <c r="X469" s="19">
        <f t="shared" si="136"/>
        <v>60.5</v>
      </c>
      <c r="Y469" s="3">
        <v>60</v>
      </c>
      <c r="Z469" s="4">
        <v>85</v>
      </c>
      <c r="AA469" s="5">
        <v>49</v>
      </c>
      <c r="AB469" s="6">
        <v>60</v>
      </c>
      <c r="AC469" s="7">
        <v>49</v>
      </c>
      <c r="AD469" s="8">
        <v>60</v>
      </c>
      <c r="AE469" s="1">
        <v>363</v>
      </c>
      <c r="AF469" s="19">
        <v>60.5</v>
      </c>
      <c r="AG469" s="139">
        <v>60</v>
      </c>
      <c r="AH469" s="140">
        <v>85</v>
      </c>
      <c r="AI469" s="141">
        <v>49</v>
      </c>
      <c r="AJ469" s="142">
        <v>60</v>
      </c>
      <c r="AK469" s="143">
        <v>49</v>
      </c>
      <c r="AL469" s="144">
        <v>60</v>
      </c>
      <c r="AM469" s="138">
        <v>363</v>
      </c>
      <c r="AN469" s="153">
        <v>60.5</v>
      </c>
      <c r="AW469" s="45"/>
      <c r="AX469" s="174" t="b">
        <f>IF('Refined Compare'!$D$2="All",TRUE,IF(F469='Refined Compare'!$D$2,TRUE,IF(G469='Refined Compare'!$D$2,TRUE,FALSE)))</f>
        <v>0</v>
      </c>
      <c r="AY469" s="174" t="b">
        <f>IF('Refined Compare'!$D$3="All",TRUE,IF(F469='Refined Compare'!$D$3,TRUE,IF(G469='Refined Compare'!$D$3,TRUE,FALSE)))</f>
        <v>1</v>
      </c>
      <c r="AZ469" s="174" t="b">
        <f t="shared" si="137"/>
        <v>1</v>
      </c>
    </row>
    <row r="470" spans="1:52" x14ac:dyDescent="0.35">
      <c r="A470">
        <f t="shared" si="138"/>
        <v>469</v>
      </c>
      <c r="B470" s="18">
        <v>405</v>
      </c>
      <c r="C470" s="61">
        <v>4</v>
      </c>
      <c r="D470" s="118" t="b">
        <v>1</v>
      </c>
      <c r="E470" s="61"/>
      <c r="F470" s="66" t="s">
        <v>813</v>
      </c>
      <c r="G470" s="66" t="s">
        <v>827</v>
      </c>
      <c r="H470" s="38" t="s">
        <v>446</v>
      </c>
      <c r="I470" s="39">
        <f t="shared" ref="I470:I533" si="139">IF($AW$2=7,Q470,IF($AW$2=6,Y470,IF($AW$2=1,AO470,AG470)))</f>
        <v>80</v>
      </c>
      <c r="J470" s="40">
        <f t="shared" ref="J470:J533" si="140">IF($AW$2=7,R470,IF($AW$2=6,Z470,IF($AW$2=1,AP470,AH470)))</f>
        <v>120</v>
      </c>
      <c r="K470" s="41">
        <f t="shared" ref="K470:K533" si="141">IF($AW$2=7,S470,IF($AW$2=6,AA470,IF($AW$2=1,AQ470,AI470)))</f>
        <v>79</v>
      </c>
      <c r="L470" s="42">
        <f t="shared" ref="L470:L533" si="142">IF($AW$2=7,T470,IF($AW$2=6,AB470,IF($AW$2=1,AR470,AJ470)))</f>
        <v>95</v>
      </c>
      <c r="M470" s="43">
        <f t="shared" ref="M470:M533" si="143">IF($AW$2=7,U470,IF($AW$2=6,AC470,IF($AW$2=1,AS470,AK470)))</f>
        <v>79</v>
      </c>
      <c r="N470" s="44">
        <f t="shared" ref="N470:N533" si="144">IF($AW$2=7,V470,IF($AW$2=6,AD470,IF($AW$2=1,AT470,AL470)))</f>
        <v>70</v>
      </c>
      <c r="O470" s="45">
        <f t="shared" ref="O470:O533" si="145">IF($AW$2=7,W470,IF($AW$2=6,AE470,IF($AW$2=1,AU470,AM470)))</f>
        <v>523</v>
      </c>
      <c r="P470" s="19">
        <f t="shared" ref="P470:P533" si="146">IF($AW$2=7,X470,IF($AW$2=6,AF470,IF($AW$2=1,AV470,AN470)))</f>
        <v>87.17</v>
      </c>
      <c r="Q470" s="177">
        <v>80</v>
      </c>
      <c r="R470" s="40">
        <v>120</v>
      </c>
      <c r="S470" s="41">
        <v>79</v>
      </c>
      <c r="T470" s="42">
        <v>95</v>
      </c>
      <c r="U470" s="43">
        <v>79</v>
      </c>
      <c r="V470" s="44">
        <v>70</v>
      </c>
      <c r="W470" s="45">
        <f t="shared" si="135"/>
        <v>523</v>
      </c>
      <c r="X470" s="19">
        <f t="shared" si="136"/>
        <v>87.17</v>
      </c>
      <c r="Y470" s="3">
        <v>80</v>
      </c>
      <c r="Z470" s="4">
        <v>120</v>
      </c>
      <c r="AA470" s="5">
        <v>79</v>
      </c>
      <c r="AB470" s="6">
        <v>95</v>
      </c>
      <c r="AC470" s="7">
        <v>79</v>
      </c>
      <c r="AD470" s="8">
        <v>70</v>
      </c>
      <c r="AE470" s="1">
        <v>523</v>
      </c>
      <c r="AF470" s="19">
        <v>87.17</v>
      </c>
      <c r="AG470" s="139">
        <v>80</v>
      </c>
      <c r="AH470" s="140">
        <v>120</v>
      </c>
      <c r="AI470" s="141">
        <v>79</v>
      </c>
      <c r="AJ470" s="142">
        <v>95</v>
      </c>
      <c r="AK470" s="143">
        <v>79</v>
      </c>
      <c r="AL470" s="144">
        <v>70</v>
      </c>
      <c r="AM470" s="138">
        <v>523</v>
      </c>
      <c r="AN470" s="153">
        <v>87.17</v>
      </c>
      <c r="AW470" s="45"/>
      <c r="AX470" s="174" t="b">
        <f>IF('Refined Compare'!$D$2="All",TRUE,IF(F470='Refined Compare'!$D$2,TRUE,IF(G470='Refined Compare'!$D$2,TRUE,FALSE)))</f>
        <v>0</v>
      </c>
      <c r="AY470" s="174" t="b">
        <f>IF('Refined Compare'!$D$3="All",TRUE,IF(F470='Refined Compare'!$D$3,TRUE,IF(G470='Refined Compare'!$D$3,TRUE,FALSE)))</f>
        <v>1</v>
      </c>
      <c r="AZ470" s="174" t="b">
        <f t="shared" si="137"/>
        <v>1</v>
      </c>
    </row>
    <row r="471" spans="1:52" x14ac:dyDescent="0.35">
      <c r="A471">
        <f t="shared" si="138"/>
        <v>470</v>
      </c>
      <c r="B471" s="18">
        <v>406</v>
      </c>
      <c r="C471" s="61">
        <v>4</v>
      </c>
      <c r="D471" s="61" t="b">
        <v>0</v>
      </c>
      <c r="E471" s="61"/>
      <c r="F471" s="66" t="s">
        <v>806</v>
      </c>
      <c r="G471" s="66" t="s">
        <v>807</v>
      </c>
      <c r="H471" s="38" t="s">
        <v>283</v>
      </c>
      <c r="I471" s="39">
        <f t="shared" si="139"/>
        <v>40</v>
      </c>
      <c r="J471" s="40">
        <f t="shared" si="140"/>
        <v>30</v>
      </c>
      <c r="K471" s="41">
        <f t="shared" si="141"/>
        <v>35</v>
      </c>
      <c r="L471" s="42">
        <f t="shared" si="142"/>
        <v>50</v>
      </c>
      <c r="M471" s="43">
        <f t="shared" si="143"/>
        <v>70</v>
      </c>
      <c r="N471" s="44">
        <f t="shared" si="144"/>
        <v>55</v>
      </c>
      <c r="O471" s="45">
        <f t="shared" si="145"/>
        <v>280</v>
      </c>
      <c r="P471" s="19">
        <f t="shared" si="146"/>
        <v>46.67</v>
      </c>
      <c r="Q471" s="177">
        <v>40</v>
      </c>
      <c r="R471" s="40">
        <v>30</v>
      </c>
      <c r="S471" s="41">
        <v>35</v>
      </c>
      <c r="T471" s="42">
        <v>50</v>
      </c>
      <c r="U471" s="43">
        <v>70</v>
      </c>
      <c r="V471" s="44">
        <v>55</v>
      </c>
      <c r="W471" s="45">
        <f t="shared" si="135"/>
        <v>280</v>
      </c>
      <c r="X471" s="19">
        <f t="shared" si="136"/>
        <v>46.67</v>
      </c>
      <c r="Y471" s="3">
        <v>40</v>
      </c>
      <c r="Z471" s="4">
        <v>30</v>
      </c>
      <c r="AA471" s="5">
        <v>35</v>
      </c>
      <c r="AB471" s="6">
        <v>50</v>
      </c>
      <c r="AC471" s="7">
        <v>70</v>
      </c>
      <c r="AD471" s="8">
        <v>55</v>
      </c>
      <c r="AE471" s="1">
        <v>280</v>
      </c>
      <c r="AF471" s="19">
        <v>46.67</v>
      </c>
      <c r="AG471" s="139">
        <v>40</v>
      </c>
      <c r="AH471" s="140">
        <v>30</v>
      </c>
      <c r="AI471" s="141">
        <v>35</v>
      </c>
      <c r="AJ471" s="142">
        <v>50</v>
      </c>
      <c r="AK471" s="143">
        <v>70</v>
      </c>
      <c r="AL471" s="144">
        <v>55</v>
      </c>
      <c r="AM471" s="138">
        <v>280</v>
      </c>
      <c r="AN471" s="153">
        <v>46.67</v>
      </c>
      <c r="AW471" s="45"/>
      <c r="AX471" s="174" t="b">
        <f>IF('Refined Compare'!$D$2="All",TRUE,IF(F471='Refined Compare'!$D$2,TRUE,IF(G471='Refined Compare'!$D$2,TRUE,FALSE)))</f>
        <v>0</v>
      </c>
      <c r="AY471" s="174" t="b">
        <f>IF('Refined Compare'!$D$3="All",TRUE,IF(F471='Refined Compare'!$D$3,TRUE,IF(G471='Refined Compare'!$D$3,TRUE,FALSE)))</f>
        <v>0</v>
      </c>
      <c r="AZ471" s="174" t="b">
        <f t="shared" si="137"/>
        <v>1</v>
      </c>
    </row>
    <row r="472" spans="1:52" x14ac:dyDescent="0.35">
      <c r="A472">
        <f t="shared" si="138"/>
        <v>471</v>
      </c>
      <c r="B472" s="18">
        <v>407</v>
      </c>
      <c r="C472" s="61">
        <v>4</v>
      </c>
      <c r="D472" s="118" t="b">
        <v>1</v>
      </c>
      <c r="E472" s="61"/>
      <c r="F472" s="66" t="s">
        <v>806</v>
      </c>
      <c r="G472" s="66" t="s">
        <v>807</v>
      </c>
      <c r="H472" s="38" t="s">
        <v>594</v>
      </c>
      <c r="I472" s="39">
        <f t="shared" si="139"/>
        <v>60</v>
      </c>
      <c r="J472" s="40">
        <f t="shared" si="140"/>
        <v>70</v>
      </c>
      <c r="K472" s="41">
        <f t="shared" si="141"/>
        <v>55</v>
      </c>
      <c r="L472" s="42">
        <f t="shared" si="142"/>
        <v>125</v>
      </c>
      <c r="M472" s="43">
        <f t="shared" si="143"/>
        <v>105</v>
      </c>
      <c r="N472" s="44">
        <f t="shared" si="144"/>
        <v>90</v>
      </c>
      <c r="O472" s="45">
        <f t="shared" si="145"/>
        <v>505</v>
      </c>
      <c r="P472" s="19">
        <f t="shared" si="146"/>
        <v>84.17</v>
      </c>
      <c r="Q472" s="177">
        <v>60</v>
      </c>
      <c r="R472" s="40">
        <v>70</v>
      </c>
      <c r="S472" s="41">
        <v>65</v>
      </c>
      <c r="T472" s="42">
        <v>125</v>
      </c>
      <c r="U472" s="43">
        <v>105</v>
      </c>
      <c r="V472" s="44">
        <v>90</v>
      </c>
      <c r="W472" s="45">
        <f t="shared" si="135"/>
        <v>515</v>
      </c>
      <c r="X472" s="19">
        <f t="shared" si="136"/>
        <v>85.83</v>
      </c>
      <c r="Y472" s="3">
        <v>60</v>
      </c>
      <c r="Z472" s="4">
        <v>70</v>
      </c>
      <c r="AA472" s="5">
        <v>65</v>
      </c>
      <c r="AB472" s="6">
        <v>125</v>
      </c>
      <c r="AC472" s="7">
        <v>105</v>
      </c>
      <c r="AD472" s="8">
        <v>90</v>
      </c>
      <c r="AE472" s="1">
        <v>515</v>
      </c>
      <c r="AF472" s="19">
        <v>85.83</v>
      </c>
      <c r="AG472" s="139">
        <v>60</v>
      </c>
      <c r="AH472" s="140">
        <v>70</v>
      </c>
      <c r="AI472" s="141">
        <v>55</v>
      </c>
      <c r="AJ472" s="142">
        <v>125</v>
      </c>
      <c r="AK472" s="143">
        <v>105</v>
      </c>
      <c r="AL472" s="144">
        <v>90</v>
      </c>
      <c r="AM472" s="138">
        <v>505</v>
      </c>
      <c r="AN472" s="153">
        <v>84.17</v>
      </c>
      <c r="AW472" s="45"/>
      <c r="AX472" s="174" t="b">
        <f>IF('Refined Compare'!$D$2="All",TRUE,IF(F472='Refined Compare'!$D$2,TRUE,IF(G472='Refined Compare'!$D$2,TRUE,FALSE)))</f>
        <v>0</v>
      </c>
      <c r="AY472" s="174" t="b">
        <f>IF('Refined Compare'!$D$3="All",TRUE,IF(F472='Refined Compare'!$D$3,TRUE,IF(G472='Refined Compare'!$D$3,TRUE,FALSE)))</f>
        <v>0</v>
      </c>
      <c r="AZ472" s="174" t="b">
        <f t="shared" si="137"/>
        <v>1</v>
      </c>
    </row>
    <row r="473" spans="1:52" x14ac:dyDescent="0.35">
      <c r="A473">
        <f t="shared" si="138"/>
        <v>472</v>
      </c>
      <c r="B473" s="18">
        <v>408</v>
      </c>
      <c r="C473" s="61">
        <v>4</v>
      </c>
      <c r="D473" s="61" t="b">
        <v>0</v>
      </c>
      <c r="E473" s="61"/>
      <c r="F473" s="66" t="s">
        <v>818</v>
      </c>
      <c r="G473" s="66" t="s">
        <v>827</v>
      </c>
      <c r="H473" s="38" t="s">
        <v>304</v>
      </c>
      <c r="I473" s="39">
        <f t="shared" si="139"/>
        <v>67</v>
      </c>
      <c r="J473" s="40">
        <f t="shared" si="140"/>
        <v>125</v>
      </c>
      <c r="K473" s="41">
        <f t="shared" si="141"/>
        <v>40</v>
      </c>
      <c r="L473" s="42">
        <f t="shared" si="142"/>
        <v>30</v>
      </c>
      <c r="M473" s="43">
        <f t="shared" si="143"/>
        <v>30</v>
      </c>
      <c r="N473" s="44">
        <f t="shared" si="144"/>
        <v>58</v>
      </c>
      <c r="O473" s="45">
        <f t="shared" si="145"/>
        <v>350</v>
      </c>
      <c r="P473" s="19">
        <f t="shared" si="146"/>
        <v>58.33</v>
      </c>
      <c r="Q473" s="177">
        <v>67</v>
      </c>
      <c r="R473" s="40">
        <v>125</v>
      </c>
      <c r="S473" s="41">
        <v>40</v>
      </c>
      <c r="T473" s="42">
        <v>30</v>
      </c>
      <c r="U473" s="43">
        <v>30</v>
      </c>
      <c r="V473" s="44">
        <v>58</v>
      </c>
      <c r="W473" s="45">
        <f t="shared" si="135"/>
        <v>350</v>
      </c>
      <c r="X473" s="19">
        <f t="shared" si="136"/>
        <v>58.33</v>
      </c>
      <c r="Y473" s="3">
        <v>67</v>
      </c>
      <c r="Z473" s="4">
        <v>125</v>
      </c>
      <c r="AA473" s="5">
        <v>40</v>
      </c>
      <c r="AB473" s="6">
        <v>30</v>
      </c>
      <c r="AC473" s="7">
        <v>30</v>
      </c>
      <c r="AD473" s="8">
        <v>58</v>
      </c>
      <c r="AE473" s="1">
        <v>350</v>
      </c>
      <c r="AF473" s="19">
        <v>58.33</v>
      </c>
      <c r="AG473" s="139">
        <v>67</v>
      </c>
      <c r="AH473" s="140">
        <v>125</v>
      </c>
      <c r="AI473" s="141">
        <v>40</v>
      </c>
      <c r="AJ473" s="142">
        <v>30</v>
      </c>
      <c r="AK473" s="143">
        <v>30</v>
      </c>
      <c r="AL473" s="144">
        <v>58</v>
      </c>
      <c r="AM473" s="138">
        <v>350</v>
      </c>
      <c r="AN473" s="153">
        <v>58.33</v>
      </c>
      <c r="AW473" s="45"/>
      <c r="AX473" s="174" t="b">
        <f>IF('Refined Compare'!$D$2="All",TRUE,IF(F473='Refined Compare'!$D$2,TRUE,IF(G473='Refined Compare'!$D$2,TRUE,FALSE)))</f>
        <v>0</v>
      </c>
      <c r="AY473" s="174" t="b">
        <f>IF('Refined Compare'!$D$3="All",TRUE,IF(F473='Refined Compare'!$D$3,TRUE,IF(G473='Refined Compare'!$D$3,TRUE,FALSE)))</f>
        <v>1</v>
      </c>
      <c r="AZ473" s="174" t="b">
        <f t="shared" si="137"/>
        <v>1</v>
      </c>
    </row>
    <row r="474" spans="1:52" x14ac:dyDescent="0.35">
      <c r="A474">
        <f t="shared" si="138"/>
        <v>473</v>
      </c>
      <c r="B474" s="18">
        <v>409</v>
      </c>
      <c r="C474" s="61">
        <v>4</v>
      </c>
      <c r="D474" s="118" t="b">
        <v>1</v>
      </c>
      <c r="E474" s="61"/>
      <c r="F474" s="66" t="s">
        <v>818</v>
      </c>
      <c r="G474" s="66" t="s">
        <v>827</v>
      </c>
      <c r="H474" s="38" t="s">
        <v>305</v>
      </c>
      <c r="I474" s="39">
        <f t="shared" si="139"/>
        <v>97</v>
      </c>
      <c r="J474" s="40">
        <f t="shared" si="140"/>
        <v>165</v>
      </c>
      <c r="K474" s="41">
        <f t="shared" si="141"/>
        <v>60</v>
      </c>
      <c r="L474" s="42">
        <f t="shared" si="142"/>
        <v>65</v>
      </c>
      <c r="M474" s="43">
        <f t="shared" si="143"/>
        <v>50</v>
      </c>
      <c r="N474" s="44">
        <f t="shared" si="144"/>
        <v>58</v>
      </c>
      <c r="O474" s="45">
        <f t="shared" si="145"/>
        <v>495</v>
      </c>
      <c r="P474" s="19">
        <f t="shared" si="146"/>
        <v>82.5</v>
      </c>
      <c r="Q474" s="177">
        <v>97</v>
      </c>
      <c r="R474" s="40">
        <v>165</v>
      </c>
      <c r="S474" s="41">
        <v>60</v>
      </c>
      <c r="T474" s="42">
        <v>65</v>
      </c>
      <c r="U474" s="43">
        <v>50</v>
      </c>
      <c r="V474" s="44">
        <v>58</v>
      </c>
      <c r="W474" s="45">
        <f t="shared" si="135"/>
        <v>495</v>
      </c>
      <c r="X474" s="19">
        <f t="shared" si="136"/>
        <v>82.5</v>
      </c>
      <c r="Y474" s="3">
        <v>97</v>
      </c>
      <c r="Z474" s="4">
        <v>165</v>
      </c>
      <c r="AA474" s="5">
        <v>60</v>
      </c>
      <c r="AB474" s="6">
        <v>65</v>
      </c>
      <c r="AC474" s="7">
        <v>50</v>
      </c>
      <c r="AD474" s="8">
        <v>58</v>
      </c>
      <c r="AE474" s="1">
        <v>495</v>
      </c>
      <c r="AF474" s="19">
        <v>82.5</v>
      </c>
      <c r="AG474" s="139">
        <v>97</v>
      </c>
      <c r="AH474" s="140">
        <v>165</v>
      </c>
      <c r="AI474" s="141">
        <v>60</v>
      </c>
      <c r="AJ474" s="142">
        <v>65</v>
      </c>
      <c r="AK474" s="143">
        <v>50</v>
      </c>
      <c r="AL474" s="144">
        <v>58</v>
      </c>
      <c r="AM474" s="138">
        <v>495</v>
      </c>
      <c r="AN474" s="153">
        <v>82.5</v>
      </c>
      <c r="AW474" s="45"/>
      <c r="AX474" s="174" t="b">
        <f>IF('Refined Compare'!$D$2="All",TRUE,IF(F474='Refined Compare'!$D$2,TRUE,IF(G474='Refined Compare'!$D$2,TRUE,FALSE)))</f>
        <v>0</v>
      </c>
      <c r="AY474" s="174" t="b">
        <f>IF('Refined Compare'!$D$3="All",TRUE,IF(F474='Refined Compare'!$D$3,TRUE,IF(G474='Refined Compare'!$D$3,TRUE,FALSE)))</f>
        <v>1</v>
      </c>
      <c r="AZ474" s="174" t="b">
        <f t="shared" si="137"/>
        <v>1</v>
      </c>
    </row>
    <row r="475" spans="1:52" x14ac:dyDescent="0.35">
      <c r="A475">
        <f t="shared" si="138"/>
        <v>474</v>
      </c>
      <c r="B475" s="18">
        <v>410</v>
      </c>
      <c r="C475" s="61">
        <v>4</v>
      </c>
      <c r="D475" s="118" t="b">
        <v>0</v>
      </c>
      <c r="E475" s="61"/>
      <c r="F475" s="66" t="s">
        <v>818</v>
      </c>
      <c r="G475" s="66" t="s">
        <v>819</v>
      </c>
      <c r="H475" s="38" t="s">
        <v>74</v>
      </c>
      <c r="I475" s="39">
        <f t="shared" si="139"/>
        <v>30</v>
      </c>
      <c r="J475" s="40">
        <f t="shared" si="140"/>
        <v>42</v>
      </c>
      <c r="K475" s="41">
        <f t="shared" si="141"/>
        <v>118</v>
      </c>
      <c r="L475" s="42">
        <f t="shared" si="142"/>
        <v>42</v>
      </c>
      <c r="M475" s="43">
        <f t="shared" si="143"/>
        <v>88</v>
      </c>
      <c r="N475" s="44">
        <f t="shared" si="144"/>
        <v>30</v>
      </c>
      <c r="O475" s="45">
        <f t="shared" si="145"/>
        <v>350</v>
      </c>
      <c r="P475" s="19">
        <f t="shared" si="146"/>
        <v>58.33</v>
      </c>
      <c r="Q475" s="177">
        <v>30</v>
      </c>
      <c r="R475" s="40">
        <v>42</v>
      </c>
      <c r="S475" s="41">
        <v>118</v>
      </c>
      <c r="T475" s="42">
        <v>42</v>
      </c>
      <c r="U475" s="43">
        <v>88</v>
      </c>
      <c r="V475" s="44">
        <v>30</v>
      </c>
      <c r="W475" s="45">
        <f t="shared" si="135"/>
        <v>350</v>
      </c>
      <c r="X475" s="19">
        <f t="shared" si="136"/>
        <v>58.33</v>
      </c>
      <c r="Y475" s="3">
        <v>30</v>
      </c>
      <c r="Z475" s="4">
        <v>42</v>
      </c>
      <c r="AA475" s="5">
        <v>118</v>
      </c>
      <c r="AB475" s="6">
        <v>42</v>
      </c>
      <c r="AC475" s="7">
        <v>88</v>
      </c>
      <c r="AD475" s="8">
        <v>30</v>
      </c>
      <c r="AE475" s="1">
        <v>350</v>
      </c>
      <c r="AF475" s="19">
        <v>58.33</v>
      </c>
      <c r="AG475" s="139">
        <v>30</v>
      </c>
      <c r="AH475" s="140">
        <v>42</v>
      </c>
      <c r="AI475" s="141">
        <v>118</v>
      </c>
      <c r="AJ475" s="142">
        <v>42</v>
      </c>
      <c r="AK475" s="143">
        <v>88</v>
      </c>
      <c r="AL475" s="144">
        <v>30</v>
      </c>
      <c r="AM475" s="138">
        <v>350</v>
      </c>
      <c r="AN475" s="153">
        <v>58.33</v>
      </c>
      <c r="AW475" s="45"/>
      <c r="AX475" s="174" t="b">
        <f>IF('Refined Compare'!$D$2="All",TRUE,IF(F475='Refined Compare'!$D$2,TRUE,IF(G475='Refined Compare'!$D$2,TRUE,FALSE)))</f>
        <v>0</v>
      </c>
      <c r="AY475" s="174" t="b">
        <f>IF('Refined Compare'!$D$3="All",TRUE,IF(F475='Refined Compare'!$D$3,TRUE,IF(G475='Refined Compare'!$D$3,TRUE,FALSE)))</f>
        <v>0</v>
      </c>
      <c r="AZ475" s="174" t="b">
        <f t="shared" si="137"/>
        <v>1</v>
      </c>
    </row>
    <row r="476" spans="1:52" x14ac:dyDescent="0.35">
      <c r="A476">
        <f t="shared" si="138"/>
        <v>475</v>
      </c>
      <c r="B476" s="18">
        <v>411</v>
      </c>
      <c r="C476" s="61">
        <v>4</v>
      </c>
      <c r="D476" s="118" t="b">
        <v>1</v>
      </c>
      <c r="E476" s="61"/>
      <c r="F476" s="66" t="s">
        <v>818</v>
      </c>
      <c r="G476" s="66" t="s">
        <v>819</v>
      </c>
      <c r="H476" s="38" t="s">
        <v>75</v>
      </c>
      <c r="I476" s="39">
        <f t="shared" si="139"/>
        <v>60</v>
      </c>
      <c r="J476" s="40">
        <f t="shared" si="140"/>
        <v>52</v>
      </c>
      <c r="K476" s="41">
        <f t="shared" si="141"/>
        <v>168</v>
      </c>
      <c r="L476" s="42">
        <f t="shared" si="142"/>
        <v>47</v>
      </c>
      <c r="M476" s="43">
        <f t="shared" si="143"/>
        <v>138</v>
      </c>
      <c r="N476" s="44">
        <f t="shared" si="144"/>
        <v>30</v>
      </c>
      <c r="O476" s="45">
        <f t="shared" si="145"/>
        <v>495</v>
      </c>
      <c r="P476" s="19">
        <f t="shared" si="146"/>
        <v>82.5</v>
      </c>
      <c r="Q476" s="177">
        <v>60</v>
      </c>
      <c r="R476" s="40">
        <v>52</v>
      </c>
      <c r="S476" s="41">
        <v>168</v>
      </c>
      <c r="T476" s="42">
        <v>47</v>
      </c>
      <c r="U476" s="43">
        <v>138</v>
      </c>
      <c r="V476" s="44">
        <v>30</v>
      </c>
      <c r="W476" s="45">
        <f t="shared" ref="W476:W487" si="147">SUM(Q476:V476)</f>
        <v>495</v>
      </c>
      <c r="X476" s="19">
        <f t="shared" ref="X476:X487" si="148">ROUND(AVERAGE(Q476:V476),2)</f>
        <v>82.5</v>
      </c>
      <c r="Y476" s="3">
        <v>60</v>
      </c>
      <c r="Z476" s="4">
        <v>52</v>
      </c>
      <c r="AA476" s="5">
        <v>168</v>
      </c>
      <c r="AB476" s="6">
        <v>47</v>
      </c>
      <c r="AC476" s="7">
        <v>138</v>
      </c>
      <c r="AD476" s="8">
        <v>30</v>
      </c>
      <c r="AE476" s="1">
        <v>495</v>
      </c>
      <c r="AF476" s="19">
        <v>82.5</v>
      </c>
      <c r="AG476" s="139">
        <v>60</v>
      </c>
      <c r="AH476" s="140">
        <v>52</v>
      </c>
      <c r="AI476" s="141">
        <v>168</v>
      </c>
      <c r="AJ476" s="142">
        <v>47</v>
      </c>
      <c r="AK476" s="143">
        <v>138</v>
      </c>
      <c r="AL476" s="144">
        <v>30</v>
      </c>
      <c r="AM476" s="138">
        <v>495</v>
      </c>
      <c r="AN476" s="153">
        <v>82.5</v>
      </c>
      <c r="AW476" s="45"/>
      <c r="AX476" s="174" t="b">
        <f>IF('Refined Compare'!$D$2="All",TRUE,IF(F476='Refined Compare'!$D$2,TRUE,IF(G476='Refined Compare'!$D$2,TRUE,FALSE)))</f>
        <v>0</v>
      </c>
      <c r="AY476" s="174" t="b">
        <f>IF('Refined Compare'!$D$3="All",TRUE,IF(F476='Refined Compare'!$D$3,TRUE,IF(G476='Refined Compare'!$D$3,TRUE,FALSE)))</f>
        <v>0</v>
      </c>
      <c r="AZ476" s="174" t="b">
        <f t="shared" si="137"/>
        <v>1</v>
      </c>
    </row>
    <row r="477" spans="1:52" x14ac:dyDescent="0.35">
      <c r="A477">
        <f t="shared" si="138"/>
        <v>476</v>
      </c>
      <c r="B477" s="18">
        <v>412</v>
      </c>
      <c r="C477" s="61">
        <v>4</v>
      </c>
      <c r="D477" s="61" t="b">
        <v>0</v>
      </c>
      <c r="E477" s="61"/>
      <c r="F477" s="66" t="s">
        <v>811</v>
      </c>
      <c r="G477" s="66" t="s">
        <v>827</v>
      </c>
      <c r="H477" s="38" t="s">
        <v>118</v>
      </c>
      <c r="I477" s="39">
        <f t="shared" si="139"/>
        <v>40</v>
      </c>
      <c r="J477" s="40">
        <f t="shared" si="140"/>
        <v>29</v>
      </c>
      <c r="K477" s="41">
        <f t="shared" si="141"/>
        <v>45</v>
      </c>
      <c r="L477" s="42">
        <f t="shared" si="142"/>
        <v>29</v>
      </c>
      <c r="M477" s="43">
        <f t="shared" si="143"/>
        <v>45</v>
      </c>
      <c r="N477" s="44">
        <f t="shared" si="144"/>
        <v>36</v>
      </c>
      <c r="O477" s="45">
        <f t="shared" si="145"/>
        <v>224</v>
      </c>
      <c r="P477" s="19">
        <f t="shared" si="146"/>
        <v>37.33</v>
      </c>
      <c r="Q477" s="177">
        <v>40</v>
      </c>
      <c r="R477" s="40">
        <v>29</v>
      </c>
      <c r="S477" s="41">
        <v>45</v>
      </c>
      <c r="T477" s="42">
        <v>29</v>
      </c>
      <c r="U477" s="43">
        <v>45</v>
      </c>
      <c r="V477" s="44">
        <v>36</v>
      </c>
      <c r="W477" s="45">
        <f t="shared" si="147"/>
        <v>224</v>
      </c>
      <c r="X477" s="19">
        <f t="shared" si="148"/>
        <v>37.33</v>
      </c>
      <c r="Y477" s="3">
        <v>40</v>
      </c>
      <c r="Z477" s="4">
        <v>29</v>
      </c>
      <c r="AA477" s="5">
        <v>45</v>
      </c>
      <c r="AB477" s="6">
        <v>29</v>
      </c>
      <c r="AC477" s="7">
        <v>45</v>
      </c>
      <c r="AD477" s="8">
        <v>36</v>
      </c>
      <c r="AE477" s="1">
        <v>224</v>
      </c>
      <c r="AF477" s="19">
        <v>37.33</v>
      </c>
      <c r="AG477" s="139">
        <v>40</v>
      </c>
      <c r="AH477" s="140">
        <v>29</v>
      </c>
      <c r="AI477" s="141">
        <v>45</v>
      </c>
      <c r="AJ477" s="142">
        <v>29</v>
      </c>
      <c r="AK477" s="143">
        <v>45</v>
      </c>
      <c r="AL477" s="144">
        <v>36</v>
      </c>
      <c r="AM477" s="138">
        <v>224</v>
      </c>
      <c r="AN477" s="153">
        <v>37.33</v>
      </c>
      <c r="AW477" s="45"/>
      <c r="AX477" s="174" t="b">
        <f>IF('Refined Compare'!$D$2="All",TRUE,IF(F477='Refined Compare'!$D$2,TRUE,IF(G477='Refined Compare'!$D$2,TRUE,FALSE)))</f>
        <v>0</v>
      </c>
      <c r="AY477" s="174" t="b">
        <f>IF('Refined Compare'!$D$3="All",TRUE,IF(F477='Refined Compare'!$D$3,TRUE,IF(G477='Refined Compare'!$D$3,TRUE,FALSE)))</f>
        <v>1</v>
      </c>
      <c r="AZ477" s="174" t="b">
        <f t="shared" si="137"/>
        <v>1</v>
      </c>
    </row>
    <row r="478" spans="1:52" x14ac:dyDescent="0.35">
      <c r="A478">
        <f t="shared" si="138"/>
        <v>477</v>
      </c>
      <c r="B478" s="18">
        <v>413</v>
      </c>
      <c r="C478" s="61">
        <v>4</v>
      </c>
      <c r="D478" s="118" t="b">
        <v>1</v>
      </c>
      <c r="E478" s="61"/>
      <c r="F478" s="66" t="s">
        <v>811</v>
      </c>
      <c r="G478" s="66" t="s">
        <v>806</v>
      </c>
      <c r="H478" s="38" t="s">
        <v>836</v>
      </c>
      <c r="I478" s="39">
        <f t="shared" si="139"/>
        <v>60</v>
      </c>
      <c r="J478" s="40">
        <f t="shared" si="140"/>
        <v>59</v>
      </c>
      <c r="K478" s="41">
        <f t="shared" si="141"/>
        <v>85</v>
      </c>
      <c r="L478" s="42">
        <f t="shared" si="142"/>
        <v>79</v>
      </c>
      <c r="M478" s="43">
        <f t="shared" si="143"/>
        <v>105</v>
      </c>
      <c r="N478" s="44">
        <f t="shared" si="144"/>
        <v>36</v>
      </c>
      <c r="O478" s="45">
        <f t="shared" si="145"/>
        <v>424</v>
      </c>
      <c r="P478" s="19">
        <f t="shared" si="146"/>
        <v>70.67</v>
      </c>
      <c r="Q478" s="177">
        <v>60</v>
      </c>
      <c r="R478" s="40">
        <v>59</v>
      </c>
      <c r="S478" s="41">
        <v>85</v>
      </c>
      <c r="T478" s="42">
        <v>79</v>
      </c>
      <c r="U478" s="43">
        <v>105</v>
      </c>
      <c r="V478" s="44">
        <v>36</v>
      </c>
      <c r="W478" s="45">
        <f t="shared" si="147"/>
        <v>424</v>
      </c>
      <c r="X478" s="19">
        <f t="shared" si="148"/>
        <v>70.67</v>
      </c>
      <c r="Y478" s="3">
        <v>60</v>
      </c>
      <c r="Z478" s="4">
        <v>59</v>
      </c>
      <c r="AA478" s="5">
        <v>85</v>
      </c>
      <c r="AB478" s="6">
        <v>79</v>
      </c>
      <c r="AC478" s="7">
        <v>105</v>
      </c>
      <c r="AD478" s="8">
        <v>36</v>
      </c>
      <c r="AE478" s="1">
        <v>424</v>
      </c>
      <c r="AF478" s="19">
        <v>70.67</v>
      </c>
      <c r="AG478" s="139">
        <v>60</v>
      </c>
      <c r="AH478" s="140">
        <v>59</v>
      </c>
      <c r="AI478" s="141">
        <v>85</v>
      </c>
      <c r="AJ478" s="142">
        <v>79</v>
      </c>
      <c r="AK478" s="143">
        <v>105</v>
      </c>
      <c r="AL478" s="144">
        <v>36</v>
      </c>
      <c r="AM478" s="138">
        <v>424</v>
      </c>
      <c r="AN478" s="153">
        <v>70.67</v>
      </c>
      <c r="AW478" s="45"/>
      <c r="AX478" s="174" t="b">
        <f>IF('Refined Compare'!$D$2="All",TRUE,IF(F478='Refined Compare'!$D$2,TRUE,IF(G478='Refined Compare'!$D$2,TRUE,FALSE)))</f>
        <v>0</v>
      </c>
      <c r="AY478" s="174" t="b">
        <f>IF('Refined Compare'!$D$3="All",TRUE,IF(F478='Refined Compare'!$D$3,TRUE,IF(G478='Refined Compare'!$D$3,TRUE,FALSE)))</f>
        <v>0</v>
      </c>
      <c r="AZ478" s="174" t="b">
        <f t="shared" si="137"/>
        <v>1</v>
      </c>
    </row>
    <row r="479" spans="1:52" x14ac:dyDescent="0.35">
      <c r="A479">
        <f t="shared" si="138"/>
        <v>478</v>
      </c>
      <c r="B479" s="18">
        <v>413</v>
      </c>
      <c r="C479" s="61">
        <v>4</v>
      </c>
      <c r="D479" s="118" t="b">
        <v>1</v>
      </c>
      <c r="E479" s="61"/>
      <c r="F479" s="66" t="s">
        <v>811</v>
      </c>
      <c r="G479" s="66" t="s">
        <v>814</v>
      </c>
      <c r="H479" s="38" t="s">
        <v>837</v>
      </c>
      <c r="I479" s="39">
        <f t="shared" si="139"/>
        <v>60</v>
      </c>
      <c r="J479" s="40">
        <f t="shared" si="140"/>
        <v>79</v>
      </c>
      <c r="K479" s="41">
        <f t="shared" si="141"/>
        <v>105</v>
      </c>
      <c r="L479" s="42">
        <f t="shared" si="142"/>
        <v>59</v>
      </c>
      <c r="M479" s="43">
        <f t="shared" si="143"/>
        <v>85</v>
      </c>
      <c r="N479" s="44">
        <f t="shared" si="144"/>
        <v>36</v>
      </c>
      <c r="O479" s="45">
        <f t="shared" si="145"/>
        <v>424</v>
      </c>
      <c r="P479" s="19">
        <f t="shared" si="146"/>
        <v>70.67</v>
      </c>
      <c r="Q479" s="177">
        <v>60</v>
      </c>
      <c r="R479" s="40">
        <v>79</v>
      </c>
      <c r="S479" s="41">
        <v>105</v>
      </c>
      <c r="T479" s="42">
        <v>59</v>
      </c>
      <c r="U479" s="43">
        <v>85</v>
      </c>
      <c r="V479" s="44">
        <v>36</v>
      </c>
      <c r="W479" s="45">
        <f t="shared" si="147"/>
        <v>424</v>
      </c>
      <c r="X479" s="19">
        <f t="shared" si="148"/>
        <v>70.67</v>
      </c>
      <c r="Y479" s="3">
        <v>60</v>
      </c>
      <c r="Z479" s="4">
        <v>79</v>
      </c>
      <c r="AA479" s="5">
        <v>105</v>
      </c>
      <c r="AB479" s="6">
        <v>59</v>
      </c>
      <c r="AC479" s="7">
        <v>85</v>
      </c>
      <c r="AD479" s="8">
        <v>36</v>
      </c>
      <c r="AE479" s="1">
        <v>424</v>
      </c>
      <c r="AF479" s="19">
        <v>70.67</v>
      </c>
      <c r="AG479" s="139">
        <v>60</v>
      </c>
      <c r="AH479" s="140">
        <v>79</v>
      </c>
      <c r="AI479" s="141">
        <v>105</v>
      </c>
      <c r="AJ479" s="142">
        <v>59</v>
      </c>
      <c r="AK479" s="143">
        <v>85</v>
      </c>
      <c r="AL479" s="144">
        <v>36</v>
      </c>
      <c r="AM479" s="138">
        <v>424</v>
      </c>
      <c r="AN479" s="153">
        <v>70.67</v>
      </c>
      <c r="AW479" s="45"/>
      <c r="AX479" s="174" t="b">
        <f>IF('Refined Compare'!$D$2="All",TRUE,IF(F479='Refined Compare'!$D$2,TRUE,IF(G479='Refined Compare'!$D$2,TRUE,FALSE)))</f>
        <v>0</v>
      </c>
      <c r="AY479" s="174" t="b">
        <f>IF('Refined Compare'!$D$3="All",TRUE,IF(F479='Refined Compare'!$D$3,TRUE,IF(G479='Refined Compare'!$D$3,TRUE,FALSE)))</f>
        <v>0</v>
      </c>
      <c r="AZ479" s="174" t="b">
        <f t="shared" si="137"/>
        <v>1</v>
      </c>
    </row>
    <row r="480" spans="1:52" x14ac:dyDescent="0.35">
      <c r="A480">
        <f t="shared" si="138"/>
        <v>479</v>
      </c>
      <c r="B480" s="18">
        <v>413</v>
      </c>
      <c r="C480" s="61">
        <v>4</v>
      </c>
      <c r="D480" s="118" t="b">
        <v>1</v>
      </c>
      <c r="E480" s="61"/>
      <c r="F480" s="66" t="s">
        <v>811</v>
      </c>
      <c r="G480" s="66" t="s">
        <v>819</v>
      </c>
      <c r="H480" s="38" t="s">
        <v>838</v>
      </c>
      <c r="I480" s="39">
        <f t="shared" si="139"/>
        <v>60</v>
      </c>
      <c r="J480" s="40">
        <f t="shared" si="140"/>
        <v>69</v>
      </c>
      <c r="K480" s="41">
        <f t="shared" si="141"/>
        <v>95</v>
      </c>
      <c r="L480" s="42">
        <f t="shared" si="142"/>
        <v>69</v>
      </c>
      <c r="M480" s="43">
        <f t="shared" si="143"/>
        <v>95</v>
      </c>
      <c r="N480" s="44">
        <f t="shared" si="144"/>
        <v>36</v>
      </c>
      <c r="O480" s="45">
        <f t="shared" si="145"/>
        <v>424</v>
      </c>
      <c r="P480" s="19">
        <f t="shared" si="146"/>
        <v>70.67</v>
      </c>
      <c r="Q480" s="177">
        <v>60</v>
      </c>
      <c r="R480" s="40">
        <v>69</v>
      </c>
      <c r="S480" s="41">
        <v>95</v>
      </c>
      <c r="T480" s="42">
        <v>69</v>
      </c>
      <c r="U480" s="43">
        <v>95</v>
      </c>
      <c r="V480" s="44">
        <v>36</v>
      </c>
      <c r="W480" s="45">
        <f t="shared" si="147"/>
        <v>424</v>
      </c>
      <c r="X480" s="19">
        <f t="shared" si="148"/>
        <v>70.67</v>
      </c>
      <c r="Y480" s="3">
        <v>60</v>
      </c>
      <c r="Z480" s="4">
        <v>69</v>
      </c>
      <c r="AA480" s="5">
        <v>95</v>
      </c>
      <c r="AB480" s="6">
        <v>69</v>
      </c>
      <c r="AC480" s="7">
        <v>95</v>
      </c>
      <c r="AD480" s="8">
        <v>36</v>
      </c>
      <c r="AE480" s="1">
        <v>424</v>
      </c>
      <c r="AF480" s="19">
        <v>70.67</v>
      </c>
      <c r="AG480" s="139">
        <v>60</v>
      </c>
      <c r="AH480" s="140">
        <v>69</v>
      </c>
      <c r="AI480" s="141">
        <v>95</v>
      </c>
      <c r="AJ480" s="142">
        <v>69</v>
      </c>
      <c r="AK480" s="143">
        <v>95</v>
      </c>
      <c r="AL480" s="144">
        <v>36</v>
      </c>
      <c r="AM480" s="138">
        <v>424</v>
      </c>
      <c r="AN480" s="153">
        <v>70.67</v>
      </c>
      <c r="AW480" s="45"/>
      <c r="AX480" s="174" t="b">
        <f>IF('Refined Compare'!$D$2="All",TRUE,IF(F480='Refined Compare'!$D$2,TRUE,IF(G480='Refined Compare'!$D$2,TRUE,FALSE)))</f>
        <v>0</v>
      </c>
      <c r="AY480" s="174" t="b">
        <f>IF('Refined Compare'!$D$3="All",TRUE,IF(F480='Refined Compare'!$D$3,TRUE,IF(G480='Refined Compare'!$D$3,TRUE,FALSE)))</f>
        <v>0</v>
      </c>
      <c r="AZ480" s="174" t="b">
        <f t="shared" si="137"/>
        <v>1</v>
      </c>
    </row>
    <row r="481" spans="1:52" x14ac:dyDescent="0.35">
      <c r="A481">
        <f t="shared" si="138"/>
        <v>480</v>
      </c>
      <c r="B481" s="18">
        <v>414</v>
      </c>
      <c r="C481" s="61">
        <v>4</v>
      </c>
      <c r="D481" s="118" t="b">
        <v>1</v>
      </c>
      <c r="E481" s="61"/>
      <c r="F481" s="66" t="s">
        <v>811</v>
      </c>
      <c r="G481" s="66" t="s">
        <v>809</v>
      </c>
      <c r="H481" s="38" t="s">
        <v>402</v>
      </c>
      <c r="I481" s="39">
        <f t="shared" si="139"/>
        <v>70</v>
      </c>
      <c r="J481" s="40">
        <f t="shared" si="140"/>
        <v>94</v>
      </c>
      <c r="K481" s="41">
        <f t="shared" si="141"/>
        <v>50</v>
      </c>
      <c r="L481" s="42">
        <f t="shared" si="142"/>
        <v>94</v>
      </c>
      <c r="M481" s="43">
        <f t="shared" si="143"/>
        <v>50</v>
      </c>
      <c r="N481" s="44">
        <f t="shared" si="144"/>
        <v>66</v>
      </c>
      <c r="O481" s="45">
        <f t="shared" si="145"/>
        <v>424</v>
      </c>
      <c r="P481" s="19">
        <f t="shared" si="146"/>
        <v>70.67</v>
      </c>
      <c r="Q481" s="177">
        <v>70</v>
      </c>
      <c r="R481" s="40">
        <v>94</v>
      </c>
      <c r="S481" s="41">
        <v>50</v>
      </c>
      <c r="T481" s="42">
        <v>94</v>
      </c>
      <c r="U481" s="43">
        <v>50</v>
      </c>
      <c r="V481" s="44">
        <v>66</v>
      </c>
      <c r="W481" s="45">
        <f t="shared" si="147"/>
        <v>424</v>
      </c>
      <c r="X481" s="19">
        <f t="shared" si="148"/>
        <v>70.67</v>
      </c>
      <c r="Y481" s="3">
        <v>70</v>
      </c>
      <c r="Z481" s="4">
        <v>94</v>
      </c>
      <c r="AA481" s="5">
        <v>50</v>
      </c>
      <c r="AB481" s="6">
        <v>94</v>
      </c>
      <c r="AC481" s="7">
        <v>50</v>
      </c>
      <c r="AD481" s="8">
        <v>66</v>
      </c>
      <c r="AE481" s="1">
        <v>424</v>
      </c>
      <c r="AF481" s="19">
        <v>70.67</v>
      </c>
      <c r="AG481" s="139">
        <v>70</v>
      </c>
      <c r="AH481" s="140">
        <v>94</v>
      </c>
      <c r="AI481" s="141">
        <v>50</v>
      </c>
      <c r="AJ481" s="142">
        <v>94</v>
      </c>
      <c r="AK481" s="143">
        <v>50</v>
      </c>
      <c r="AL481" s="144">
        <v>66</v>
      </c>
      <c r="AM481" s="138">
        <v>424</v>
      </c>
      <c r="AN481" s="153">
        <v>70.67</v>
      </c>
      <c r="AW481" s="45"/>
      <c r="AX481" s="174" t="b">
        <f>IF('Refined Compare'!$D$2="All",TRUE,IF(F481='Refined Compare'!$D$2,TRUE,IF(G481='Refined Compare'!$D$2,TRUE,FALSE)))</f>
        <v>0</v>
      </c>
      <c r="AY481" s="174" t="b">
        <f>IF('Refined Compare'!$D$3="All",TRUE,IF(F481='Refined Compare'!$D$3,TRUE,IF(G481='Refined Compare'!$D$3,TRUE,FALSE)))</f>
        <v>0</v>
      </c>
      <c r="AZ481" s="174" t="b">
        <f t="shared" si="137"/>
        <v>1</v>
      </c>
    </row>
    <row r="482" spans="1:52" x14ac:dyDescent="0.35">
      <c r="A482">
        <f t="shared" si="138"/>
        <v>481</v>
      </c>
      <c r="B482" s="18">
        <v>415</v>
      </c>
      <c r="C482" s="61">
        <v>4</v>
      </c>
      <c r="D482" s="61" t="b">
        <v>0</v>
      </c>
      <c r="E482" s="61"/>
      <c r="F482" s="66" t="s">
        <v>811</v>
      </c>
      <c r="G482" s="66" t="s">
        <v>809</v>
      </c>
      <c r="H482" s="38" t="s">
        <v>447</v>
      </c>
      <c r="I482" s="39">
        <f t="shared" si="139"/>
        <v>30</v>
      </c>
      <c r="J482" s="40">
        <f t="shared" si="140"/>
        <v>30</v>
      </c>
      <c r="K482" s="41">
        <f t="shared" si="141"/>
        <v>42</v>
      </c>
      <c r="L482" s="42">
        <f t="shared" si="142"/>
        <v>30</v>
      </c>
      <c r="M482" s="43">
        <f t="shared" si="143"/>
        <v>42</v>
      </c>
      <c r="N482" s="44">
        <f t="shared" si="144"/>
        <v>70</v>
      </c>
      <c r="O482" s="45">
        <f t="shared" si="145"/>
        <v>244</v>
      </c>
      <c r="P482" s="19">
        <f t="shared" si="146"/>
        <v>40.67</v>
      </c>
      <c r="Q482" s="177">
        <v>30</v>
      </c>
      <c r="R482" s="40">
        <v>30</v>
      </c>
      <c r="S482" s="41">
        <v>42</v>
      </c>
      <c r="T482" s="42">
        <v>30</v>
      </c>
      <c r="U482" s="43">
        <v>42</v>
      </c>
      <c r="V482" s="44">
        <v>70</v>
      </c>
      <c r="W482" s="45">
        <f t="shared" si="147"/>
        <v>244</v>
      </c>
      <c r="X482" s="19">
        <f t="shared" si="148"/>
        <v>40.67</v>
      </c>
      <c r="Y482" s="3">
        <v>30</v>
      </c>
      <c r="Z482" s="4">
        <v>30</v>
      </c>
      <c r="AA482" s="5">
        <v>42</v>
      </c>
      <c r="AB482" s="6">
        <v>30</v>
      </c>
      <c r="AC482" s="7">
        <v>42</v>
      </c>
      <c r="AD482" s="8">
        <v>70</v>
      </c>
      <c r="AE482" s="1">
        <v>244</v>
      </c>
      <c r="AF482" s="19">
        <v>40.67</v>
      </c>
      <c r="AG482" s="139">
        <v>30</v>
      </c>
      <c r="AH482" s="140">
        <v>30</v>
      </c>
      <c r="AI482" s="141">
        <v>42</v>
      </c>
      <c r="AJ482" s="142">
        <v>30</v>
      </c>
      <c r="AK482" s="143">
        <v>42</v>
      </c>
      <c r="AL482" s="144">
        <v>70</v>
      </c>
      <c r="AM482" s="138">
        <v>244</v>
      </c>
      <c r="AN482" s="153">
        <v>40.67</v>
      </c>
      <c r="AW482" s="45"/>
      <c r="AX482" s="174" t="b">
        <f>IF('Refined Compare'!$D$2="All",TRUE,IF(F482='Refined Compare'!$D$2,TRUE,IF(G482='Refined Compare'!$D$2,TRUE,FALSE)))</f>
        <v>0</v>
      </c>
      <c r="AY482" s="174" t="b">
        <f>IF('Refined Compare'!$D$3="All",TRUE,IF(F482='Refined Compare'!$D$3,TRUE,IF(G482='Refined Compare'!$D$3,TRUE,FALSE)))</f>
        <v>0</v>
      </c>
      <c r="AZ482" s="174" t="b">
        <f t="shared" si="137"/>
        <v>1</v>
      </c>
    </row>
    <row r="483" spans="1:52" x14ac:dyDescent="0.35">
      <c r="A483">
        <f t="shared" si="138"/>
        <v>482</v>
      </c>
      <c r="B483" s="18">
        <v>416</v>
      </c>
      <c r="C483" s="61">
        <v>4</v>
      </c>
      <c r="D483" s="118" t="b">
        <v>1</v>
      </c>
      <c r="E483" s="61"/>
      <c r="F483" s="66" t="s">
        <v>811</v>
      </c>
      <c r="G483" s="66" t="s">
        <v>809</v>
      </c>
      <c r="H483" s="38" t="s">
        <v>145</v>
      </c>
      <c r="I483" s="39">
        <f t="shared" si="139"/>
        <v>70</v>
      </c>
      <c r="J483" s="40">
        <f t="shared" si="140"/>
        <v>80</v>
      </c>
      <c r="K483" s="41">
        <f t="shared" si="141"/>
        <v>102</v>
      </c>
      <c r="L483" s="42">
        <f t="shared" si="142"/>
        <v>80</v>
      </c>
      <c r="M483" s="43">
        <f t="shared" si="143"/>
        <v>102</v>
      </c>
      <c r="N483" s="44">
        <f t="shared" si="144"/>
        <v>40</v>
      </c>
      <c r="O483" s="45">
        <f t="shared" si="145"/>
        <v>474</v>
      </c>
      <c r="P483" s="19">
        <f t="shared" si="146"/>
        <v>79</v>
      </c>
      <c r="Q483" s="177">
        <v>70</v>
      </c>
      <c r="R483" s="40">
        <v>80</v>
      </c>
      <c r="S483" s="41">
        <v>102</v>
      </c>
      <c r="T483" s="42">
        <v>80</v>
      </c>
      <c r="U483" s="43">
        <v>102</v>
      </c>
      <c r="V483" s="44">
        <v>40</v>
      </c>
      <c r="W483" s="45">
        <f t="shared" si="147"/>
        <v>474</v>
      </c>
      <c r="X483" s="19">
        <f t="shared" si="148"/>
        <v>79</v>
      </c>
      <c r="Y483" s="3">
        <v>70</v>
      </c>
      <c r="Z483" s="4">
        <v>80</v>
      </c>
      <c r="AA483" s="5">
        <v>102</v>
      </c>
      <c r="AB483" s="6">
        <v>80</v>
      </c>
      <c r="AC483" s="7">
        <v>102</v>
      </c>
      <c r="AD483" s="8">
        <v>40</v>
      </c>
      <c r="AE483" s="1">
        <v>474</v>
      </c>
      <c r="AF483" s="19">
        <v>79</v>
      </c>
      <c r="AG483" s="139">
        <v>70</v>
      </c>
      <c r="AH483" s="140">
        <v>80</v>
      </c>
      <c r="AI483" s="141">
        <v>102</v>
      </c>
      <c r="AJ483" s="142">
        <v>80</v>
      </c>
      <c r="AK483" s="143">
        <v>102</v>
      </c>
      <c r="AL483" s="144">
        <v>40</v>
      </c>
      <c r="AM483" s="138">
        <v>474</v>
      </c>
      <c r="AN483" s="153">
        <v>79</v>
      </c>
      <c r="AW483" s="45"/>
      <c r="AX483" s="174" t="b">
        <f>IF('Refined Compare'!$D$2="All",TRUE,IF(F483='Refined Compare'!$D$2,TRUE,IF(G483='Refined Compare'!$D$2,TRUE,FALSE)))</f>
        <v>0</v>
      </c>
      <c r="AY483" s="174" t="b">
        <f>IF('Refined Compare'!$D$3="All",TRUE,IF(F483='Refined Compare'!$D$3,TRUE,IF(G483='Refined Compare'!$D$3,TRUE,FALSE)))</f>
        <v>0</v>
      </c>
      <c r="AZ483" s="174" t="b">
        <f t="shared" si="137"/>
        <v>1</v>
      </c>
    </row>
    <row r="484" spans="1:52" x14ac:dyDescent="0.35">
      <c r="A484">
        <f t="shared" si="138"/>
        <v>483</v>
      </c>
      <c r="B484" s="18">
        <v>417</v>
      </c>
      <c r="C484" s="61">
        <v>4</v>
      </c>
      <c r="D484" s="118" t="b">
        <v>1</v>
      </c>
      <c r="E484" s="61"/>
      <c r="F484" s="66" t="s">
        <v>813</v>
      </c>
      <c r="G484" s="66" t="s">
        <v>827</v>
      </c>
      <c r="H484" s="38" t="s">
        <v>629</v>
      </c>
      <c r="I484" s="39">
        <f t="shared" si="139"/>
        <v>60</v>
      </c>
      <c r="J484" s="40">
        <f t="shared" si="140"/>
        <v>45</v>
      </c>
      <c r="K484" s="41">
        <f t="shared" si="141"/>
        <v>70</v>
      </c>
      <c r="L484" s="42">
        <f t="shared" si="142"/>
        <v>45</v>
      </c>
      <c r="M484" s="43">
        <f t="shared" si="143"/>
        <v>90</v>
      </c>
      <c r="N484" s="44">
        <f t="shared" si="144"/>
        <v>95</v>
      </c>
      <c r="O484" s="45">
        <f t="shared" si="145"/>
        <v>405</v>
      </c>
      <c r="P484" s="19">
        <f t="shared" si="146"/>
        <v>67.5</v>
      </c>
      <c r="Q484" s="177">
        <v>60</v>
      </c>
      <c r="R484" s="40">
        <v>45</v>
      </c>
      <c r="S484" s="41">
        <v>70</v>
      </c>
      <c r="T484" s="42">
        <v>45</v>
      </c>
      <c r="U484" s="43">
        <v>90</v>
      </c>
      <c r="V484" s="44">
        <v>95</v>
      </c>
      <c r="W484" s="45">
        <f t="shared" si="147"/>
        <v>405</v>
      </c>
      <c r="X484" s="19">
        <f t="shared" si="148"/>
        <v>67.5</v>
      </c>
      <c r="Y484" s="3">
        <v>60</v>
      </c>
      <c r="Z484" s="4">
        <v>45</v>
      </c>
      <c r="AA484" s="5">
        <v>70</v>
      </c>
      <c r="AB484" s="6">
        <v>45</v>
      </c>
      <c r="AC484" s="7">
        <v>90</v>
      </c>
      <c r="AD484" s="8">
        <v>95</v>
      </c>
      <c r="AE484" s="1">
        <v>405</v>
      </c>
      <c r="AF484" s="19">
        <v>67.5</v>
      </c>
      <c r="AG484" s="139">
        <v>60</v>
      </c>
      <c r="AH484" s="140">
        <v>45</v>
      </c>
      <c r="AI484" s="141">
        <v>70</v>
      </c>
      <c r="AJ484" s="142">
        <v>45</v>
      </c>
      <c r="AK484" s="143">
        <v>90</v>
      </c>
      <c r="AL484" s="144">
        <v>95</v>
      </c>
      <c r="AM484" s="138">
        <v>405</v>
      </c>
      <c r="AN484" s="153">
        <v>67.5</v>
      </c>
      <c r="AW484" s="45"/>
      <c r="AX484" s="174" t="b">
        <f>IF('Refined Compare'!$D$2="All",TRUE,IF(F484='Refined Compare'!$D$2,TRUE,IF(G484='Refined Compare'!$D$2,TRUE,FALSE)))</f>
        <v>0</v>
      </c>
      <c r="AY484" s="174" t="b">
        <f>IF('Refined Compare'!$D$3="All",TRUE,IF(F484='Refined Compare'!$D$3,TRUE,IF(G484='Refined Compare'!$D$3,TRUE,FALSE)))</f>
        <v>1</v>
      </c>
      <c r="AZ484" s="174" t="b">
        <f t="shared" si="137"/>
        <v>1</v>
      </c>
    </row>
    <row r="485" spans="1:52" x14ac:dyDescent="0.35">
      <c r="A485">
        <f t="shared" si="138"/>
        <v>484</v>
      </c>
      <c r="B485" s="18">
        <v>418</v>
      </c>
      <c r="C485" s="61">
        <v>4</v>
      </c>
      <c r="D485" s="61" t="b">
        <v>0</v>
      </c>
      <c r="E485" s="61"/>
      <c r="F485" s="66" t="s">
        <v>810</v>
      </c>
      <c r="G485" s="66" t="s">
        <v>827</v>
      </c>
      <c r="H485" s="38" t="s">
        <v>559</v>
      </c>
      <c r="I485" s="39">
        <f t="shared" si="139"/>
        <v>55</v>
      </c>
      <c r="J485" s="40">
        <f t="shared" si="140"/>
        <v>65</v>
      </c>
      <c r="K485" s="41">
        <f t="shared" si="141"/>
        <v>35</v>
      </c>
      <c r="L485" s="42">
        <f t="shared" si="142"/>
        <v>60</v>
      </c>
      <c r="M485" s="43">
        <f t="shared" si="143"/>
        <v>30</v>
      </c>
      <c r="N485" s="44">
        <f t="shared" si="144"/>
        <v>85</v>
      </c>
      <c r="O485" s="45">
        <f t="shared" si="145"/>
        <v>330</v>
      </c>
      <c r="P485" s="19">
        <f t="shared" si="146"/>
        <v>55</v>
      </c>
      <c r="Q485" s="177">
        <v>55</v>
      </c>
      <c r="R485" s="40">
        <v>65</v>
      </c>
      <c r="S485" s="41">
        <v>35</v>
      </c>
      <c r="T485" s="42">
        <v>60</v>
      </c>
      <c r="U485" s="43">
        <v>30</v>
      </c>
      <c r="V485" s="44">
        <v>85</v>
      </c>
      <c r="W485" s="45">
        <f t="shared" si="147"/>
        <v>330</v>
      </c>
      <c r="X485" s="19">
        <f t="shared" si="148"/>
        <v>55</v>
      </c>
      <c r="Y485" s="3">
        <v>55</v>
      </c>
      <c r="Z485" s="4">
        <v>65</v>
      </c>
      <c r="AA485" s="5">
        <v>35</v>
      </c>
      <c r="AB485" s="6">
        <v>60</v>
      </c>
      <c r="AC485" s="7">
        <v>30</v>
      </c>
      <c r="AD485" s="8">
        <v>85</v>
      </c>
      <c r="AE485" s="1">
        <v>330</v>
      </c>
      <c r="AF485" s="19">
        <v>55</v>
      </c>
      <c r="AG485" s="139">
        <v>55</v>
      </c>
      <c r="AH485" s="140">
        <v>65</v>
      </c>
      <c r="AI485" s="141">
        <v>35</v>
      </c>
      <c r="AJ485" s="142">
        <v>60</v>
      </c>
      <c r="AK485" s="143">
        <v>30</v>
      </c>
      <c r="AL485" s="144">
        <v>85</v>
      </c>
      <c r="AM485" s="138">
        <v>330</v>
      </c>
      <c r="AN485" s="153">
        <v>55</v>
      </c>
      <c r="AW485" s="45"/>
      <c r="AX485" s="174" t="b">
        <f>IF('Refined Compare'!$D$2="All",TRUE,IF(F485='Refined Compare'!$D$2,TRUE,IF(G485='Refined Compare'!$D$2,TRUE,FALSE)))</f>
        <v>0</v>
      </c>
      <c r="AY485" s="174" t="b">
        <f>IF('Refined Compare'!$D$3="All",TRUE,IF(F485='Refined Compare'!$D$3,TRUE,IF(G485='Refined Compare'!$D$3,TRUE,FALSE)))</f>
        <v>1</v>
      </c>
      <c r="AZ485" s="174" t="b">
        <f t="shared" si="137"/>
        <v>1</v>
      </c>
    </row>
    <row r="486" spans="1:52" x14ac:dyDescent="0.35">
      <c r="A486">
        <f t="shared" si="138"/>
        <v>485</v>
      </c>
      <c r="B486" s="18">
        <v>419</v>
      </c>
      <c r="C486" s="61">
        <v>4</v>
      </c>
      <c r="D486" s="118" t="b">
        <v>1</v>
      </c>
      <c r="E486" s="61"/>
      <c r="F486" s="66" t="s">
        <v>810</v>
      </c>
      <c r="G486" s="66" t="s">
        <v>827</v>
      </c>
      <c r="H486" s="38" t="s">
        <v>742</v>
      </c>
      <c r="I486" s="39">
        <f t="shared" si="139"/>
        <v>85</v>
      </c>
      <c r="J486" s="40">
        <f t="shared" si="140"/>
        <v>105</v>
      </c>
      <c r="K486" s="41">
        <f t="shared" si="141"/>
        <v>55</v>
      </c>
      <c r="L486" s="42">
        <f t="shared" si="142"/>
        <v>85</v>
      </c>
      <c r="M486" s="43">
        <f t="shared" si="143"/>
        <v>50</v>
      </c>
      <c r="N486" s="44">
        <f t="shared" si="144"/>
        <v>115</v>
      </c>
      <c r="O486" s="45">
        <f t="shared" si="145"/>
        <v>495</v>
      </c>
      <c r="P486" s="19">
        <f t="shared" si="146"/>
        <v>82.5</v>
      </c>
      <c r="Q486" s="177">
        <v>85</v>
      </c>
      <c r="R486" s="40">
        <v>105</v>
      </c>
      <c r="S486" s="41">
        <v>55</v>
      </c>
      <c r="T486" s="42">
        <v>85</v>
      </c>
      <c r="U486" s="43">
        <v>50</v>
      </c>
      <c r="V486" s="44">
        <v>115</v>
      </c>
      <c r="W486" s="45">
        <f t="shared" si="147"/>
        <v>495</v>
      </c>
      <c r="X486" s="19">
        <f t="shared" si="148"/>
        <v>82.5</v>
      </c>
      <c r="Y486" s="3">
        <v>85</v>
      </c>
      <c r="Z486" s="4">
        <v>105</v>
      </c>
      <c r="AA486" s="5">
        <v>55</v>
      </c>
      <c r="AB486" s="6">
        <v>85</v>
      </c>
      <c r="AC486" s="7">
        <v>50</v>
      </c>
      <c r="AD486" s="8">
        <v>115</v>
      </c>
      <c r="AE486" s="1">
        <v>495</v>
      </c>
      <c r="AF486" s="19">
        <v>82.5</v>
      </c>
      <c r="AG486" s="139">
        <v>85</v>
      </c>
      <c r="AH486" s="140">
        <v>105</v>
      </c>
      <c r="AI486" s="141">
        <v>55</v>
      </c>
      <c r="AJ486" s="142">
        <v>85</v>
      </c>
      <c r="AK486" s="143">
        <v>50</v>
      </c>
      <c r="AL486" s="144">
        <v>115</v>
      </c>
      <c r="AM486" s="138">
        <v>495</v>
      </c>
      <c r="AN486" s="153">
        <v>82.5</v>
      </c>
      <c r="AW486" s="45"/>
      <c r="AX486" s="174" t="b">
        <f>IF('Refined Compare'!$D$2="All",TRUE,IF(F486='Refined Compare'!$D$2,TRUE,IF(G486='Refined Compare'!$D$2,TRUE,FALSE)))</f>
        <v>0</v>
      </c>
      <c r="AY486" s="174" t="b">
        <f>IF('Refined Compare'!$D$3="All",TRUE,IF(F486='Refined Compare'!$D$3,TRUE,IF(G486='Refined Compare'!$D$3,TRUE,FALSE)))</f>
        <v>1</v>
      </c>
      <c r="AZ486" s="174" t="b">
        <f t="shared" si="137"/>
        <v>1</v>
      </c>
    </row>
    <row r="487" spans="1:52" x14ac:dyDescent="0.35">
      <c r="A487">
        <f t="shared" si="138"/>
        <v>486</v>
      </c>
      <c r="B487" s="18">
        <v>420</v>
      </c>
      <c r="C487" s="61">
        <v>4</v>
      </c>
      <c r="D487" s="61" t="b">
        <v>0</v>
      </c>
      <c r="E487" s="61"/>
      <c r="F487" s="66" t="s">
        <v>806</v>
      </c>
      <c r="G487" s="66" t="s">
        <v>827</v>
      </c>
      <c r="H487" s="38" t="s">
        <v>111</v>
      </c>
      <c r="I487" s="39">
        <f t="shared" si="139"/>
        <v>45</v>
      </c>
      <c r="J487" s="40">
        <f t="shared" si="140"/>
        <v>35</v>
      </c>
      <c r="K487" s="41">
        <f t="shared" si="141"/>
        <v>45</v>
      </c>
      <c r="L487" s="42">
        <f t="shared" si="142"/>
        <v>62</v>
      </c>
      <c r="M487" s="43">
        <f t="shared" si="143"/>
        <v>53</v>
      </c>
      <c r="N487" s="44">
        <f t="shared" si="144"/>
        <v>35</v>
      </c>
      <c r="O487" s="45">
        <f t="shared" si="145"/>
        <v>275</v>
      </c>
      <c r="P487" s="19">
        <f t="shared" si="146"/>
        <v>45.83</v>
      </c>
      <c r="Q487" s="177">
        <v>45</v>
      </c>
      <c r="R487" s="40">
        <v>35</v>
      </c>
      <c r="S487" s="41">
        <v>45</v>
      </c>
      <c r="T487" s="42">
        <v>62</v>
      </c>
      <c r="U487" s="43">
        <v>53</v>
      </c>
      <c r="V487" s="44">
        <v>35</v>
      </c>
      <c r="W487" s="45">
        <f t="shared" si="147"/>
        <v>275</v>
      </c>
      <c r="X487" s="19">
        <f t="shared" si="148"/>
        <v>45.83</v>
      </c>
      <c r="Y487" s="3">
        <v>45</v>
      </c>
      <c r="Z487" s="4">
        <v>35</v>
      </c>
      <c r="AA487" s="5">
        <v>45</v>
      </c>
      <c r="AB487" s="6">
        <v>62</v>
      </c>
      <c r="AC487" s="7">
        <v>53</v>
      </c>
      <c r="AD487" s="8">
        <v>35</v>
      </c>
      <c r="AE487" s="1">
        <v>275</v>
      </c>
      <c r="AF487" s="19">
        <v>45.83</v>
      </c>
      <c r="AG487" s="139">
        <v>45</v>
      </c>
      <c r="AH487" s="140">
        <v>35</v>
      </c>
      <c r="AI487" s="141">
        <v>45</v>
      </c>
      <c r="AJ487" s="142">
        <v>62</v>
      </c>
      <c r="AK487" s="143">
        <v>53</v>
      </c>
      <c r="AL487" s="144">
        <v>35</v>
      </c>
      <c r="AM487" s="138">
        <v>275</v>
      </c>
      <c r="AN487" s="153">
        <v>45.83</v>
      </c>
      <c r="AW487" s="45"/>
      <c r="AX487" s="174" t="b">
        <f>IF('Refined Compare'!$D$2="All",TRUE,IF(F487='Refined Compare'!$D$2,TRUE,IF(G487='Refined Compare'!$D$2,TRUE,FALSE)))</f>
        <v>0</v>
      </c>
      <c r="AY487" s="174" t="b">
        <f>IF('Refined Compare'!$D$3="All",TRUE,IF(F487='Refined Compare'!$D$3,TRUE,IF(G487='Refined Compare'!$D$3,TRUE,FALSE)))</f>
        <v>1</v>
      </c>
      <c r="AZ487" s="174" t="b">
        <f t="shared" si="137"/>
        <v>1</v>
      </c>
    </row>
    <row r="488" spans="1:52" x14ac:dyDescent="0.35">
      <c r="A488">
        <f t="shared" si="138"/>
        <v>487</v>
      </c>
      <c r="B488" s="18">
        <v>421</v>
      </c>
      <c r="C488" s="61">
        <v>4</v>
      </c>
      <c r="D488" s="118" t="b">
        <v>1</v>
      </c>
      <c r="E488" s="61"/>
      <c r="F488" s="66" t="s">
        <v>806</v>
      </c>
      <c r="G488" s="66" t="s">
        <v>827</v>
      </c>
      <c r="H488" s="38" t="s">
        <v>560</v>
      </c>
      <c r="I488" s="39">
        <f t="shared" si="139"/>
        <v>70</v>
      </c>
      <c r="J488" s="40">
        <f t="shared" si="140"/>
        <v>60</v>
      </c>
      <c r="K488" s="41">
        <f t="shared" si="141"/>
        <v>70</v>
      </c>
      <c r="L488" s="42">
        <f t="shared" si="142"/>
        <v>87</v>
      </c>
      <c r="M488" s="43">
        <f t="shared" si="143"/>
        <v>78</v>
      </c>
      <c r="N488" s="44">
        <f t="shared" si="144"/>
        <v>85</v>
      </c>
      <c r="O488" s="45">
        <f t="shared" si="145"/>
        <v>450</v>
      </c>
      <c r="P488" s="19">
        <f t="shared" si="146"/>
        <v>75</v>
      </c>
      <c r="Q488" s="177">
        <v>70</v>
      </c>
      <c r="R488" s="40">
        <v>60</v>
      </c>
      <c r="S488" s="41">
        <v>70</v>
      </c>
      <c r="T488" s="42">
        <v>87</v>
      </c>
      <c r="U488" s="43">
        <v>78</v>
      </c>
      <c r="V488" s="44">
        <v>85</v>
      </c>
      <c r="W488" s="45">
        <f t="shared" ref="W488:W532" si="149">SUM(Q488:V488)</f>
        <v>450</v>
      </c>
      <c r="X488" s="19">
        <f t="shared" ref="X488:X532" si="150">ROUND(AVERAGE(Q488:V488),2)</f>
        <v>75</v>
      </c>
      <c r="Y488" s="3">
        <v>70</v>
      </c>
      <c r="Z488" s="4">
        <v>60</v>
      </c>
      <c r="AA488" s="5">
        <v>70</v>
      </c>
      <c r="AB488" s="6">
        <v>87</v>
      </c>
      <c r="AC488" s="7">
        <v>78</v>
      </c>
      <c r="AD488" s="8">
        <v>85</v>
      </c>
      <c r="AE488" s="1">
        <v>450</v>
      </c>
      <c r="AF488" s="19">
        <v>75</v>
      </c>
      <c r="AG488" s="139">
        <v>70</v>
      </c>
      <c r="AH488" s="140">
        <v>60</v>
      </c>
      <c r="AI488" s="141">
        <v>70</v>
      </c>
      <c r="AJ488" s="142">
        <v>87</v>
      </c>
      <c r="AK488" s="143">
        <v>78</v>
      </c>
      <c r="AL488" s="144">
        <v>85</v>
      </c>
      <c r="AM488" s="138">
        <v>450</v>
      </c>
      <c r="AN488" s="153">
        <v>75</v>
      </c>
      <c r="AW488" s="45"/>
      <c r="AX488" s="174" t="b">
        <f>IF('Refined Compare'!$D$2="All",TRUE,IF(F488='Refined Compare'!$D$2,TRUE,IF(G488='Refined Compare'!$D$2,TRUE,FALSE)))</f>
        <v>0</v>
      </c>
      <c r="AY488" s="174" t="b">
        <f>IF('Refined Compare'!$D$3="All",TRUE,IF(F488='Refined Compare'!$D$3,TRUE,IF(G488='Refined Compare'!$D$3,TRUE,FALSE)))</f>
        <v>1</v>
      </c>
      <c r="AZ488" s="174" t="b">
        <f t="shared" si="137"/>
        <v>1</v>
      </c>
    </row>
    <row r="489" spans="1:52" x14ac:dyDescent="0.35">
      <c r="A489">
        <f t="shared" si="138"/>
        <v>488</v>
      </c>
      <c r="B489" s="18">
        <v>422</v>
      </c>
      <c r="C489" s="61">
        <v>4</v>
      </c>
      <c r="D489" s="61" t="b">
        <v>0</v>
      </c>
      <c r="E489" s="61"/>
      <c r="F489" s="66" t="s">
        <v>810</v>
      </c>
      <c r="G489" s="66" t="s">
        <v>827</v>
      </c>
      <c r="H489" s="38" t="s">
        <v>94</v>
      </c>
      <c r="I489" s="39">
        <f t="shared" si="139"/>
        <v>76</v>
      </c>
      <c r="J489" s="40">
        <f t="shared" si="140"/>
        <v>48</v>
      </c>
      <c r="K489" s="41">
        <f t="shared" si="141"/>
        <v>48</v>
      </c>
      <c r="L489" s="42">
        <f t="shared" si="142"/>
        <v>57</v>
      </c>
      <c r="M489" s="43">
        <f t="shared" si="143"/>
        <v>62</v>
      </c>
      <c r="N489" s="44">
        <f t="shared" si="144"/>
        <v>34</v>
      </c>
      <c r="O489" s="45">
        <f t="shared" si="145"/>
        <v>325</v>
      </c>
      <c r="P489" s="19">
        <f t="shared" si="146"/>
        <v>54.17</v>
      </c>
      <c r="Q489" s="177">
        <v>76</v>
      </c>
      <c r="R489" s="40">
        <v>48</v>
      </c>
      <c r="S489" s="41">
        <v>48</v>
      </c>
      <c r="T489" s="42">
        <v>57</v>
      </c>
      <c r="U489" s="43">
        <v>62</v>
      </c>
      <c r="V489" s="44">
        <v>34</v>
      </c>
      <c r="W489" s="45">
        <f t="shared" si="149"/>
        <v>325</v>
      </c>
      <c r="X489" s="19">
        <f t="shared" si="150"/>
        <v>54.17</v>
      </c>
      <c r="Y489" s="3">
        <v>76</v>
      </c>
      <c r="Z489" s="4">
        <v>48</v>
      </c>
      <c r="AA489" s="5">
        <v>48</v>
      </c>
      <c r="AB489" s="6">
        <v>57</v>
      </c>
      <c r="AC489" s="7">
        <v>62</v>
      </c>
      <c r="AD489" s="8">
        <v>34</v>
      </c>
      <c r="AE489" s="1">
        <v>325</v>
      </c>
      <c r="AF489" s="19">
        <v>54.17</v>
      </c>
      <c r="AG489" s="139">
        <v>76</v>
      </c>
      <c r="AH489" s="140">
        <v>48</v>
      </c>
      <c r="AI489" s="141">
        <v>48</v>
      </c>
      <c r="AJ489" s="142">
        <v>57</v>
      </c>
      <c r="AK489" s="143">
        <v>62</v>
      </c>
      <c r="AL489" s="144">
        <v>34</v>
      </c>
      <c r="AM489" s="138">
        <v>325</v>
      </c>
      <c r="AN489" s="153">
        <v>54.17</v>
      </c>
      <c r="AW489" s="45"/>
      <c r="AX489" s="174" t="b">
        <f>IF('Refined Compare'!$D$2="All",TRUE,IF(F489='Refined Compare'!$D$2,TRUE,IF(G489='Refined Compare'!$D$2,TRUE,FALSE)))</f>
        <v>0</v>
      </c>
      <c r="AY489" s="174" t="b">
        <f>IF('Refined Compare'!$D$3="All",TRUE,IF(F489='Refined Compare'!$D$3,TRUE,IF(G489='Refined Compare'!$D$3,TRUE,FALSE)))</f>
        <v>1</v>
      </c>
      <c r="AZ489" s="174" t="b">
        <f t="shared" si="137"/>
        <v>1</v>
      </c>
    </row>
    <row r="490" spans="1:52" x14ac:dyDescent="0.35">
      <c r="A490">
        <f t="shared" si="138"/>
        <v>489</v>
      </c>
      <c r="B490" s="18">
        <v>423</v>
      </c>
      <c r="C490" s="61">
        <v>4</v>
      </c>
      <c r="D490" s="118" t="b">
        <v>1</v>
      </c>
      <c r="E490" s="61"/>
      <c r="F490" s="66" t="s">
        <v>810</v>
      </c>
      <c r="G490" s="66" t="s">
        <v>814</v>
      </c>
      <c r="H490" s="38" t="s">
        <v>122</v>
      </c>
      <c r="I490" s="39">
        <f t="shared" si="139"/>
        <v>111</v>
      </c>
      <c r="J490" s="40">
        <f t="shared" si="140"/>
        <v>83</v>
      </c>
      <c r="K490" s="41">
        <f t="shared" si="141"/>
        <v>68</v>
      </c>
      <c r="L490" s="42">
        <f t="shared" si="142"/>
        <v>92</v>
      </c>
      <c r="M490" s="43">
        <f t="shared" si="143"/>
        <v>82</v>
      </c>
      <c r="N490" s="44">
        <f t="shared" si="144"/>
        <v>39</v>
      </c>
      <c r="O490" s="45">
        <f t="shared" si="145"/>
        <v>475</v>
      </c>
      <c r="P490" s="19">
        <f t="shared" si="146"/>
        <v>79.17</v>
      </c>
      <c r="Q490" s="177">
        <v>111</v>
      </c>
      <c r="R490" s="40">
        <v>83</v>
      </c>
      <c r="S490" s="41">
        <v>68</v>
      </c>
      <c r="T490" s="42">
        <v>92</v>
      </c>
      <c r="U490" s="43">
        <v>82</v>
      </c>
      <c r="V490" s="44">
        <v>39</v>
      </c>
      <c r="W490" s="45">
        <f t="shared" si="149"/>
        <v>475</v>
      </c>
      <c r="X490" s="19">
        <f t="shared" si="150"/>
        <v>79.17</v>
      </c>
      <c r="Y490" s="3">
        <v>111</v>
      </c>
      <c r="Z490" s="4">
        <v>83</v>
      </c>
      <c r="AA490" s="5">
        <v>68</v>
      </c>
      <c r="AB490" s="6">
        <v>92</v>
      </c>
      <c r="AC490" s="7">
        <v>82</v>
      </c>
      <c r="AD490" s="8">
        <v>39</v>
      </c>
      <c r="AE490" s="1">
        <v>475</v>
      </c>
      <c r="AF490" s="19">
        <v>79.17</v>
      </c>
      <c r="AG490" s="139">
        <v>111</v>
      </c>
      <c r="AH490" s="140">
        <v>83</v>
      </c>
      <c r="AI490" s="141">
        <v>68</v>
      </c>
      <c r="AJ490" s="142">
        <v>92</v>
      </c>
      <c r="AK490" s="143">
        <v>82</v>
      </c>
      <c r="AL490" s="144">
        <v>39</v>
      </c>
      <c r="AM490" s="138">
        <v>475</v>
      </c>
      <c r="AN490" s="153">
        <v>79.17</v>
      </c>
      <c r="AW490" s="45"/>
      <c r="AX490" s="174" t="b">
        <f>IF('Refined Compare'!$D$2="All",TRUE,IF(F490='Refined Compare'!$D$2,TRUE,IF(G490='Refined Compare'!$D$2,TRUE,FALSE)))</f>
        <v>0</v>
      </c>
      <c r="AY490" s="174" t="b">
        <f>IF('Refined Compare'!$D$3="All",TRUE,IF(F490='Refined Compare'!$D$3,TRUE,IF(G490='Refined Compare'!$D$3,TRUE,FALSE)))</f>
        <v>0</v>
      </c>
      <c r="AZ490" s="174" t="b">
        <f t="shared" si="137"/>
        <v>1</v>
      </c>
    </row>
    <row r="491" spans="1:52" x14ac:dyDescent="0.35">
      <c r="A491">
        <f t="shared" si="138"/>
        <v>490</v>
      </c>
      <c r="B491" s="18">
        <v>424</v>
      </c>
      <c r="C491" s="61">
        <v>4</v>
      </c>
      <c r="D491" s="118" t="b">
        <v>1</v>
      </c>
      <c r="E491" s="61"/>
      <c r="F491" s="66" t="s">
        <v>812</v>
      </c>
      <c r="G491" s="66" t="s">
        <v>827</v>
      </c>
      <c r="H491" s="38" t="s">
        <v>743</v>
      </c>
      <c r="I491" s="39">
        <f t="shared" si="139"/>
        <v>75</v>
      </c>
      <c r="J491" s="40">
        <f t="shared" si="140"/>
        <v>100</v>
      </c>
      <c r="K491" s="41">
        <f t="shared" si="141"/>
        <v>66</v>
      </c>
      <c r="L491" s="42">
        <f t="shared" si="142"/>
        <v>60</v>
      </c>
      <c r="M491" s="43">
        <f t="shared" si="143"/>
        <v>66</v>
      </c>
      <c r="N491" s="44">
        <f t="shared" si="144"/>
        <v>115</v>
      </c>
      <c r="O491" s="45">
        <f t="shared" si="145"/>
        <v>482</v>
      </c>
      <c r="P491" s="19">
        <f t="shared" si="146"/>
        <v>80.33</v>
      </c>
      <c r="Q491" s="177">
        <v>75</v>
      </c>
      <c r="R491" s="40">
        <v>100</v>
      </c>
      <c r="S491" s="41">
        <v>66</v>
      </c>
      <c r="T491" s="42">
        <v>60</v>
      </c>
      <c r="U491" s="43">
        <v>66</v>
      </c>
      <c r="V491" s="44">
        <v>115</v>
      </c>
      <c r="W491" s="45">
        <f t="shared" si="149"/>
        <v>482</v>
      </c>
      <c r="X491" s="19">
        <f t="shared" si="150"/>
        <v>80.33</v>
      </c>
      <c r="Y491" s="3">
        <v>75</v>
      </c>
      <c r="Z491" s="4">
        <v>100</v>
      </c>
      <c r="AA491" s="5">
        <v>66</v>
      </c>
      <c r="AB491" s="6">
        <v>60</v>
      </c>
      <c r="AC491" s="7">
        <v>66</v>
      </c>
      <c r="AD491" s="8">
        <v>115</v>
      </c>
      <c r="AE491" s="1">
        <v>482</v>
      </c>
      <c r="AF491" s="19">
        <v>80.33</v>
      </c>
      <c r="AG491" s="139">
        <v>75</v>
      </c>
      <c r="AH491" s="140">
        <v>100</v>
      </c>
      <c r="AI491" s="141">
        <v>66</v>
      </c>
      <c r="AJ491" s="142">
        <v>60</v>
      </c>
      <c r="AK491" s="143">
        <v>66</v>
      </c>
      <c r="AL491" s="144">
        <v>115</v>
      </c>
      <c r="AM491" s="138">
        <v>482</v>
      </c>
      <c r="AN491" s="153">
        <v>80.33</v>
      </c>
      <c r="AW491" s="45"/>
      <c r="AX491" s="174" t="b">
        <f>IF('Refined Compare'!$D$2="All",TRUE,IF(F491='Refined Compare'!$D$2,TRUE,IF(G491='Refined Compare'!$D$2,TRUE,FALSE)))</f>
        <v>0</v>
      </c>
      <c r="AY491" s="174" t="b">
        <f>IF('Refined Compare'!$D$3="All",TRUE,IF(F491='Refined Compare'!$D$3,TRUE,IF(G491='Refined Compare'!$D$3,TRUE,FALSE)))</f>
        <v>1</v>
      </c>
      <c r="AZ491" s="174" t="b">
        <f t="shared" si="137"/>
        <v>1</v>
      </c>
    </row>
    <row r="492" spans="1:52" x14ac:dyDescent="0.35">
      <c r="A492">
        <f t="shared" si="138"/>
        <v>491</v>
      </c>
      <c r="B492" s="18">
        <v>425</v>
      </c>
      <c r="C492" s="61">
        <v>4</v>
      </c>
      <c r="D492" s="61" t="b">
        <v>0</v>
      </c>
      <c r="E492" s="61"/>
      <c r="F492" s="66" t="s">
        <v>821</v>
      </c>
      <c r="G492" s="66" t="s">
        <v>809</v>
      </c>
      <c r="H492" s="38" t="s">
        <v>448</v>
      </c>
      <c r="I492" s="39">
        <f t="shared" si="139"/>
        <v>90</v>
      </c>
      <c r="J492" s="40">
        <f t="shared" si="140"/>
        <v>50</v>
      </c>
      <c r="K492" s="41">
        <f t="shared" si="141"/>
        <v>34</v>
      </c>
      <c r="L492" s="42">
        <f t="shared" si="142"/>
        <v>60</v>
      </c>
      <c r="M492" s="43">
        <f t="shared" si="143"/>
        <v>44</v>
      </c>
      <c r="N492" s="44">
        <f t="shared" si="144"/>
        <v>70</v>
      </c>
      <c r="O492" s="45">
        <f t="shared" si="145"/>
        <v>348</v>
      </c>
      <c r="P492" s="19">
        <f t="shared" si="146"/>
        <v>58</v>
      </c>
      <c r="Q492" s="177">
        <v>90</v>
      </c>
      <c r="R492" s="40">
        <v>50</v>
      </c>
      <c r="S492" s="41">
        <v>34</v>
      </c>
      <c r="T492" s="42">
        <v>60</v>
      </c>
      <c r="U492" s="43">
        <v>44</v>
      </c>
      <c r="V492" s="44">
        <v>70</v>
      </c>
      <c r="W492" s="45">
        <f t="shared" si="149"/>
        <v>348</v>
      </c>
      <c r="X492" s="19">
        <f t="shared" si="150"/>
        <v>58</v>
      </c>
      <c r="Y492" s="3">
        <v>90</v>
      </c>
      <c r="Z492" s="4">
        <v>50</v>
      </c>
      <c r="AA492" s="5">
        <v>34</v>
      </c>
      <c r="AB492" s="6">
        <v>60</v>
      </c>
      <c r="AC492" s="7">
        <v>44</v>
      </c>
      <c r="AD492" s="8">
        <v>70</v>
      </c>
      <c r="AE492" s="1">
        <v>348</v>
      </c>
      <c r="AF492" s="19">
        <v>58</v>
      </c>
      <c r="AG492" s="139">
        <v>90</v>
      </c>
      <c r="AH492" s="140">
        <v>50</v>
      </c>
      <c r="AI492" s="141">
        <v>34</v>
      </c>
      <c r="AJ492" s="142">
        <v>60</v>
      </c>
      <c r="AK492" s="143">
        <v>44</v>
      </c>
      <c r="AL492" s="144">
        <v>70</v>
      </c>
      <c r="AM492" s="138">
        <v>348</v>
      </c>
      <c r="AN492" s="153">
        <v>58</v>
      </c>
      <c r="AW492" s="45"/>
      <c r="AX492" s="174" t="b">
        <f>IF('Refined Compare'!$D$2="All",TRUE,IF(F492='Refined Compare'!$D$2,TRUE,IF(G492='Refined Compare'!$D$2,TRUE,FALSE)))</f>
        <v>0</v>
      </c>
      <c r="AY492" s="174" t="b">
        <f>IF('Refined Compare'!$D$3="All",TRUE,IF(F492='Refined Compare'!$D$3,TRUE,IF(G492='Refined Compare'!$D$3,TRUE,FALSE)))</f>
        <v>0</v>
      </c>
      <c r="AZ492" s="174" t="b">
        <f t="shared" si="137"/>
        <v>1</v>
      </c>
    </row>
    <row r="493" spans="1:52" x14ac:dyDescent="0.35">
      <c r="A493">
        <f t="shared" si="138"/>
        <v>492</v>
      </c>
      <c r="B493" s="18">
        <v>426</v>
      </c>
      <c r="C493" s="61">
        <v>4</v>
      </c>
      <c r="D493" s="118" t="b">
        <v>1</v>
      </c>
      <c r="E493" s="61"/>
      <c r="F493" s="66" t="s">
        <v>821</v>
      </c>
      <c r="G493" s="66" t="s">
        <v>809</v>
      </c>
      <c r="H493" s="38" t="s">
        <v>517</v>
      </c>
      <c r="I493" s="39">
        <f t="shared" si="139"/>
        <v>150</v>
      </c>
      <c r="J493" s="40">
        <f t="shared" si="140"/>
        <v>80</v>
      </c>
      <c r="K493" s="41">
        <f t="shared" si="141"/>
        <v>44</v>
      </c>
      <c r="L493" s="42">
        <f t="shared" si="142"/>
        <v>90</v>
      </c>
      <c r="M493" s="43">
        <f t="shared" si="143"/>
        <v>54</v>
      </c>
      <c r="N493" s="44">
        <f t="shared" si="144"/>
        <v>80</v>
      </c>
      <c r="O493" s="45">
        <f t="shared" si="145"/>
        <v>498</v>
      </c>
      <c r="P493" s="19">
        <f t="shared" si="146"/>
        <v>83</v>
      </c>
      <c r="Q493" s="177">
        <v>150</v>
      </c>
      <c r="R493" s="40">
        <v>80</v>
      </c>
      <c r="S493" s="41">
        <v>44</v>
      </c>
      <c r="T493" s="42">
        <v>90</v>
      </c>
      <c r="U493" s="43">
        <v>54</v>
      </c>
      <c r="V493" s="44">
        <v>80</v>
      </c>
      <c r="W493" s="45">
        <f t="shared" si="149"/>
        <v>498</v>
      </c>
      <c r="X493" s="19">
        <f t="shared" si="150"/>
        <v>83</v>
      </c>
      <c r="Y493" s="3">
        <v>150</v>
      </c>
      <c r="Z493" s="4">
        <v>80</v>
      </c>
      <c r="AA493" s="5">
        <v>44</v>
      </c>
      <c r="AB493" s="6">
        <v>90</v>
      </c>
      <c r="AC493" s="7">
        <v>54</v>
      </c>
      <c r="AD493" s="8">
        <v>80</v>
      </c>
      <c r="AE493" s="1">
        <v>498</v>
      </c>
      <c r="AF493" s="19">
        <v>83</v>
      </c>
      <c r="AG493" s="139">
        <v>150</v>
      </c>
      <c r="AH493" s="140">
        <v>80</v>
      </c>
      <c r="AI493" s="141">
        <v>44</v>
      </c>
      <c r="AJ493" s="142">
        <v>90</v>
      </c>
      <c r="AK493" s="143">
        <v>54</v>
      </c>
      <c r="AL493" s="144">
        <v>80</v>
      </c>
      <c r="AM493" s="138">
        <v>498</v>
      </c>
      <c r="AN493" s="153">
        <v>83</v>
      </c>
      <c r="AW493" s="45"/>
      <c r="AX493" s="174" t="b">
        <f>IF('Refined Compare'!$D$2="All",TRUE,IF(F493='Refined Compare'!$D$2,TRUE,IF(G493='Refined Compare'!$D$2,TRUE,FALSE)))</f>
        <v>0</v>
      </c>
      <c r="AY493" s="174" t="b">
        <f>IF('Refined Compare'!$D$3="All",TRUE,IF(F493='Refined Compare'!$D$3,TRUE,IF(G493='Refined Compare'!$D$3,TRUE,FALSE)))</f>
        <v>0</v>
      </c>
      <c r="AZ493" s="174" t="b">
        <f t="shared" si="137"/>
        <v>1</v>
      </c>
    </row>
    <row r="494" spans="1:52" x14ac:dyDescent="0.35">
      <c r="A494">
        <f t="shared" si="138"/>
        <v>493</v>
      </c>
      <c r="B494" s="18">
        <v>427</v>
      </c>
      <c r="C494" s="61">
        <v>4</v>
      </c>
      <c r="D494" s="61" t="b">
        <v>0</v>
      </c>
      <c r="E494" s="61"/>
      <c r="F494" s="66" t="s">
        <v>812</v>
      </c>
      <c r="G494" s="66" t="s">
        <v>827</v>
      </c>
      <c r="H494" s="38" t="s">
        <v>561</v>
      </c>
      <c r="I494" s="39">
        <f t="shared" si="139"/>
        <v>55</v>
      </c>
      <c r="J494" s="40">
        <f t="shared" si="140"/>
        <v>66</v>
      </c>
      <c r="K494" s="41">
        <f t="shared" si="141"/>
        <v>44</v>
      </c>
      <c r="L494" s="42">
        <f t="shared" si="142"/>
        <v>44</v>
      </c>
      <c r="M494" s="43">
        <f t="shared" si="143"/>
        <v>56</v>
      </c>
      <c r="N494" s="44">
        <f t="shared" si="144"/>
        <v>85</v>
      </c>
      <c r="O494" s="45">
        <f t="shared" si="145"/>
        <v>350</v>
      </c>
      <c r="P494" s="19">
        <f t="shared" si="146"/>
        <v>58.33</v>
      </c>
      <c r="Q494" s="177">
        <v>55</v>
      </c>
      <c r="R494" s="40">
        <v>66</v>
      </c>
      <c r="S494" s="41">
        <v>44</v>
      </c>
      <c r="T494" s="42">
        <v>44</v>
      </c>
      <c r="U494" s="43">
        <v>56</v>
      </c>
      <c r="V494" s="44">
        <v>85</v>
      </c>
      <c r="W494" s="45">
        <f t="shared" si="149"/>
        <v>350</v>
      </c>
      <c r="X494" s="19">
        <f t="shared" si="150"/>
        <v>58.33</v>
      </c>
      <c r="Y494" s="3">
        <v>55</v>
      </c>
      <c r="Z494" s="4">
        <v>66</v>
      </c>
      <c r="AA494" s="5">
        <v>44</v>
      </c>
      <c r="AB494" s="6">
        <v>44</v>
      </c>
      <c r="AC494" s="7">
        <v>56</v>
      </c>
      <c r="AD494" s="8">
        <v>85</v>
      </c>
      <c r="AE494" s="1">
        <v>350</v>
      </c>
      <c r="AF494" s="19">
        <v>58.33</v>
      </c>
      <c r="AG494" s="139">
        <v>55</v>
      </c>
      <c r="AH494" s="140">
        <v>66</v>
      </c>
      <c r="AI494" s="141">
        <v>44</v>
      </c>
      <c r="AJ494" s="142">
        <v>44</v>
      </c>
      <c r="AK494" s="143">
        <v>56</v>
      </c>
      <c r="AL494" s="144">
        <v>85</v>
      </c>
      <c r="AM494" s="138">
        <v>350</v>
      </c>
      <c r="AN494" s="153">
        <v>58.33</v>
      </c>
      <c r="AW494" s="45"/>
      <c r="AX494" s="174" t="b">
        <f>IF('Refined Compare'!$D$2="All",TRUE,IF(F494='Refined Compare'!$D$2,TRUE,IF(G494='Refined Compare'!$D$2,TRUE,FALSE)))</f>
        <v>0</v>
      </c>
      <c r="AY494" s="174" t="b">
        <f>IF('Refined Compare'!$D$3="All",TRUE,IF(F494='Refined Compare'!$D$3,TRUE,IF(G494='Refined Compare'!$D$3,TRUE,FALSE)))</f>
        <v>1</v>
      </c>
      <c r="AZ494" s="174" t="b">
        <f t="shared" si="137"/>
        <v>1</v>
      </c>
    </row>
    <row r="495" spans="1:52" x14ac:dyDescent="0.35">
      <c r="A495">
        <f t="shared" si="138"/>
        <v>494</v>
      </c>
      <c r="B495" s="18">
        <v>428</v>
      </c>
      <c r="C495" s="61">
        <v>4</v>
      </c>
      <c r="D495" s="61" t="b">
        <f>IF($AW$2&lt;6,TRUE,FALSE)</f>
        <v>1</v>
      </c>
      <c r="E495" s="61"/>
      <c r="F495" s="66" t="s">
        <v>812</v>
      </c>
      <c r="G495" s="66" t="s">
        <v>827</v>
      </c>
      <c r="H495" s="38" t="s">
        <v>700</v>
      </c>
      <c r="I495" s="39">
        <f t="shared" si="139"/>
        <v>65</v>
      </c>
      <c r="J495" s="40">
        <f t="shared" si="140"/>
        <v>76</v>
      </c>
      <c r="K495" s="41">
        <f t="shared" si="141"/>
        <v>84</v>
      </c>
      <c r="L495" s="42">
        <f t="shared" si="142"/>
        <v>54</v>
      </c>
      <c r="M495" s="43">
        <f t="shared" si="143"/>
        <v>96</v>
      </c>
      <c r="N495" s="44">
        <f t="shared" si="144"/>
        <v>105</v>
      </c>
      <c r="O495" s="45">
        <f t="shared" si="145"/>
        <v>480</v>
      </c>
      <c r="P495" s="19">
        <f t="shared" si="146"/>
        <v>80</v>
      </c>
      <c r="Q495" s="177">
        <v>65</v>
      </c>
      <c r="R495" s="40">
        <v>76</v>
      </c>
      <c r="S495" s="41">
        <v>84</v>
      </c>
      <c r="T495" s="42">
        <v>54</v>
      </c>
      <c r="U495" s="43">
        <v>96</v>
      </c>
      <c r="V495" s="44">
        <v>105</v>
      </c>
      <c r="W495" s="45">
        <f t="shared" si="149"/>
        <v>480</v>
      </c>
      <c r="X495" s="19">
        <f t="shared" si="150"/>
        <v>80</v>
      </c>
      <c r="Y495" s="3">
        <v>65</v>
      </c>
      <c r="Z495" s="4">
        <v>76</v>
      </c>
      <c r="AA495" s="5">
        <v>84</v>
      </c>
      <c r="AB495" s="6">
        <v>54</v>
      </c>
      <c r="AC495" s="7">
        <v>96</v>
      </c>
      <c r="AD495" s="8">
        <v>105</v>
      </c>
      <c r="AE495" s="1">
        <v>480</v>
      </c>
      <c r="AF495" s="19">
        <v>80</v>
      </c>
      <c r="AG495" s="139">
        <v>65</v>
      </c>
      <c r="AH495" s="140">
        <v>76</v>
      </c>
      <c r="AI495" s="141">
        <v>84</v>
      </c>
      <c r="AJ495" s="142">
        <v>54</v>
      </c>
      <c r="AK495" s="143">
        <v>96</v>
      </c>
      <c r="AL495" s="144">
        <v>105</v>
      </c>
      <c r="AM495" s="138">
        <v>480</v>
      </c>
      <c r="AN495" s="153">
        <v>80</v>
      </c>
      <c r="AW495" s="45"/>
      <c r="AX495" s="174" t="b">
        <f>IF('Refined Compare'!$D$2="All",TRUE,IF(F495='Refined Compare'!$D$2,TRUE,IF(G495='Refined Compare'!$D$2,TRUE,FALSE)))</f>
        <v>0</v>
      </c>
      <c r="AY495" s="174" t="b">
        <f>IF('Refined Compare'!$D$3="All",TRUE,IF(F495='Refined Compare'!$D$3,TRUE,IF(G495='Refined Compare'!$D$3,TRUE,FALSE)))</f>
        <v>1</v>
      </c>
      <c r="AZ495" s="174" t="b">
        <f t="shared" si="137"/>
        <v>1</v>
      </c>
    </row>
    <row r="496" spans="1:52" x14ac:dyDescent="0.35">
      <c r="A496">
        <f t="shared" si="138"/>
        <v>495</v>
      </c>
      <c r="B496" s="62">
        <v>428</v>
      </c>
      <c r="C496" s="61">
        <v>6</v>
      </c>
      <c r="D496" s="118" t="b">
        <f>IF(AZ496,TRUE,FALSE)</f>
        <v>0</v>
      </c>
      <c r="E496" s="61" t="s">
        <v>801</v>
      </c>
      <c r="F496" s="66" t="s">
        <v>812</v>
      </c>
      <c r="G496" s="66" t="s">
        <v>816</v>
      </c>
      <c r="H496" s="38" t="s">
        <v>769</v>
      </c>
      <c r="I496" s="39">
        <f t="shared" si="139"/>
        <v>0</v>
      </c>
      <c r="J496" s="40">
        <f t="shared" si="140"/>
        <v>0</v>
      </c>
      <c r="K496" s="41">
        <f t="shared" si="141"/>
        <v>0</v>
      </c>
      <c r="L496" s="42">
        <f t="shared" si="142"/>
        <v>0</v>
      </c>
      <c r="M496" s="43">
        <f t="shared" si="143"/>
        <v>0</v>
      </c>
      <c r="N496" s="44">
        <f t="shared" si="144"/>
        <v>0</v>
      </c>
      <c r="O496" s="45">
        <f t="shared" si="145"/>
        <v>0</v>
      </c>
      <c r="P496" s="19">
        <f t="shared" si="146"/>
        <v>0</v>
      </c>
      <c r="Q496" s="177">
        <v>65</v>
      </c>
      <c r="R496" s="40">
        <v>136</v>
      </c>
      <c r="S496" s="41">
        <v>94</v>
      </c>
      <c r="T496" s="42">
        <v>54</v>
      </c>
      <c r="U496" s="43">
        <v>96</v>
      </c>
      <c r="V496" s="44">
        <v>135</v>
      </c>
      <c r="W496" s="45">
        <f t="shared" si="149"/>
        <v>580</v>
      </c>
      <c r="X496" s="19">
        <f t="shared" si="150"/>
        <v>96.67</v>
      </c>
      <c r="Y496" s="3">
        <v>65</v>
      </c>
      <c r="Z496" s="4">
        <v>136</v>
      </c>
      <c r="AA496" s="5">
        <v>94</v>
      </c>
      <c r="AB496" s="6">
        <v>54</v>
      </c>
      <c r="AC496" s="7">
        <v>96</v>
      </c>
      <c r="AD496" s="8">
        <v>135</v>
      </c>
      <c r="AE496" s="1">
        <v>580</v>
      </c>
      <c r="AF496" s="19">
        <v>96.67</v>
      </c>
      <c r="AN496" s="172"/>
      <c r="AV496" s="174"/>
      <c r="AW496" s="45"/>
      <c r="AX496" s="174" t="b">
        <f>IF('Refined Compare'!$D$2="All",TRUE,IF(F496='Refined Compare'!$D$2,TRUE,IF(G496='Refined Compare'!$D$2,TRUE,FALSE)))</f>
        <v>0</v>
      </c>
      <c r="AY496" s="174" t="b">
        <f>IF('Refined Compare'!$D$3="All",TRUE,IF(F496='Refined Compare'!$D$3,TRUE,IF(G496='Refined Compare'!$D$3,TRUE,FALSE)))</f>
        <v>0</v>
      </c>
      <c r="AZ496" s="174" t="b">
        <f t="shared" si="137"/>
        <v>0</v>
      </c>
    </row>
    <row r="497" spans="1:52" x14ac:dyDescent="0.35">
      <c r="A497">
        <f t="shared" si="138"/>
        <v>496</v>
      </c>
      <c r="B497" s="18">
        <v>429</v>
      </c>
      <c r="C497" s="61">
        <v>4</v>
      </c>
      <c r="D497" s="118" t="b">
        <v>1</v>
      </c>
      <c r="E497" s="61"/>
      <c r="F497" s="66" t="s">
        <v>821</v>
      </c>
      <c r="G497" s="66" t="s">
        <v>827</v>
      </c>
      <c r="H497" s="38" t="s">
        <v>701</v>
      </c>
      <c r="I497" s="39">
        <f t="shared" si="139"/>
        <v>60</v>
      </c>
      <c r="J497" s="40">
        <f t="shared" si="140"/>
        <v>60</v>
      </c>
      <c r="K497" s="41">
        <f t="shared" si="141"/>
        <v>60</v>
      </c>
      <c r="L497" s="42">
        <f t="shared" si="142"/>
        <v>105</v>
      </c>
      <c r="M497" s="43">
        <f t="shared" si="143"/>
        <v>105</v>
      </c>
      <c r="N497" s="44">
        <f t="shared" si="144"/>
        <v>105</v>
      </c>
      <c r="O497" s="45">
        <f t="shared" si="145"/>
        <v>495</v>
      </c>
      <c r="P497" s="19">
        <f t="shared" si="146"/>
        <v>82.5</v>
      </c>
      <c r="Q497" s="177">
        <v>60</v>
      </c>
      <c r="R497" s="40">
        <v>60</v>
      </c>
      <c r="S497" s="41">
        <v>60</v>
      </c>
      <c r="T497" s="42">
        <v>105</v>
      </c>
      <c r="U497" s="43">
        <v>105</v>
      </c>
      <c r="V497" s="44">
        <v>105</v>
      </c>
      <c r="W497" s="45">
        <f t="shared" si="149"/>
        <v>495</v>
      </c>
      <c r="X497" s="19">
        <f t="shared" si="150"/>
        <v>82.5</v>
      </c>
      <c r="Y497" s="3">
        <v>60</v>
      </c>
      <c r="Z497" s="4">
        <v>60</v>
      </c>
      <c r="AA497" s="5">
        <v>60</v>
      </c>
      <c r="AB497" s="6">
        <v>105</v>
      </c>
      <c r="AC497" s="7">
        <v>105</v>
      </c>
      <c r="AD497" s="8">
        <v>105</v>
      </c>
      <c r="AE497" s="1">
        <v>495</v>
      </c>
      <c r="AF497" s="19">
        <v>82.5</v>
      </c>
      <c r="AG497" s="139">
        <v>60</v>
      </c>
      <c r="AH497" s="140">
        <v>60</v>
      </c>
      <c r="AI497" s="141">
        <v>60</v>
      </c>
      <c r="AJ497" s="142">
        <v>105</v>
      </c>
      <c r="AK497" s="143">
        <v>105</v>
      </c>
      <c r="AL497" s="144">
        <v>105</v>
      </c>
      <c r="AM497" s="138">
        <v>495</v>
      </c>
      <c r="AN497" s="153">
        <v>82.5</v>
      </c>
      <c r="AW497" s="45"/>
      <c r="AX497" s="174" t="b">
        <f>IF('Refined Compare'!$D$2="All",TRUE,IF(F497='Refined Compare'!$D$2,TRUE,IF(G497='Refined Compare'!$D$2,TRUE,FALSE)))</f>
        <v>0</v>
      </c>
      <c r="AY497" s="174" t="b">
        <f>IF('Refined Compare'!$D$3="All",TRUE,IF(F497='Refined Compare'!$D$3,TRUE,IF(G497='Refined Compare'!$D$3,TRUE,FALSE)))</f>
        <v>1</v>
      </c>
      <c r="AZ497" s="174" t="b">
        <f t="shared" si="137"/>
        <v>1</v>
      </c>
    </row>
    <row r="498" spans="1:52" x14ac:dyDescent="0.35">
      <c r="A498">
        <f t="shared" si="138"/>
        <v>497</v>
      </c>
      <c r="B498" s="18">
        <v>430</v>
      </c>
      <c r="C498" s="61">
        <v>4</v>
      </c>
      <c r="D498" s="118" t="b">
        <v>1</v>
      </c>
      <c r="E498" s="61"/>
      <c r="F498" s="66" t="s">
        <v>823</v>
      </c>
      <c r="G498" s="66" t="s">
        <v>809</v>
      </c>
      <c r="H498" s="38" t="s">
        <v>458</v>
      </c>
      <c r="I498" s="39">
        <f t="shared" si="139"/>
        <v>100</v>
      </c>
      <c r="J498" s="40">
        <f t="shared" si="140"/>
        <v>125</v>
      </c>
      <c r="K498" s="41">
        <f t="shared" si="141"/>
        <v>52</v>
      </c>
      <c r="L498" s="42">
        <f t="shared" si="142"/>
        <v>105</v>
      </c>
      <c r="M498" s="43">
        <f t="shared" si="143"/>
        <v>52</v>
      </c>
      <c r="N498" s="44">
        <f t="shared" si="144"/>
        <v>71</v>
      </c>
      <c r="O498" s="45">
        <f t="shared" si="145"/>
        <v>505</v>
      </c>
      <c r="P498" s="19">
        <f t="shared" si="146"/>
        <v>84.17</v>
      </c>
      <c r="Q498" s="177">
        <v>100</v>
      </c>
      <c r="R498" s="40">
        <v>125</v>
      </c>
      <c r="S498" s="41">
        <v>52</v>
      </c>
      <c r="T498" s="42">
        <v>105</v>
      </c>
      <c r="U498" s="43">
        <v>52</v>
      </c>
      <c r="V498" s="44">
        <v>71</v>
      </c>
      <c r="W498" s="45">
        <f t="shared" si="149"/>
        <v>505</v>
      </c>
      <c r="X498" s="19">
        <f t="shared" si="150"/>
        <v>84.17</v>
      </c>
      <c r="Y498" s="3">
        <v>100</v>
      </c>
      <c r="Z498" s="4">
        <v>125</v>
      </c>
      <c r="AA498" s="5">
        <v>52</v>
      </c>
      <c r="AB498" s="6">
        <v>105</v>
      </c>
      <c r="AC498" s="7">
        <v>52</v>
      </c>
      <c r="AD498" s="8">
        <v>71</v>
      </c>
      <c r="AE498" s="1">
        <v>505</v>
      </c>
      <c r="AF498" s="19">
        <v>84.17</v>
      </c>
      <c r="AG498" s="139">
        <v>100</v>
      </c>
      <c r="AH498" s="140">
        <v>125</v>
      </c>
      <c r="AI498" s="141">
        <v>52</v>
      </c>
      <c r="AJ498" s="142">
        <v>105</v>
      </c>
      <c r="AK498" s="143">
        <v>52</v>
      </c>
      <c r="AL498" s="144">
        <v>71</v>
      </c>
      <c r="AM498" s="138">
        <v>505</v>
      </c>
      <c r="AN498" s="153">
        <v>84.17</v>
      </c>
      <c r="AW498" s="45"/>
      <c r="AX498" s="174" t="b">
        <f>IF('Refined Compare'!$D$2="All",TRUE,IF(F498='Refined Compare'!$D$2,TRUE,IF(G498='Refined Compare'!$D$2,TRUE,FALSE)))</f>
        <v>1</v>
      </c>
      <c r="AY498" s="174" t="b">
        <f>IF('Refined Compare'!$D$3="All",TRUE,IF(F498='Refined Compare'!$D$3,TRUE,IF(G498='Refined Compare'!$D$3,TRUE,FALSE)))</f>
        <v>0</v>
      </c>
      <c r="AZ498" s="174" t="b">
        <f t="shared" si="137"/>
        <v>1</v>
      </c>
    </row>
    <row r="499" spans="1:52" x14ac:dyDescent="0.35">
      <c r="A499">
        <f t="shared" si="138"/>
        <v>498</v>
      </c>
      <c r="B499" s="18">
        <v>431</v>
      </c>
      <c r="C499" s="61">
        <v>4</v>
      </c>
      <c r="D499" s="118" t="b">
        <v>0</v>
      </c>
      <c r="E499" s="61"/>
      <c r="F499" s="66" t="s">
        <v>812</v>
      </c>
      <c r="G499" s="66" t="s">
        <v>827</v>
      </c>
      <c r="H499" s="38" t="s">
        <v>562</v>
      </c>
      <c r="I499" s="39">
        <f t="shared" si="139"/>
        <v>49</v>
      </c>
      <c r="J499" s="40">
        <f t="shared" si="140"/>
        <v>55</v>
      </c>
      <c r="K499" s="41">
        <f t="shared" si="141"/>
        <v>42</v>
      </c>
      <c r="L499" s="42">
        <f t="shared" si="142"/>
        <v>42</v>
      </c>
      <c r="M499" s="43">
        <f t="shared" si="143"/>
        <v>37</v>
      </c>
      <c r="N499" s="44">
        <f t="shared" si="144"/>
        <v>85</v>
      </c>
      <c r="O499" s="45">
        <f t="shared" si="145"/>
        <v>310</v>
      </c>
      <c r="P499" s="19">
        <f t="shared" si="146"/>
        <v>51.67</v>
      </c>
      <c r="Q499" s="177">
        <v>49</v>
      </c>
      <c r="R499" s="40">
        <v>55</v>
      </c>
      <c r="S499" s="41">
        <v>42</v>
      </c>
      <c r="T499" s="42">
        <v>42</v>
      </c>
      <c r="U499" s="43">
        <v>37</v>
      </c>
      <c r="V499" s="44">
        <v>85</v>
      </c>
      <c r="W499" s="45">
        <f t="shared" si="149"/>
        <v>310</v>
      </c>
      <c r="X499" s="19">
        <f t="shared" si="150"/>
        <v>51.67</v>
      </c>
      <c r="Y499" s="3">
        <v>49</v>
      </c>
      <c r="Z499" s="4">
        <v>55</v>
      </c>
      <c r="AA499" s="5">
        <v>42</v>
      </c>
      <c r="AB499" s="6">
        <v>42</v>
      </c>
      <c r="AC499" s="7">
        <v>37</v>
      </c>
      <c r="AD499" s="8">
        <v>85</v>
      </c>
      <c r="AE499" s="1">
        <v>310</v>
      </c>
      <c r="AF499" s="19">
        <v>51.67</v>
      </c>
      <c r="AG499" s="139">
        <v>49</v>
      </c>
      <c r="AH499" s="140">
        <v>55</v>
      </c>
      <c r="AI499" s="141">
        <v>42</v>
      </c>
      <c r="AJ499" s="142">
        <v>42</v>
      </c>
      <c r="AK499" s="143">
        <v>37</v>
      </c>
      <c r="AL499" s="144">
        <v>85</v>
      </c>
      <c r="AM499" s="138">
        <v>310</v>
      </c>
      <c r="AN499" s="153">
        <v>51.67</v>
      </c>
      <c r="AW499" s="45"/>
      <c r="AX499" s="174" t="b">
        <f>IF('Refined Compare'!$D$2="All",TRUE,IF(F499='Refined Compare'!$D$2,TRUE,IF(G499='Refined Compare'!$D$2,TRUE,FALSE)))</f>
        <v>0</v>
      </c>
      <c r="AY499" s="174" t="b">
        <f>IF('Refined Compare'!$D$3="All",TRUE,IF(F499='Refined Compare'!$D$3,TRUE,IF(G499='Refined Compare'!$D$3,TRUE,FALSE)))</f>
        <v>1</v>
      </c>
      <c r="AZ499" s="174" t="b">
        <f t="shared" si="137"/>
        <v>1</v>
      </c>
    </row>
    <row r="500" spans="1:52" x14ac:dyDescent="0.35">
      <c r="A500">
        <f t="shared" si="138"/>
        <v>499</v>
      </c>
      <c r="B500" s="18">
        <v>432</v>
      </c>
      <c r="C500" s="61">
        <v>4</v>
      </c>
      <c r="D500" s="118" t="b">
        <v>1</v>
      </c>
      <c r="E500" s="61"/>
      <c r="F500" s="66" t="s">
        <v>812</v>
      </c>
      <c r="G500" s="66" t="s">
        <v>827</v>
      </c>
      <c r="H500" s="38" t="s">
        <v>730</v>
      </c>
      <c r="I500" s="39">
        <f t="shared" si="139"/>
        <v>71</v>
      </c>
      <c r="J500" s="40">
        <f t="shared" si="140"/>
        <v>82</v>
      </c>
      <c r="K500" s="41">
        <f t="shared" si="141"/>
        <v>64</v>
      </c>
      <c r="L500" s="42">
        <f t="shared" si="142"/>
        <v>64</v>
      </c>
      <c r="M500" s="43">
        <f t="shared" si="143"/>
        <v>59</v>
      </c>
      <c r="N500" s="44">
        <f t="shared" si="144"/>
        <v>112</v>
      </c>
      <c r="O500" s="45">
        <f t="shared" si="145"/>
        <v>452</v>
      </c>
      <c r="P500" s="19">
        <f t="shared" si="146"/>
        <v>75.33</v>
      </c>
      <c r="Q500" s="177">
        <v>71</v>
      </c>
      <c r="R500" s="40">
        <v>82</v>
      </c>
      <c r="S500" s="41">
        <v>64</v>
      </c>
      <c r="T500" s="42">
        <v>64</v>
      </c>
      <c r="U500" s="43">
        <v>59</v>
      </c>
      <c r="V500" s="44">
        <v>112</v>
      </c>
      <c r="W500" s="45">
        <f t="shared" si="149"/>
        <v>452</v>
      </c>
      <c r="X500" s="19">
        <f t="shared" si="150"/>
        <v>75.33</v>
      </c>
      <c r="Y500" s="3">
        <v>71</v>
      </c>
      <c r="Z500" s="4">
        <v>82</v>
      </c>
      <c r="AA500" s="5">
        <v>64</v>
      </c>
      <c r="AB500" s="6">
        <v>64</v>
      </c>
      <c r="AC500" s="7">
        <v>59</v>
      </c>
      <c r="AD500" s="8">
        <v>112</v>
      </c>
      <c r="AE500" s="1">
        <v>452</v>
      </c>
      <c r="AF500" s="19">
        <v>75.33</v>
      </c>
      <c r="AG500" s="139">
        <v>71</v>
      </c>
      <c r="AH500" s="140">
        <v>82</v>
      </c>
      <c r="AI500" s="141">
        <v>64</v>
      </c>
      <c r="AJ500" s="142">
        <v>64</v>
      </c>
      <c r="AK500" s="143">
        <v>59</v>
      </c>
      <c r="AL500" s="144">
        <v>112</v>
      </c>
      <c r="AM500" s="138">
        <v>452</v>
      </c>
      <c r="AN500" s="153">
        <v>75.33</v>
      </c>
      <c r="AW500" s="45"/>
      <c r="AX500" s="174" t="b">
        <f>IF('Refined Compare'!$D$2="All",TRUE,IF(F500='Refined Compare'!$D$2,TRUE,IF(G500='Refined Compare'!$D$2,TRUE,FALSE)))</f>
        <v>0</v>
      </c>
      <c r="AY500" s="174" t="b">
        <f>IF('Refined Compare'!$D$3="All",TRUE,IF(F500='Refined Compare'!$D$3,TRUE,IF(G500='Refined Compare'!$D$3,TRUE,FALSE)))</f>
        <v>1</v>
      </c>
      <c r="AZ500" s="174" t="b">
        <f t="shared" si="137"/>
        <v>1</v>
      </c>
    </row>
    <row r="501" spans="1:52" x14ac:dyDescent="0.35">
      <c r="A501">
        <f t="shared" si="138"/>
        <v>500</v>
      </c>
      <c r="B501" s="18">
        <v>433</v>
      </c>
      <c r="C501" s="61">
        <v>4</v>
      </c>
      <c r="D501" s="61" t="b">
        <v>0</v>
      </c>
      <c r="E501" s="61"/>
      <c r="F501" s="66" t="s">
        <v>817</v>
      </c>
      <c r="G501" s="66" t="s">
        <v>827</v>
      </c>
      <c r="H501" s="38" t="s">
        <v>191</v>
      </c>
      <c r="I501" s="39">
        <f t="shared" si="139"/>
        <v>45</v>
      </c>
      <c r="J501" s="40">
        <f t="shared" si="140"/>
        <v>30</v>
      </c>
      <c r="K501" s="41">
        <f t="shared" si="141"/>
        <v>50</v>
      </c>
      <c r="L501" s="42">
        <f t="shared" si="142"/>
        <v>65</v>
      </c>
      <c r="M501" s="43">
        <f t="shared" si="143"/>
        <v>50</v>
      </c>
      <c r="N501" s="44">
        <f t="shared" si="144"/>
        <v>45</v>
      </c>
      <c r="O501" s="45">
        <f t="shared" si="145"/>
        <v>285</v>
      </c>
      <c r="P501" s="19">
        <f t="shared" si="146"/>
        <v>47.5</v>
      </c>
      <c r="Q501" s="177">
        <v>45</v>
      </c>
      <c r="R501" s="40">
        <v>30</v>
      </c>
      <c r="S501" s="41">
        <v>50</v>
      </c>
      <c r="T501" s="42">
        <v>65</v>
      </c>
      <c r="U501" s="43">
        <v>50</v>
      </c>
      <c r="V501" s="44">
        <v>45</v>
      </c>
      <c r="W501" s="45">
        <f t="shared" si="149"/>
        <v>285</v>
      </c>
      <c r="X501" s="19">
        <f t="shared" si="150"/>
        <v>47.5</v>
      </c>
      <c r="Y501" s="3">
        <v>45</v>
      </c>
      <c r="Z501" s="4">
        <v>30</v>
      </c>
      <c r="AA501" s="5">
        <v>50</v>
      </c>
      <c r="AB501" s="6">
        <v>65</v>
      </c>
      <c r="AC501" s="7">
        <v>50</v>
      </c>
      <c r="AD501" s="8">
        <v>45</v>
      </c>
      <c r="AE501" s="1">
        <v>285</v>
      </c>
      <c r="AF501" s="19">
        <v>47.5</v>
      </c>
      <c r="AG501" s="139">
        <v>45</v>
      </c>
      <c r="AH501" s="140">
        <v>30</v>
      </c>
      <c r="AI501" s="141">
        <v>50</v>
      </c>
      <c r="AJ501" s="142">
        <v>65</v>
      </c>
      <c r="AK501" s="143">
        <v>50</v>
      </c>
      <c r="AL501" s="144">
        <v>45</v>
      </c>
      <c r="AM501" s="138">
        <v>285</v>
      </c>
      <c r="AN501" s="153">
        <v>47.5</v>
      </c>
      <c r="AW501" s="45"/>
      <c r="AX501" s="174" t="b">
        <f>IF('Refined Compare'!$D$2="All",TRUE,IF(F501='Refined Compare'!$D$2,TRUE,IF(G501='Refined Compare'!$D$2,TRUE,FALSE)))</f>
        <v>0</v>
      </c>
      <c r="AY501" s="174" t="b">
        <f>IF('Refined Compare'!$D$3="All",TRUE,IF(F501='Refined Compare'!$D$3,TRUE,IF(G501='Refined Compare'!$D$3,TRUE,FALSE)))</f>
        <v>1</v>
      </c>
      <c r="AZ501" s="174" t="b">
        <f t="shared" si="137"/>
        <v>1</v>
      </c>
    </row>
    <row r="502" spans="1:52" x14ac:dyDescent="0.35">
      <c r="A502">
        <f t="shared" si="138"/>
        <v>501</v>
      </c>
      <c r="B502" s="18">
        <v>434</v>
      </c>
      <c r="C502" s="61">
        <v>4</v>
      </c>
      <c r="D502" s="61" t="b">
        <v>0</v>
      </c>
      <c r="E502" s="61"/>
      <c r="F502" s="66" t="s">
        <v>807</v>
      </c>
      <c r="G502" s="66" t="s">
        <v>823</v>
      </c>
      <c r="H502" s="38" t="s">
        <v>467</v>
      </c>
      <c r="I502" s="39">
        <f t="shared" si="139"/>
        <v>63</v>
      </c>
      <c r="J502" s="40">
        <f t="shared" si="140"/>
        <v>63</v>
      </c>
      <c r="K502" s="41">
        <f t="shared" si="141"/>
        <v>47</v>
      </c>
      <c r="L502" s="42">
        <f t="shared" si="142"/>
        <v>41</v>
      </c>
      <c r="M502" s="43">
        <f t="shared" si="143"/>
        <v>41</v>
      </c>
      <c r="N502" s="44">
        <f t="shared" si="144"/>
        <v>74</v>
      </c>
      <c r="O502" s="45">
        <f t="shared" si="145"/>
        <v>329</v>
      </c>
      <c r="P502" s="19">
        <f t="shared" si="146"/>
        <v>54.83</v>
      </c>
      <c r="Q502" s="177">
        <v>63</v>
      </c>
      <c r="R502" s="40">
        <v>63</v>
      </c>
      <c r="S502" s="41">
        <v>47</v>
      </c>
      <c r="T502" s="42">
        <v>41</v>
      </c>
      <c r="U502" s="43">
        <v>41</v>
      </c>
      <c r="V502" s="44">
        <v>74</v>
      </c>
      <c r="W502" s="45">
        <f t="shared" si="149"/>
        <v>329</v>
      </c>
      <c r="X502" s="19">
        <f t="shared" si="150"/>
        <v>54.83</v>
      </c>
      <c r="Y502" s="3">
        <v>63</v>
      </c>
      <c r="Z502" s="4">
        <v>63</v>
      </c>
      <c r="AA502" s="5">
        <v>47</v>
      </c>
      <c r="AB502" s="6">
        <v>41</v>
      </c>
      <c r="AC502" s="7">
        <v>41</v>
      </c>
      <c r="AD502" s="8">
        <v>74</v>
      </c>
      <c r="AE502" s="1">
        <v>329</v>
      </c>
      <c r="AF502" s="19">
        <v>54.83</v>
      </c>
      <c r="AG502" s="139">
        <v>63</v>
      </c>
      <c r="AH502" s="140">
        <v>63</v>
      </c>
      <c r="AI502" s="141">
        <v>47</v>
      </c>
      <c r="AJ502" s="142">
        <v>41</v>
      </c>
      <c r="AK502" s="143">
        <v>41</v>
      </c>
      <c r="AL502" s="144">
        <v>74</v>
      </c>
      <c r="AM502" s="138">
        <v>329</v>
      </c>
      <c r="AN502" s="153">
        <v>54.83</v>
      </c>
      <c r="AW502" s="45"/>
      <c r="AX502" s="174" t="b">
        <f>IF('Refined Compare'!$D$2="All",TRUE,IF(F502='Refined Compare'!$D$2,TRUE,IF(G502='Refined Compare'!$D$2,TRUE,FALSE)))</f>
        <v>1</v>
      </c>
      <c r="AY502" s="174" t="b">
        <f>IF('Refined Compare'!$D$3="All",TRUE,IF(F502='Refined Compare'!$D$3,TRUE,IF(G502='Refined Compare'!$D$3,TRUE,FALSE)))</f>
        <v>0</v>
      </c>
      <c r="AZ502" s="174" t="b">
        <f t="shared" si="137"/>
        <v>1</v>
      </c>
    </row>
    <row r="503" spans="1:52" x14ac:dyDescent="0.35">
      <c r="A503">
        <f t="shared" si="138"/>
        <v>502</v>
      </c>
      <c r="B503" s="18">
        <v>435</v>
      </c>
      <c r="C503" s="61">
        <v>4</v>
      </c>
      <c r="D503" s="118" t="b">
        <v>1</v>
      </c>
      <c r="E503" s="61"/>
      <c r="F503" s="66" t="s">
        <v>807</v>
      </c>
      <c r="G503" s="66" t="s">
        <v>823</v>
      </c>
      <c r="H503" s="38" t="s">
        <v>537</v>
      </c>
      <c r="I503" s="39">
        <f t="shared" si="139"/>
        <v>103</v>
      </c>
      <c r="J503" s="40">
        <f t="shared" si="140"/>
        <v>93</v>
      </c>
      <c r="K503" s="41">
        <f t="shared" si="141"/>
        <v>67</v>
      </c>
      <c r="L503" s="42">
        <f t="shared" si="142"/>
        <v>71</v>
      </c>
      <c r="M503" s="43">
        <f t="shared" si="143"/>
        <v>61</v>
      </c>
      <c r="N503" s="44">
        <f t="shared" si="144"/>
        <v>84</v>
      </c>
      <c r="O503" s="45">
        <f t="shared" si="145"/>
        <v>479</v>
      </c>
      <c r="P503" s="19">
        <f t="shared" si="146"/>
        <v>79.83</v>
      </c>
      <c r="Q503" s="177">
        <v>103</v>
      </c>
      <c r="R503" s="40">
        <v>93</v>
      </c>
      <c r="S503" s="41">
        <v>67</v>
      </c>
      <c r="T503" s="42">
        <v>71</v>
      </c>
      <c r="U503" s="43">
        <v>61</v>
      </c>
      <c r="V503" s="44">
        <v>84</v>
      </c>
      <c r="W503" s="45">
        <f t="shared" si="149"/>
        <v>479</v>
      </c>
      <c r="X503" s="19">
        <f t="shared" si="150"/>
        <v>79.83</v>
      </c>
      <c r="Y503" s="3">
        <v>103</v>
      </c>
      <c r="Z503" s="4">
        <v>93</v>
      </c>
      <c r="AA503" s="5">
        <v>67</v>
      </c>
      <c r="AB503" s="6">
        <v>71</v>
      </c>
      <c r="AC503" s="7">
        <v>61</v>
      </c>
      <c r="AD503" s="8">
        <v>84</v>
      </c>
      <c r="AE503" s="1">
        <v>479</v>
      </c>
      <c r="AF503" s="19">
        <v>79.83</v>
      </c>
      <c r="AG503" s="139">
        <v>103</v>
      </c>
      <c r="AH503" s="140">
        <v>93</v>
      </c>
      <c r="AI503" s="141">
        <v>67</v>
      </c>
      <c r="AJ503" s="142">
        <v>71</v>
      </c>
      <c r="AK503" s="143">
        <v>61</v>
      </c>
      <c r="AL503" s="144">
        <v>84</v>
      </c>
      <c r="AM503" s="138">
        <v>479</v>
      </c>
      <c r="AN503" s="153">
        <v>79.83</v>
      </c>
      <c r="AW503" s="45"/>
      <c r="AX503" s="174" t="b">
        <f>IF('Refined Compare'!$D$2="All",TRUE,IF(F503='Refined Compare'!$D$2,TRUE,IF(G503='Refined Compare'!$D$2,TRUE,FALSE)))</f>
        <v>1</v>
      </c>
      <c r="AY503" s="174" t="b">
        <f>IF('Refined Compare'!$D$3="All",TRUE,IF(F503='Refined Compare'!$D$3,TRUE,IF(G503='Refined Compare'!$D$3,TRUE,FALSE)))</f>
        <v>0</v>
      </c>
      <c r="AZ503" s="174" t="b">
        <f t="shared" si="137"/>
        <v>1</v>
      </c>
    </row>
    <row r="504" spans="1:52" x14ac:dyDescent="0.35">
      <c r="A504">
        <f t="shared" si="138"/>
        <v>503</v>
      </c>
      <c r="B504" s="18">
        <v>436</v>
      </c>
      <c r="C504" s="61">
        <v>4</v>
      </c>
      <c r="D504" s="61" t="b">
        <v>0</v>
      </c>
      <c r="E504" s="61"/>
      <c r="F504" s="66" t="s">
        <v>819</v>
      </c>
      <c r="G504" s="66" t="s">
        <v>817</v>
      </c>
      <c r="H504" s="38" t="s">
        <v>32</v>
      </c>
      <c r="I504" s="39">
        <f t="shared" si="139"/>
        <v>57</v>
      </c>
      <c r="J504" s="40">
        <f t="shared" si="140"/>
        <v>24</v>
      </c>
      <c r="K504" s="41">
        <f t="shared" si="141"/>
        <v>86</v>
      </c>
      <c r="L504" s="42">
        <f t="shared" si="142"/>
        <v>24</v>
      </c>
      <c r="M504" s="43">
        <f t="shared" si="143"/>
        <v>86</v>
      </c>
      <c r="N504" s="44">
        <f t="shared" si="144"/>
        <v>23</v>
      </c>
      <c r="O504" s="45">
        <f t="shared" si="145"/>
        <v>300</v>
      </c>
      <c r="P504" s="19">
        <f t="shared" si="146"/>
        <v>50</v>
      </c>
      <c r="Q504" s="177">
        <v>57</v>
      </c>
      <c r="R504" s="40">
        <v>24</v>
      </c>
      <c r="S504" s="41">
        <v>86</v>
      </c>
      <c r="T504" s="42">
        <v>24</v>
      </c>
      <c r="U504" s="43">
        <v>86</v>
      </c>
      <c r="V504" s="44">
        <v>23</v>
      </c>
      <c r="W504" s="45">
        <f t="shared" si="149"/>
        <v>300</v>
      </c>
      <c r="X504" s="19">
        <f t="shared" si="150"/>
        <v>50</v>
      </c>
      <c r="Y504" s="3">
        <v>57</v>
      </c>
      <c r="Z504" s="4">
        <v>24</v>
      </c>
      <c r="AA504" s="5">
        <v>86</v>
      </c>
      <c r="AB504" s="6">
        <v>24</v>
      </c>
      <c r="AC504" s="7">
        <v>86</v>
      </c>
      <c r="AD504" s="8">
        <v>23</v>
      </c>
      <c r="AE504" s="1">
        <v>300</v>
      </c>
      <c r="AF504" s="19">
        <v>50</v>
      </c>
      <c r="AG504" s="139">
        <v>57</v>
      </c>
      <c r="AH504" s="140">
        <v>24</v>
      </c>
      <c r="AI504" s="141">
        <v>86</v>
      </c>
      <c r="AJ504" s="142">
        <v>24</v>
      </c>
      <c r="AK504" s="143">
        <v>86</v>
      </c>
      <c r="AL504" s="144">
        <v>23</v>
      </c>
      <c r="AM504" s="138">
        <v>300</v>
      </c>
      <c r="AN504" s="153">
        <v>50</v>
      </c>
      <c r="AW504" s="45"/>
      <c r="AX504" s="174" t="b">
        <f>IF('Refined Compare'!$D$2="All",TRUE,IF(F504='Refined Compare'!$D$2,TRUE,IF(G504='Refined Compare'!$D$2,TRUE,FALSE)))</f>
        <v>0</v>
      </c>
      <c r="AY504" s="174" t="b">
        <f>IF('Refined Compare'!$D$3="All",TRUE,IF(F504='Refined Compare'!$D$3,TRUE,IF(G504='Refined Compare'!$D$3,TRUE,FALSE)))</f>
        <v>0</v>
      </c>
      <c r="AZ504" s="174" t="b">
        <f t="shared" si="137"/>
        <v>1</v>
      </c>
    </row>
    <row r="505" spans="1:52" x14ac:dyDescent="0.35">
      <c r="A505">
        <f t="shared" si="138"/>
        <v>504</v>
      </c>
      <c r="B505" s="18">
        <v>437</v>
      </c>
      <c r="C505" s="61">
        <v>4</v>
      </c>
      <c r="D505" s="118" t="b">
        <v>1</v>
      </c>
      <c r="E505" s="61"/>
      <c r="F505" s="66" t="s">
        <v>819</v>
      </c>
      <c r="G505" s="66" t="s">
        <v>817</v>
      </c>
      <c r="H505" s="38" t="s">
        <v>93</v>
      </c>
      <c r="I505" s="39">
        <f t="shared" si="139"/>
        <v>67</v>
      </c>
      <c r="J505" s="40">
        <f t="shared" si="140"/>
        <v>89</v>
      </c>
      <c r="K505" s="41">
        <f t="shared" si="141"/>
        <v>116</v>
      </c>
      <c r="L505" s="42">
        <f t="shared" si="142"/>
        <v>79</v>
      </c>
      <c r="M505" s="43">
        <f t="shared" si="143"/>
        <v>116</v>
      </c>
      <c r="N505" s="44">
        <f t="shared" si="144"/>
        <v>33</v>
      </c>
      <c r="O505" s="45">
        <f t="shared" si="145"/>
        <v>500</v>
      </c>
      <c r="P505" s="19">
        <f t="shared" si="146"/>
        <v>83.33</v>
      </c>
      <c r="Q505" s="177">
        <v>67</v>
      </c>
      <c r="R505" s="40">
        <v>89</v>
      </c>
      <c r="S505" s="41">
        <v>116</v>
      </c>
      <c r="T505" s="42">
        <v>79</v>
      </c>
      <c r="U505" s="43">
        <v>116</v>
      </c>
      <c r="V505" s="44">
        <v>33</v>
      </c>
      <c r="W505" s="45">
        <f t="shared" si="149"/>
        <v>500</v>
      </c>
      <c r="X505" s="19">
        <f t="shared" si="150"/>
        <v>83.33</v>
      </c>
      <c r="Y505" s="3">
        <v>67</v>
      </c>
      <c r="Z505" s="4">
        <v>89</v>
      </c>
      <c r="AA505" s="5">
        <v>116</v>
      </c>
      <c r="AB505" s="6">
        <v>79</v>
      </c>
      <c r="AC505" s="7">
        <v>116</v>
      </c>
      <c r="AD505" s="8">
        <v>33</v>
      </c>
      <c r="AE505" s="1">
        <v>500</v>
      </c>
      <c r="AF505" s="19">
        <v>83.33</v>
      </c>
      <c r="AG505" s="139">
        <v>67</v>
      </c>
      <c r="AH505" s="140">
        <v>89</v>
      </c>
      <c r="AI505" s="141">
        <v>116</v>
      </c>
      <c r="AJ505" s="142">
        <v>79</v>
      </c>
      <c r="AK505" s="143">
        <v>116</v>
      </c>
      <c r="AL505" s="144">
        <v>33</v>
      </c>
      <c r="AM505" s="138">
        <v>500</v>
      </c>
      <c r="AN505" s="153">
        <v>83.33</v>
      </c>
      <c r="AW505" s="45"/>
      <c r="AX505" s="174" t="b">
        <f>IF('Refined Compare'!$D$2="All",TRUE,IF(F505='Refined Compare'!$D$2,TRUE,IF(G505='Refined Compare'!$D$2,TRUE,FALSE)))</f>
        <v>0</v>
      </c>
      <c r="AY505" s="174" t="b">
        <f>IF('Refined Compare'!$D$3="All",TRUE,IF(F505='Refined Compare'!$D$3,TRUE,IF(G505='Refined Compare'!$D$3,TRUE,FALSE)))</f>
        <v>0</v>
      </c>
      <c r="AZ505" s="174" t="b">
        <f t="shared" si="137"/>
        <v>1</v>
      </c>
    </row>
    <row r="506" spans="1:52" x14ac:dyDescent="0.35">
      <c r="A506">
        <f t="shared" si="138"/>
        <v>505</v>
      </c>
      <c r="B506" s="18">
        <v>438</v>
      </c>
      <c r="C506" s="61">
        <v>4</v>
      </c>
      <c r="D506" s="61" t="b">
        <v>0</v>
      </c>
      <c r="E506" s="61"/>
      <c r="F506" s="66" t="s">
        <v>818</v>
      </c>
      <c r="G506" s="66" t="s">
        <v>827</v>
      </c>
      <c r="H506" s="38" t="s">
        <v>3</v>
      </c>
      <c r="I506" s="39">
        <f t="shared" si="139"/>
        <v>50</v>
      </c>
      <c r="J506" s="40">
        <f t="shared" si="140"/>
        <v>80</v>
      </c>
      <c r="K506" s="41">
        <f t="shared" si="141"/>
        <v>95</v>
      </c>
      <c r="L506" s="42">
        <f t="shared" si="142"/>
        <v>10</v>
      </c>
      <c r="M506" s="43">
        <f t="shared" si="143"/>
        <v>45</v>
      </c>
      <c r="N506" s="44">
        <f t="shared" si="144"/>
        <v>10</v>
      </c>
      <c r="O506" s="45">
        <f t="shared" si="145"/>
        <v>290</v>
      </c>
      <c r="P506" s="19">
        <f t="shared" si="146"/>
        <v>48.33</v>
      </c>
      <c r="Q506" s="177">
        <v>50</v>
      </c>
      <c r="R506" s="40">
        <v>80</v>
      </c>
      <c r="S506" s="41">
        <v>95</v>
      </c>
      <c r="T506" s="42">
        <v>10</v>
      </c>
      <c r="U506" s="43">
        <v>45</v>
      </c>
      <c r="V506" s="44">
        <v>10</v>
      </c>
      <c r="W506" s="45">
        <f t="shared" si="149"/>
        <v>290</v>
      </c>
      <c r="X506" s="19">
        <f t="shared" si="150"/>
        <v>48.33</v>
      </c>
      <c r="Y506" s="3">
        <v>50</v>
      </c>
      <c r="Z506" s="4">
        <v>80</v>
      </c>
      <c r="AA506" s="5">
        <v>95</v>
      </c>
      <c r="AB506" s="6">
        <v>10</v>
      </c>
      <c r="AC506" s="7">
        <v>45</v>
      </c>
      <c r="AD506" s="8">
        <v>10</v>
      </c>
      <c r="AE506" s="1">
        <v>290</v>
      </c>
      <c r="AF506" s="19">
        <v>48.33</v>
      </c>
      <c r="AG506" s="139">
        <v>50</v>
      </c>
      <c r="AH506" s="140">
        <v>80</v>
      </c>
      <c r="AI506" s="141">
        <v>95</v>
      </c>
      <c r="AJ506" s="142">
        <v>10</v>
      </c>
      <c r="AK506" s="143">
        <v>45</v>
      </c>
      <c r="AL506" s="144">
        <v>10</v>
      </c>
      <c r="AM506" s="138">
        <v>290</v>
      </c>
      <c r="AN506" s="153">
        <v>48.33</v>
      </c>
      <c r="AW506" s="45"/>
      <c r="AX506" s="174" t="b">
        <f>IF('Refined Compare'!$D$2="All",TRUE,IF(F506='Refined Compare'!$D$2,TRUE,IF(G506='Refined Compare'!$D$2,TRUE,FALSE)))</f>
        <v>0</v>
      </c>
      <c r="AY506" s="174" t="b">
        <f>IF('Refined Compare'!$D$3="All",TRUE,IF(F506='Refined Compare'!$D$3,TRUE,IF(G506='Refined Compare'!$D$3,TRUE,FALSE)))</f>
        <v>1</v>
      </c>
      <c r="AZ506" s="174" t="b">
        <f t="shared" si="137"/>
        <v>1</v>
      </c>
    </row>
    <row r="507" spans="1:52" x14ac:dyDescent="0.35">
      <c r="A507">
        <f t="shared" si="138"/>
        <v>506</v>
      </c>
      <c r="B507" s="18">
        <v>439</v>
      </c>
      <c r="C507" s="61">
        <v>4</v>
      </c>
      <c r="D507" s="61" t="b">
        <v>0</v>
      </c>
      <c r="E507" s="61"/>
      <c r="F507" s="66" t="s">
        <v>817</v>
      </c>
      <c r="G507" s="66" t="str">
        <f>IF($AW$2&lt;6,"Single type","Fairy")</f>
        <v>Single type</v>
      </c>
      <c r="H507" s="38" t="s">
        <v>337</v>
      </c>
      <c r="I507" s="39">
        <f t="shared" si="139"/>
        <v>20</v>
      </c>
      <c r="J507" s="40">
        <f t="shared" si="140"/>
        <v>25</v>
      </c>
      <c r="K507" s="41">
        <f t="shared" si="141"/>
        <v>45</v>
      </c>
      <c r="L507" s="42">
        <f t="shared" si="142"/>
        <v>70</v>
      </c>
      <c r="M507" s="43">
        <f t="shared" si="143"/>
        <v>90</v>
      </c>
      <c r="N507" s="44">
        <f t="shared" si="144"/>
        <v>60</v>
      </c>
      <c r="O507" s="45">
        <f t="shared" si="145"/>
        <v>310</v>
      </c>
      <c r="P507" s="19">
        <f t="shared" si="146"/>
        <v>51.67</v>
      </c>
      <c r="Q507" s="177">
        <v>20</v>
      </c>
      <c r="R507" s="40">
        <v>25</v>
      </c>
      <c r="S507" s="41">
        <v>45</v>
      </c>
      <c r="T507" s="42">
        <v>70</v>
      </c>
      <c r="U507" s="43">
        <v>90</v>
      </c>
      <c r="V507" s="44">
        <v>60</v>
      </c>
      <c r="W507" s="45">
        <f t="shared" si="149"/>
        <v>310</v>
      </c>
      <c r="X507" s="19">
        <f t="shared" si="150"/>
        <v>51.67</v>
      </c>
      <c r="Y507" s="3">
        <v>20</v>
      </c>
      <c r="Z507" s="4">
        <v>25</v>
      </c>
      <c r="AA507" s="5">
        <v>45</v>
      </c>
      <c r="AB507" s="6">
        <v>70</v>
      </c>
      <c r="AC507" s="7">
        <v>90</v>
      </c>
      <c r="AD507" s="8">
        <v>60</v>
      </c>
      <c r="AE507" s="1">
        <v>310</v>
      </c>
      <c r="AF507" s="19">
        <v>51.67</v>
      </c>
      <c r="AG507" s="139">
        <v>20</v>
      </c>
      <c r="AH507" s="140">
        <v>25</v>
      </c>
      <c r="AI507" s="141">
        <v>45</v>
      </c>
      <c r="AJ507" s="142">
        <v>70</v>
      </c>
      <c r="AK507" s="143">
        <v>90</v>
      </c>
      <c r="AL507" s="144">
        <v>60</v>
      </c>
      <c r="AM507" s="138">
        <v>310</v>
      </c>
      <c r="AN507" s="153">
        <v>51.67</v>
      </c>
      <c r="AW507" s="45"/>
      <c r="AX507" s="174" t="b">
        <f>IF('Refined Compare'!$D$2="All",TRUE,IF(F507='Refined Compare'!$D$2,TRUE,IF(G507='Refined Compare'!$D$2,TRUE,FALSE)))</f>
        <v>0</v>
      </c>
      <c r="AY507" s="174" t="b">
        <f>IF('Refined Compare'!$D$3="All",TRUE,IF(F507='Refined Compare'!$D$3,TRUE,IF(G507='Refined Compare'!$D$3,TRUE,FALSE)))</f>
        <v>1</v>
      </c>
      <c r="AZ507" s="174" t="b">
        <f t="shared" si="137"/>
        <v>1</v>
      </c>
    </row>
    <row r="508" spans="1:52" x14ac:dyDescent="0.35">
      <c r="A508">
        <f t="shared" si="138"/>
        <v>507</v>
      </c>
      <c r="B508" s="18">
        <v>440</v>
      </c>
      <c r="C508" s="61">
        <v>4</v>
      </c>
      <c r="D508" s="61" t="b">
        <v>0</v>
      </c>
      <c r="E508" s="61"/>
      <c r="F508" s="66" t="s">
        <v>812</v>
      </c>
      <c r="G508" s="66" t="s">
        <v>827</v>
      </c>
      <c r="H508" s="38" t="s">
        <v>76</v>
      </c>
      <c r="I508" s="39">
        <f t="shared" si="139"/>
        <v>100</v>
      </c>
      <c r="J508" s="40">
        <f t="shared" si="140"/>
        <v>5</v>
      </c>
      <c r="K508" s="41">
        <f t="shared" si="141"/>
        <v>5</v>
      </c>
      <c r="L508" s="42">
        <f t="shared" si="142"/>
        <v>15</v>
      </c>
      <c r="M508" s="43">
        <f t="shared" si="143"/>
        <v>65</v>
      </c>
      <c r="N508" s="44">
        <f t="shared" si="144"/>
        <v>30</v>
      </c>
      <c r="O508" s="45">
        <f t="shared" si="145"/>
        <v>220</v>
      </c>
      <c r="P508" s="19">
        <f t="shared" si="146"/>
        <v>36.67</v>
      </c>
      <c r="Q508" s="177">
        <v>100</v>
      </c>
      <c r="R508" s="40">
        <v>5</v>
      </c>
      <c r="S508" s="41">
        <v>5</v>
      </c>
      <c r="T508" s="42">
        <v>15</v>
      </c>
      <c r="U508" s="43">
        <v>65</v>
      </c>
      <c r="V508" s="44">
        <v>30</v>
      </c>
      <c r="W508" s="45">
        <f t="shared" si="149"/>
        <v>220</v>
      </c>
      <c r="X508" s="19">
        <f t="shared" si="150"/>
        <v>36.67</v>
      </c>
      <c r="Y508" s="3">
        <v>100</v>
      </c>
      <c r="Z508" s="4">
        <v>5</v>
      </c>
      <c r="AA508" s="5">
        <v>5</v>
      </c>
      <c r="AB508" s="6">
        <v>15</v>
      </c>
      <c r="AC508" s="7">
        <v>65</v>
      </c>
      <c r="AD508" s="8">
        <v>30</v>
      </c>
      <c r="AE508" s="1">
        <v>220</v>
      </c>
      <c r="AF508" s="19">
        <v>36.67</v>
      </c>
      <c r="AG508" s="139">
        <v>100</v>
      </c>
      <c r="AH508" s="140">
        <v>5</v>
      </c>
      <c r="AI508" s="141">
        <v>5</v>
      </c>
      <c r="AJ508" s="142">
        <v>15</v>
      </c>
      <c r="AK508" s="143">
        <v>65</v>
      </c>
      <c r="AL508" s="144">
        <v>30</v>
      </c>
      <c r="AM508" s="138">
        <v>220</v>
      </c>
      <c r="AN508" s="153">
        <v>36.67</v>
      </c>
      <c r="AW508" s="45"/>
      <c r="AX508" s="174" t="b">
        <f>IF('Refined Compare'!$D$2="All",TRUE,IF(F508='Refined Compare'!$D$2,TRUE,IF(G508='Refined Compare'!$D$2,TRUE,FALSE)))</f>
        <v>0</v>
      </c>
      <c r="AY508" s="174" t="b">
        <f>IF('Refined Compare'!$D$3="All",TRUE,IF(F508='Refined Compare'!$D$3,TRUE,IF(G508='Refined Compare'!$D$3,TRUE,FALSE)))</f>
        <v>1</v>
      </c>
      <c r="AZ508" s="174" t="b">
        <f t="shared" si="137"/>
        <v>1</v>
      </c>
    </row>
    <row r="509" spans="1:52" x14ac:dyDescent="0.35">
      <c r="A509">
        <f t="shared" si="138"/>
        <v>508</v>
      </c>
      <c r="B509" s="18">
        <v>441</v>
      </c>
      <c r="C509" s="61">
        <v>4</v>
      </c>
      <c r="D509" s="118" t="b">
        <v>1</v>
      </c>
      <c r="E509" s="61"/>
      <c r="F509" s="66" t="s">
        <v>812</v>
      </c>
      <c r="G509" s="66" t="s">
        <v>809</v>
      </c>
      <c r="H509" s="38" t="s">
        <v>606</v>
      </c>
      <c r="I509" s="39">
        <f t="shared" si="139"/>
        <v>76</v>
      </c>
      <c r="J509" s="40">
        <f t="shared" si="140"/>
        <v>65</v>
      </c>
      <c r="K509" s="41">
        <f t="shared" si="141"/>
        <v>45</v>
      </c>
      <c r="L509" s="42">
        <f t="shared" si="142"/>
        <v>92</v>
      </c>
      <c r="M509" s="43">
        <f t="shared" si="143"/>
        <v>42</v>
      </c>
      <c r="N509" s="44">
        <f t="shared" si="144"/>
        <v>91</v>
      </c>
      <c r="O509" s="45">
        <f t="shared" si="145"/>
        <v>411</v>
      </c>
      <c r="P509" s="19">
        <f t="shared" si="146"/>
        <v>68.5</v>
      </c>
      <c r="Q509" s="177">
        <v>76</v>
      </c>
      <c r="R509" s="40">
        <v>65</v>
      </c>
      <c r="S509" s="41">
        <v>45</v>
      </c>
      <c r="T509" s="42">
        <v>92</v>
      </c>
      <c r="U509" s="43">
        <v>42</v>
      </c>
      <c r="V509" s="44">
        <v>91</v>
      </c>
      <c r="W509" s="45">
        <f t="shared" si="149"/>
        <v>411</v>
      </c>
      <c r="X509" s="19">
        <f t="shared" si="150"/>
        <v>68.5</v>
      </c>
      <c r="Y509" s="3">
        <v>76</v>
      </c>
      <c r="Z509" s="4">
        <v>65</v>
      </c>
      <c r="AA509" s="5">
        <v>45</v>
      </c>
      <c r="AB509" s="6">
        <v>92</v>
      </c>
      <c r="AC509" s="7">
        <v>42</v>
      </c>
      <c r="AD509" s="8">
        <v>91</v>
      </c>
      <c r="AE509" s="1">
        <v>411</v>
      </c>
      <c r="AF509" s="19">
        <v>68.5</v>
      </c>
      <c r="AG509" s="139">
        <v>76</v>
      </c>
      <c r="AH509" s="140">
        <v>65</v>
      </c>
      <c r="AI509" s="141">
        <v>45</v>
      </c>
      <c r="AJ509" s="142">
        <v>92</v>
      </c>
      <c r="AK509" s="143">
        <v>42</v>
      </c>
      <c r="AL509" s="144">
        <v>91</v>
      </c>
      <c r="AM509" s="138">
        <v>411</v>
      </c>
      <c r="AN509" s="153">
        <v>68.5</v>
      </c>
      <c r="AW509" s="45"/>
      <c r="AX509" s="174" t="b">
        <f>IF('Refined Compare'!$D$2="All",TRUE,IF(F509='Refined Compare'!$D$2,TRUE,IF(G509='Refined Compare'!$D$2,TRUE,FALSE)))</f>
        <v>0</v>
      </c>
      <c r="AY509" s="174" t="b">
        <f>IF('Refined Compare'!$D$3="All",TRUE,IF(F509='Refined Compare'!$D$3,TRUE,IF(G509='Refined Compare'!$D$3,TRUE,FALSE)))</f>
        <v>0</v>
      </c>
      <c r="AZ509" s="174" t="b">
        <f t="shared" si="137"/>
        <v>1</v>
      </c>
    </row>
    <row r="510" spans="1:52" x14ac:dyDescent="0.35">
      <c r="A510">
        <f t="shared" si="138"/>
        <v>509</v>
      </c>
      <c r="B510" s="18">
        <v>442</v>
      </c>
      <c r="C510" s="61">
        <v>4</v>
      </c>
      <c r="D510" s="118" t="b">
        <v>1</v>
      </c>
      <c r="E510" s="61"/>
      <c r="F510" s="66" t="s">
        <v>821</v>
      </c>
      <c r="G510" s="66" t="s">
        <v>823</v>
      </c>
      <c r="H510" s="38" t="s">
        <v>112</v>
      </c>
      <c r="I510" s="39">
        <f t="shared" si="139"/>
        <v>50</v>
      </c>
      <c r="J510" s="40">
        <f t="shared" si="140"/>
        <v>92</v>
      </c>
      <c r="K510" s="41">
        <f t="shared" si="141"/>
        <v>108</v>
      </c>
      <c r="L510" s="42">
        <f t="shared" si="142"/>
        <v>92</v>
      </c>
      <c r="M510" s="43">
        <f t="shared" si="143"/>
        <v>108</v>
      </c>
      <c r="N510" s="44">
        <f t="shared" si="144"/>
        <v>35</v>
      </c>
      <c r="O510" s="45">
        <f t="shared" si="145"/>
        <v>485</v>
      </c>
      <c r="P510" s="19">
        <f t="shared" si="146"/>
        <v>80.83</v>
      </c>
      <c r="Q510" s="177">
        <v>50</v>
      </c>
      <c r="R510" s="40">
        <v>92</v>
      </c>
      <c r="S510" s="41">
        <v>108</v>
      </c>
      <c r="T510" s="42">
        <v>92</v>
      </c>
      <c r="U510" s="43">
        <v>108</v>
      </c>
      <c r="V510" s="44">
        <v>35</v>
      </c>
      <c r="W510" s="45">
        <f t="shared" si="149"/>
        <v>485</v>
      </c>
      <c r="X510" s="19">
        <f t="shared" si="150"/>
        <v>80.83</v>
      </c>
      <c r="Y510" s="3">
        <v>50</v>
      </c>
      <c r="Z510" s="4">
        <v>92</v>
      </c>
      <c r="AA510" s="5">
        <v>108</v>
      </c>
      <c r="AB510" s="6">
        <v>92</v>
      </c>
      <c r="AC510" s="7">
        <v>108</v>
      </c>
      <c r="AD510" s="8">
        <v>35</v>
      </c>
      <c r="AE510" s="1">
        <v>485</v>
      </c>
      <c r="AF510" s="19">
        <v>80.83</v>
      </c>
      <c r="AG510" s="139">
        <v>50</v>
      </c>
      <c r="AH510" s="140">
        <v>92</v>
      </c>
      <c r="AI510" s="141">
        <v>108</v>
      </c>
      <c r="AJ510" s="142">
        <v>92</v>
      </c>
      <c r="AK510" s="143">
        <v>108</v>
      </c>
      <c r="AL510" s="144">
        <v>35</v>
      </c>
      <c r="AM510" s="138">
        <v>485</v>
      </c>
      <c r="AN510" s="153">
        <v>80.83</v>
      </c>
      <c r="AW510" s="45"/>
      <c r="AX510" s="174" t="b">
        <f>IF('Refined Compare'!$D$2="All",TRUE,IF(F510='Refined Compare'!$D$2,TRUE,IF(G510='Refined Compare'!$D$2,TRUE,FALSE)))</f>
        <v>1</v>
      </c>
      <c r="AY510" s="174" t="b">
        <f>IF('Refined Compare'!$D$3="All",TRUE,IF(F510='Refined Compare'!$D$3,TRUE,IF(G510='Refined Compare'!$D$3,TRUE,FALSE)))</f>
        <v>0</v>
      </c>
      <c r="AZ510" s="174" t="b">
        <f t="shared" si="137"/>
        <v>1</v>
      </c>
    </row>
    <row r="511" spans="1:52" x14ac:dyDescent="0.35">
      <c r="A511">
        <f t="shared" si="138"/>
        <v>510</v>
      </c>
      <c r="B511" s="18">
        <v>443</v>
      </c>
      <c r="C511" s="61">
        <v>4</v>
      </c>
      <c r="D511" s="61" t="b">
        <v>0</v>
      </c>
      <c r="E511" s="61"/>
      <c r="F511" s="66" t="s">
        <v>822</v>
      </c>
      <c r="G511" s="66" t="s">
        <v>814</v>
      </c>
      <c r="H511" s="38" t="s">
        <v>158</v>
      </c>
      <c r="I511" s="39">
        <f t="shared" si="139"/>
        <v>58</v>
      </c>
      <c r="J511" s="40">
        <f t="shared" si="140"/>
        <v>70</v>
      </c>
      <c r="K511" s="41">
        <f t="shared" si="141"/>
        <v>45</v>
      </c>
      <c r="L511" s="42">
        <f t="shared" si="142"/>
        <v>40</v>
      </c>
      <c r="M511" s="43">
        <f t="shared" si="143"/>
        <v>45</v>
      </c>
      <c r="N511" s="44">
        <f t="shared" si="144"/>
        <v>42</v>
      </c>
      <c r="O511" s="45">
        <f t="shared" si="145"/>
        <v>300</v>
      </c>
      <c r="P511" s="19">
        <f t="shared" si="146"/>
        <v>50</v>
      </c>
      <c r="Q511" s="177">
        <v>58</v>
      </c>
      <c r="R511" s="40">
        <v>70</v>
      </c>
      <c r="S511" s="41">
        <v>45</v>
      </c>
      <c r="T511" s="42">
        <v>40</v>
      </c>
      <c r="U511" s="43">
        <v>45</v>
      </c>
      <c r="V511" s="44">
        <v>42</v>
      </c>
      <c r="W511" s="45">
        <f t="shared" si="149"/>
        <v>300</v>
      </c>
      <c r="X511" s="19">
        <f t="shared" si="150"/>
        <v>50</v>
      </c>
      <c r="Y511" s="3">
        <v>58</v>
      </c>
      <c r="Z511" s="4">
        <v>70</v>
      </c>
      <c r="AA511" s="5">
        <v>45</v>
      </c>
      <c r="AB511" s="6">
        <v>40</v>
      </c>
      <c r="AC511" s="7">
        <v>45</v>
      </c>
      <c r="AD511" s="8">
        <v>42</v>
      </c>
      <c r="AE511" s="1">
        <v>300</v>
      </c>
      <c r="AF511" s="19">
        <v>50</v>
      </c>
      <c r="AG511" s="139">
        <v>58</v>
      </c>
      <c r="AH511" s="140">
        <v>70</v>
      </c>
      <c r="AI511" s="141">
        <v>45</v>
      </c>
      <c r="AJ511" s="142">
        <v>40</v>
      </c>
      <c r="AK511" s="143">
        <v>45</v>
      </c>
      <c r="AL511" s="144">
        <v>42</v>
      </c>
      <c r="AM511" s="138">
        <v>300</v>
      </c>
      <c r="AN511" s="153">
        <v>50</v>
      </c>
      <c r="AW511" s="45"/>
      <c r="AX511" s="174" t="b">
        <f>IF('Refined Compare'!$D$2="All",TRUE,IF(F511='Refined Compare'!$D$2,TRUE,IF(G511='Refined Compare'!$D$2,TRUE,FALSE)))</f>
        <v>0</v>
      </c>
      <c r="AY511" s="174" t="b">
        <f>IF('Refined Compare'!$D$3="All",TRUE,IF(F511='Refined Compare'!$D$3,TRUE,IF(G511='Refined Compare'!$D$3,TRUE,FALSE)))</f>
        <v>0</v>
      </c>
      <c r="AZ511" s="174" t="b">
        <f t="shared" si="137"/>
        <v>1</v>
      </c>
    </row>
    <row r="512" spans="1:52" x14ac:dyDescent="0.35">
      <c r="A512">
        <f t="shared" si="138"/>
        <v>511</v>
      </c>
      <c r="B512" s="18">
        <v>444</v>
      </c>
      <c r="C512" s="61">
        <v>4</v>
      </c>
      <c r="D512" s="61" t="b">
        <v>0</v>
      </c>
      <c r="E512" s="61"/>
      <c r="F512" s="66" t="s">
        <v>822</v>
      </c>
      <c r="G512" s="66" t="s">
        <v>814</v>
      </c>
      <c r="H512" s="38" t="s">
        <v>533</v>
      </c>
      <c r="I512" s="39">
        <f t="shared" si="139"/>
        <v>68</v>
      </c>
      <c r="J512" s="40">
        <f t="shared" si="140"/>
        <v>90</v>
      </c>
      <c r="K512" s="41">
        <f t="shared" si="141"/>
        <v>65</v>
      </c>
      <c r="L512" s="42">
        <f t="shared" si="142"/>
        <v>50</v>
      </c>
      <c r="M512" s="43">
        <f t="shared" si="143"/>
        <v>55</v>
      </c>
      <c r="N512" s="44">
        <f t="shared" si="144"/>
        <v>82</v>
      </c>
      <c r="O512" s="45">
        <f t="shared" si="145"/>
        <v>410</v>
      </c>
      <c r="P512" s="19">
        <f t="shared" si="146"/>
        <v>68.33</v>
      </c>
      <c r="Q512" s="177">
        <v>68</v>
      </c>
      <c r="R512" s="40">
        <v>90</v>
      </c>
      <c r="S512" s="41">
        <v>65</v>
      </c>
      <c r="T512" s="42">
        <v>50</v>
      </c>
      <c r="U512" s="43">
        <v>55</v>
      </c>
      <c r="V512" s="44">
        <v>82</v>
      </c>
      <c r="W512" s="45">
        <f t="shared" si="149"/>
        <v>410</v>
      </c>
      <c r="X512" s="19">
        <f t="shared" si="150"/>
        <v>68.33</v>
      </c>
      <c r="Y512" s="3">
        <v>68</v>
      </c>
      <c r="Z512" s="4">
        <v>90</v>
      </c>
      <c r="AA512" s="5">
        <v>65</v>
      </c>
      <c r="AB512" s="6">
        <v>50</v>
      </c>
      <c r="AC512" s="7">
        <v>55</v>
      </c>
      <c r="AD512" s="8">
        <v>82</v>
      </c>
      <c r="AE512" s="1">
        <v>410</v>
      </c>
      <c r="AF512" s="19">
        <v>68.33</v>
      </c>
      <c r="AG512" s="139">
        <v>68</v>
      </c>
      <c r="AH512" s="140">
        <v>90</v>
      </c>
      <c r="AI512" s="141">
        <v>65</v>
      </c>
      <c r="AJ512" s="142">
        <v>50</v>
      </c>
      <c r="AK512" s="143">
        <v>55</v>
      </c>
      <c r="AL512" s="144">
        <v>82</v>
      </c>
      <c r="AM512" s="138">
        <v>410</v>
      </c>
      <c r="AN512" s="153">
        <v>68.33</v>
      </c>
      <c r="AW512" s="45"/>
      <c r="AX512" s="174" t="b">
        <f>IF('Refined Compare'!$D$2="All",TRUE,IF(F512='Refined Compare'!$D$2,TRUE,IF(G512='Refined Compare'!$D$2,TRUE,FALSE)))</f>
        <v>0</v>
      </c>
      <c r="AY512" s="174" t="b">
        <f>IF('Refined Compare'!$D$3="All",TRUE,IF(F512='Refined Compare'!$D$3,TRUE,IF(G512='Refined Compare'!$D$3,TRUE,FALSE)))</f>
        <v>0</v>
      </c>
      <c r="AZ512" s="174" t="b">
        <f t="shared" si="137"/>
        <v>1</v>
      </c>
    </row>
    <row r="513" spans="1:52" x14ac:dyDescent="0.35">
      <c r="A513">
        <f t="shared" si="138"/>
        <v>512</v>
      </c>
      <c r="B513" s="18">
        <v>445</v>
      </c>
      <c r="C513" s="61">
        <v>4</v>
      </c>
      <c r="D513" s="61" t="b">
        <f>IF($AW$2&lt;6,TRUE,FALSE)</f>
        <v>1</v>
      </c>
      <c r="E513" s="61"/>
      <c r="F513" s="66" t="s">
        <v>822</v>
      </c>
      <c r="G513" s="66" t="s">
        <v>814</v>
      </c>
      <c r="H513" s="38" t="s">
        <v>688</v>
      </c>
      <c r="I513" s="39">
        <f t="shared" si="139"/>
        <v>108</v>
      </c>
      <c r="J513" s="40">
        <f t="shared" si="140"/>
        <v>130</v>
      </c>
      <c r="K513" s="41">
        <f t="shared" si="141"/>
        <v>95</v>
      </c>
      <c r="L513" s="42">
        <f t="shared" si="142"/>
        <v>80</v>
      </c>
      <c r="M513" s="43">
        <f t="shared" si="143"/>
        <v>85</v>
      </c>
      <c r="N513" s="44">
        <f t="shared" si="144"/>
        <v>102</v>
      </c>
      <c r="O513" s="45">
        <f t="shared" si="145"/>
        <v>600</v>
      </c>
      <c r="P513" s="19">
        <f t="shared" si="146"/>
        <v>100</v>
      </c>
      <c r="Q513" s="177">
        <v>108</v>
      </c>
      <c r="R513" s="40">
        <v>130</v>
      </c>
      <c r="S513" s="41">
        <v>95</v>
      </c>
      <c r="T513" s="42">
        <v>80</v>
      </c>
      <c r="U513" s="43">
        <v>85</v>
      </c>
      <c r="V513" s="44">
        <v>102</v>
      </c>
      <c r="W513" s="45">
        <f t="shared" si="149"/>
        <v>600</v>
      </c>
      <c r="X513" s="19">
        <f t="shared" si="150"/>
        <v>100</v>
      </c>
      <c r="Y513" s="3">
        <v>108</v>
      </c>
      <c r="Z513" s="4">
        <v>130</v>
      </c>
      <c r="AA513" s="5">
        <v>95</v>
      </c>
      <c r="AB513" s="6">
        <v>80</v>
      </c>
      <c r="AC513" s="7">
        <v>85</v>
      </c>
      <c r="AD513" s="8">
        <v>102</v>
      </c>
      <c r="AE513" s="1">
        <v>600</v>
      </c>
      <c r="AF513" s="19">
        <v>100</v>
      </c>
      <c r="AG513" s="139">
        <v>108</v>
      </c>
      <c r="AH513" s="140">
        <v>130</v>
      </c>
      <c r="AI513" s="141">
        <v>95</v>
      </c>
      <c r="AJ513" s="142">
        <v>80</v>
      </c>
      <c r="AK513" s="143">
        <v>85</v>
      </c>
      <c r="AL513" s="144">
        <v>102</v>
      </c>
      <c r="AM513" s="138">
        <v>600</v>
      </c>
      <c r="AN513" s="153">
        <v>100</v>
      </c>
      <c r="AW513" s="45"/>
      <c r="AX513" s="174" t="b">
        <f>IF('Refined Compare'!$D$2="All",TRUE,IF(F513='Refined Compare'!$D$2,TRUE,IF(G513='Refined Compare'!$D$2,TRUE,FALSE)))</f>
        <v>0</v>
      </c>
      <c r="AY513" s="174" t="b">
        <f>IF('Refined Compare'!$D$3="All",TRUE,IF(F513='Refined Compare'!$D$3,TRUE,IF(G513='Refined Compare'!$D$3,TRUE,FALSE)))</f>
        <v>0</v>
      </c>
      <c r="AZ513" s="174" t="b">
        <f t="shared" si="137"/>
        <v>1</v>
      </c>
    </row>
    <row r="514" spans="1:52" x14ac:dyDescent="0.35">
      <c r="A514">
        <f t="shared" si="138"/>
        <v>513</v>
      </c>
      <c r="B514" s="62">
        <v>445</v>
      </c>
      <c r="C514" s="61">
        <v>6</v>
      </c>
      <c r="D514" s="118" t="b">
        <f>IF(AZ514,TRUE,FALSE)</f>
        <v>0</v>
      </c>
      <c r="E514" s="61" t="s">
        <v>801</v>
      </c>
      <c r="F514" s="66" t="s">
        <v>822</v>
      </c>
      <c r="G514" s="66" t="s">
        <v>814</v>
      </c>
      <c r="H514" s="38" t="s">
        <v>610</v>
      </c>
      <c r="I514" s="39">
        <f t="shared" si="139"/>
        <v>0</v>
      </c>
      <c r="J514" s="40">
        <f t="shared" si="140"/>
        <v>0</v>
      </c>
      <c r="K514" s="41">
        <f t="shared" si="141"/>
        <v>0</v>
      </c>
      <c r="L514" s="42">
        <f t="shared" si="142"/>
        <v>0</v>
      </c>
      <c r="M514" s="43">
        <f t="shared" si="143"/>
        <v>0</v>
      </c>
      <c r="N514" s="44">
        <f t="shared" si="144"/>
        <v>0</v>
      </c>
      <c r="O514" s="45">
        <f t="shared" si="145"/>
        <v>0</v>
      </c>
      <c r="P514" s="19">
        <f t="shared" si="146"/>
        <v>0</v>
      </c>
      <c r="Q514" s="177">
        <v>108</v>
      </c>
      <c r="R514" s="40">
        <v>170</v>
      </c>
      <c r="S514" s="41">
        <v>115</v>
      </c>
      <c r="T514" s="42">
        <v>120</v>
      </c>
      <c r="U514" s="43">
        <v>95</v>
      </c>
      <c r="V514" s="44">
        <v>92</v>
      </c>
      <c r="W514" s="45">
        <f t="shared" si="149"/>
        <v>700</v>
      </c>
      <c r="X514" s="19">
        <f t="shared" si="150"/>
        <v>116.67</v>
      </c>
      <c r="Y514" s="3">
        <v>108</v>
      </c>
      <c r="Z514" s="4">
        <v>170</v>
      </c>
      <c r="AA514" s="5">
        <v>115</v>
      </c>
      <c r="AB514" s="6">
        <v>120</v>
      </c>
      <c r="AC514" s="7">
        <v>95</v>
      </c>
      <c r="AD514" s="8">
        <v>92</v>
      </c>
      <c r="AE514" s="1">
        <v>700</v>
      </c>
      <c r="AF514" s="19">
        <v>116.67</v>
      </c>
      <c r="AN514" s="172"/>
      <c r="AV514" s="174"/>
      <c r="AW514" s="45"/>
      <c r="AX514" s="174" t="b">
        <f>IF('Refined Compare'!$D$2="All",TRUE,IF(F514='Refined Compare'!$D$2,TRUE,IF(G514='Refined Compare'!$D$2,TRUE,FALSE)))</f>
        <v>0</v>
      </c>
      <c r="AY514" s="174" t="b">
        <f>IF('Refined Compare'!$D$3="All",TRUE,IF(F514='Refined Compare'!$D$3,TRUE,IF(G514='Refined Compare'!$D$3,TRUE,FALSE)))</f>
        <v>0</v>
      </c>
      <c r="AZ514" s="174" t="b">
        <f t="shared" ref="AZ514:AZ577" si="151">IF(C514&lt;=$AW$2,TRUE,FALSE)</f>
        <v>0</v>
      </c>
    </row>
    <row r="515" spans="1:52" x14ac:dyDescent="0.35">
      <c r="A515">
        <f t="shared" si="138"/>
        <v>514</v>
      </c>
      <c r="B515" s="18">
        <v>446</v>
      </c>
      <c r="C515" s="61">
        <v>4</v>
      </c>
      <c r="D515" s="61" t="b">
        <v>0</v>
      </c>
      <c r="E515" s="61"/>
      <c r="F515" s="66" t="s">
        <v>812</v>
      </c>
      <c r="G515" s="66" t="s">
        <v>827</v>
      </c>
      <c r="H515" s="38" t="s">
        <v>1</v>
      </c>
      <c r="I515" s="39">
        <f t="shared" si="139"/>
        <v>135</v>
      </c>
      <c r="J515" s="40">
        <f t="shared" si="140"/>
        <v>85</v>
      </c>
      <c r="K515" s="41">
        <f t="shared" si="141"/>
        <v>40</v>
      </c>
      <c r="L515" s="42">
        <f t="shared" si="142"/>
        <v>40</v>
      </c>
      <c r="M515" s="43">
        <f t="shared" si="143"/>
        <v>85</v>
      </c>
      <c r="N515" s="44">
        <f t="shared" si="144"/>
        <v>5</v>
      </c>
      <c r="O515" s="45">
        <f t="shared" si="145"/>
        <v>390</v>
      </c>
      <c r="P515" s="19">
        <f t="shared" si="146"/>
        <v>65</v>
      </c>
      <c r="Q515" s="177">
        <v>135</v>
      </c>
      <c r="R515" s="40">
        <v>85</v>
      </c>
      <c r="S515" s="41">
        <v>40</v>
      </c>
      <c r="T515" s="42">
        <v>40</v>
      </c>
      <c r="U515" s="43">
        <v>85</v>
      </c>
      <c r="V515" s="44">
        <v>5</v>
      </c>
      <c r="W515" s="45">
        <f t="shared" si="149"/>
        <v>390</v>
      </c>
      <c r="X515" s="19">
        <f t="shared" si="150"/>
        <v>65</v>
      </c>
      <c r="Y515" s="3">
        <v>135</v>
      </c>
      <c r="Z515" s="4">
        <v>85</v>
      </c>
      <c r="AA515" s="5">
        <v>40</v>
      </c>
      <c r="AB515" s="6">
        <v>40</v>
      </c>
      <c r="AC515" s="7">
        <v>85</v>
      </c>
      <c r="AD515" s="8">
        <v>5</v>
      </c>
      <c r="AE515" s="1">
        <v>390</v>
      </c>
      <c r="AF515" s="19">
        <v>65</v>
      </c>
      <c r="AG515" s="139">
        <v>135</v>
      </c>
      <c r="AH515" s="140">
        <v>85</v>
      </c>
      <c r="AI515" s="141">
        <v>40</v>
      </c>
      <c r="AJ515" s="142">
        <v>40</v>
      </c>
      <c r="AK515" s="143">
        <v>85</v>
      </c>
      <c r="AL515" s="144">
        <v>5</v>
      </c>
      <c r="AM515" s="138">
        <v>390</v>
      </c>
      <c r="AN515" s="153">
        <v>65</v>
      </c>
      <c r="AW515" s="45"/>
      <c r="AX515" s="174" t="b">
        <f>IF('Refined Compare'!$D$2="All",TRUE,IF(F515='Refined Compare'!$D$2,TRUE,IF(G515='Refined Compare'!$D$2,TRUE,FALSE)))</f>
        <v>0</v>
      </c>
      <c r="AY515" s="174" t="b">
        <f>IF('Refined Compare'!$D$3="All",TRUE,IF(F515='Refined Compare'!$D$3,TRUE,IF(G515='Refined Compare'!$D$3,TRUE,FALSE)))</f>
        <v>1</v>
      </c>
      <c r="AZ515" s="174" t="b">
        <f t="shared" si="151"/>
        <v>1</v>
      </c>
    </row>
    <row r="516" spans="1:52" x14ac:dyDescent="0.35">
      <c r="A516">
        <f t="shared" si="138"/>
        <v>515</v>
      </c>
      <c r="B516" s="18">
        <v>447</v>
      </c>
      <c r="C516" s="61">
        <v>4</v>
      </c>
      <c r="D516" s="61" t="b">
        <v>0</v>
      </c>
      <c r="E516" s="61"/>
      <c r="F516" s="66" t="s">
        <v>816</v>
      </c>
      <c r="G516" s="66" t="s">
        <v>827</v>
      </c>
      <c r="H516" s="38" t="s">
        <v>338</v>
      </c>
      <c r="I516" s="39">
        <f t="shared" si="139"/>
        <v>40</v>
      </c>
      <c r="J516" s="40">
        <f t="shared" si="140"/>
        <v>70</v>
      </c>
      <c r="K516" s="41">
        <f t="shared" si="141"/>
        <v>40</v>
      </c>
      <c r="L516" s="42">
        <f t="shared" si="142"/>
        <v>35</v>
      </c>
      <c r="M516" s="43">
        <f t="shared" si="143"/>
        <v>40</v>
      </c>
      <c r="N516" s="44">
        <f t="shared" si="144"/>
        <v>60</v>
      </c>
      <c r="O516" s="45">
        <f t="shared" si="145"/>
        <v>285</v>
      </c>
      <c r="P516" s="19">
        <f t="shared" si="146"/>
        <v>47.5</v>
      </c>
      <c r="Q516" s="177">
        <v>40</v>
      </c>
      <c r="R516" s="40">
        <v>70</v>
      </c>
      <c r="S516" s="41">
        <v>40</v>
      </c>
      <c r="T516" s="42">
        <v>35</v>
      </c>
      <c r="U516" s="43">
        <v>40</v>
      </c>
      <c r="V516" s="44">
        <v>60</v>
      </c>
      <c r="W516" s="45">
        <f t="shared" si="149"/>
        <v>285</v>
      </c>
      <c r="X516" s="19">
        <f t="shared" si="150"/>
        <v>47.5</v>
      </c>
      <c r="Y516" s="3">
        <v>40</v>
      </c>
      <c r="Z516" s="4">
        <v>70</v>
      </c>
      <c r="AA516" s="5">
        <v>40</v>
      </c>
      <c r="AB516" s="6">
        <v>35</v>
      </c>
      <c r="AC516" s="7">
        <v>40</v>
      </c>
      <c r="AD516" s="8">
        <v>60</v>
      </c>
      <c r="AE516" s="1">
        <v>285</v>
      </c>
      <c r="AF516" s="19">
        <v>47.5</v>
      </c>
      <c r="AG516" s="139">
        <v>40</v>
      </c>
      <c r="AH516" s="140">
        <v>70</v>
      </c>
      <c r="AI516" s="141">
        <v>40</v>
      </c>
      <c r="AJ516" s="142">
        <v>35</v>
      </c>
      <c r="AK516" s="143">
        <v>40</v>
      </c>
      <c r="AL516" s="144">
        <v>60</v>
      </c>
      <c r="AM516" s="138">
        <v>285</v>
      </c>
      <c r="AN516" s="153">
        <v>47.5</v>
      </c>
      <c r="AW516" s="45"/>
      <c r="AX516" s="174" t="b">
        <f>IF('Refined Compare'!$D$2="All",TRUE,IF(F516='Refined Compare'!$D$2,TRUE,IF(G516='Refined Compare'!$D$2,TRUE,FALSE)))</f>
        <v>0</v>
      </c>
      <c r="AY516" s="174" t="b">
        <f>IF('Refined Compare'!$D$3="All",TRUE,IF(F516='Refined Compare'!$D$3,TRUE,IF(G516='Refined Compare'!$D$3,TRUE,FALSE)))</f>
        <v>1</v>
      </c>
      <c r="AZ516" s="174" t="b">
        <f t="shared" si="151"/>
        <v>1</v>
      </c>
    </row>
    <row r="517" spans="1:52" x14ac:dyDescent="0.35">
      <c r="A517">
        <f t="shared" si="138"/>
        <v>516</v>
      </c>
      <c r="B517" s="18">
        <v>448</v>
      </c>
      <c r="C517" s="61">
        <v>4</v>
      </c>
      <c r="D517" s="61" t="b">
        <f>IF($AW$2&lt;6,TRUE,FALSE)</f>
        <v>1</v>
      </c>
      <c r="E517" s="61"/>
      <c r="F517" s="66" t="s">
        <v>816</v>
      </c>
      <c r="G517" s="66" t="s">
        <v>819</v>
      </c>
      <c r="H517" s="38" t="s">
        <v>595</v>
      </c>
      <c r="I517" s="39">
        <f t="shared" si="139"/>
        <v>70</v>
      </c>
      <c r="J517" s="40">
        <f t="shared" si="140"/>
        <v>110</v>
      </c>
      <c r="K517" s="41">
        <f t="shared" si="141"/>
        <v>70</v>
      </c>
      <c r="L517" s="42">
        <f t="shared" si="142"/>
        <v>115</v>
      </c>
      <c r="M517" s="43">
        <f t="shared" si="143"/>
        <v>70</v>
      </c>
      <c r="N517" s="44">
        <f t="shared" si="144"/>
        <v>90</v>
      </c>
      <c r="O517" s="45">
        <f t="shared" si="145"/>
        <v>525</v>
      </c>
      <c r="P517" s="19">
        <f t="shared" si="146"/>
        <v>87.5</v>
      </c>
      <c r="Q517" s="177">
        <v>70</v>
      </c>
      <c r="R517" s="40">
        <v>110</v>
      </c>
      <c r="S517" s="41">
        <v>70</v>
      </c>
      <c r="T517" s="42">
        <v>115</v>
      </c>
      <c r="U517" s="43">
        <v>70</v>
      </c>
      <c r="V517" s="44">
        <v>90</v>
      </c>
      <c r="W517" s="45">
        <f t="shared" si="149"/>
        <v>525</v>
      </c>
      <c r="X517" s="19">
        <f t="shared" si="150"/>
        <v>87.5</v>
      </c>
      <c r="Y517" s="3">
        <v>70</v>
      </c>
      <c r="Z517" s="4">
        <v>110</v>
      </c>
      <c r="AA517" s="5">
        <v>70</v>
      </c>
      <c r="AB517" s="6">
        <v>115</v>
      </c>
      <c r="AC517" s="7">
        <v>70</v>
      </c>
      <c r="AD517" s="8">
        <v>90</v>
      </c>
      <c r="AE517" s="1">
        <v>525</v>
      </c>
      <c r="AF517" s="19">
        <v>87.5</v>
      </c>
      <c r="AG517" s="139">
        <v>70</v>
      </c>
      <c r="AH517" s="140">
        <v>110</v>
      </c>
      <c r="AI517" s="141">
        <v>70</v>
      </c>
      <c r="AJ517" s="142">
        <v>115</v>
      </c>
      <c r="AK517" s="143">
        <v>70</v>
      </c>
      <c r="AL517" s="144">
        <v>90</v>
      </c>
      <c r="AM517" s="138">
        <v>525</v>
      </c>
      <c r="AN517" s="153">
        <v>87.5</v>
      </c>
      <c r="AW517" s="45"/>
      <c r="AX517" s="174" t="b">
        <f>IF('Refined Compare'!$D$2="All",TRUE,IF(F517='Refined Compare'!$D$2,TRUE,IF(G517='Refined Compare'!$D$2,TRUE,FALSE)))</f>
        <v>0</v>
      </c>
      <c r="AY517" s="174" t="b">
        <f>IF('Refined Compare'!$D$3="All",TRUE,IF(F517='Refined Compare'!$D$3,TRUE,IF(G517='Refined Compare'!$D$3,TRUE,FALSE)))</f>
        <v>0</v>
      </c>
      <c r="AZ517" s="174" t="b">
        <f t="shared" si="151"/>
        <v>1</v>
      </c>
    </row>
    <row r="518" spans="1:52" x14ac:dyDescent="0.35">
      <c r="A518">
        <f t="shared" si="138"/>
        <v>517</v>
      </c>
      <c r="B518" s="62">
        <v>448</v>
      </c>
      <c r="C518" s="61">
        <v>6</v>
      </c>
      <c r="D518" s="118" t="b">
        <f>IF(AZ518,TRUE,FALSE)</f>
        <v>0</v>
      </c>
      <c r="E518" s="61" t="s">
        <v>801</v>
      </c>
      <c r="F518" s="66" t="s">
        <v>816</v>
      </c>
      <c r="G518" s="66" t="s">
        <v>819</v>
      </c>
      <c r="H518" s="38" t="s">
        <v>731</v>
      </c>
      <c r="I518" s="39">
        <f t="shared" si="139"/>
        <v>0</v>
      </c>
      <c r="J518" s="40">
        <f t="shared" si="140"/>
        <v>0</v>
      </c>
      <c r="K518" s="41">
        <f t="shared" si="141"/>
        <v>0</v>
      </c>
      <c r="L518" s="42">
        <f t="shared" si="142"/>
        <v>0</v>
      </c>
      <c r="M518" s="43">
        <f t="shared" si="143"/>
        <v>0</v>
      </c>
      <c r="N518" s="44">
        <f t="shared" si="144"/>
        <v>0</v>
      </c>
      <c r="O518" s="45">
        <f t="shared" si="145"/>
        <v>0</v>
      </c>
      <c r="P518" s="19">
        <f t="shared" si="146"/>
        <v>0</v>
      </c>
      <c r="Q518" s="177">
        <v>70</v>
      </c>
      <c r="R518" s="40">
        <v>145</v>
      </c>
      <c r="S518" s="41">
        <v>88</v>
      </c>
      <c r="T518" s="42">
        <v>140</v>
      </c>
      <c r="U518" s="43">
        <v>70</v>
      </c>
      <c r="V518" s="44">
        <v>112</v>
      </c>
      <c r="W518" s="45">
        <f t="shared" si="149"/>
        <v>625</v>
      </c>
      <c r="X518" s="19">
        <f t="shared" si="150"/>
        <v>104.17</v>
      </c>
      <c r="Y518" s="3">
        <v>70</v>
      </c>
      <c r="Z518" s="4">
        <v>145</v>
      </c>
      <c r="AA518" s="5">
        <v>88</v>
      </c>
      <c r="AB518" s="6">
        <v>140</v>
      </c>
      <c r="AC518" s="7">
        <v>70</v>
      </c>
      <c r="AD518" s="8">
        <v>112</v>
      </c>
      <c r="AE518" s="1">
        <v>625</v>
      </c>
      <c r="AF518" s="19">
        <v>104.17</v>
      </c>
      <c r="AN518" s="172"/>
      <c r="AV518" s="174"/>
      <c r="AW518" s="45"/>
      <c r="AX518" s="174" t="b">
        <f>IF('Refined Compare'!$D$2="All",TRUE,IF(F518='Refined Compare'!$D$2,TRUE,IF(G518='Refined Compare'!$D$2,TRUE,FALSE)))</f>
        <v>0</v>
      </c>
      <c r="AY518" s="174" t="b">
        <f>IF('Refined Compare'!$D$3="All",TRUE,IF(F518='Refined Compare'!$D$3,TRUE,IF(G518='Refined Compare'!$D$3,TRUE,FALSE)))</f>
        <v>0</v>
      </c>
      <c r="AZ518" s="174" t="b">
        <f t="shared" si="151"/>
        <v>0</v>
      </c>
    </row>
    <row r="519" spans="1:52" x14ac:dyDescent="0.35">
      <c r="A519">
        <f t="shared" si="138"/>
        <v>518</v>
      </c>
      <c r="B519" s="18">
        <v>449</v>
      </c>
      <c r="C519" s="61">
        <v>4</v>
      </c>
      <c r="D519" s="61" t="b">
        <v>0</v>
      </c>
      <c r="E519" s="61"/>
      <c r="F519" s="66" t="s">
        <v>814</v>
      </c>
      <c r="G519" s="66" t="s">
        <v>827</v>
      </c>
      <c r="H519" s="38" t="s">
        <v>89</v>
      </c>
      <c r="I519" s="39">
        <f t="shared" si="139"/>
        <v>68</v>
      </c>
      <c r="J519" s="40">
        <f t="shared" si="140"/>
        <v>72</v>
      </c>
      <c r="K519" s="41">
        <f t="shared" si="141"/>
        <v>78</v>
      </c>
      <c r="L519" s="42">
        <f t="shared" si="142"/>
        <v>38</v>
      </c>
      <c r="M519" s="43">
        <f t="shared" si="143"/>
        <v>42</v>
      </c>
      <c r="N519" s="44">
        <f t="shared" si="144"/>
        <v>32</v>
      </c>
      <c r="O519" s="45">
        <f t="shared" si="145"/>
        <v>330</v>
      </c>
      <c r="P519" s="19">
        <f t="shared" si="146"/>
        <v>55</v>
      </c>
      <c r="Q519" s="177">
        <v>68</v>
      </c>
      <c r="R519" s="40">
        <v>72</v>
      </c>
      <c r="S519" s="41">
        <v>78</v>
      </c>
      <c r="T519" s="42">
        <v>38</v>
      </c>
      <c r="U519" s="43">
        <v>42</v>
      </c>
      <c r="V519" s="44">
        <v>32</v>
      </c>
      <c r="W519" s="45">
        <f t="shared" si="149"/>
        <v>330</v>
      </c>
      <c r="X519" s="19">
        <f t="shared" si="150"/>
        <v>55</v>
      </c>
      <c r="Y519" s="3">
        <v>68</v>
      </c>
      <c r="Z519" s="4">
        <v>72</v>
      </c>
      <c r="AA519" s="5">
        <v>78</v>
      </c>
      <c r="AB519" s="6">
        <v>38</v>
      </c>
      <c r="AC519" s="7">
        <v>42</v>
      </c>
      <c r="AD519" s="8">
        <v>32</v>
      </c>
      <c r="AE519" s="1">
        <v>330</v>
      </c>
      <c r="AF519" s="19">
        <v>55</v>
      </c>
      <c r="AG519" s="139">
        <v>68</v>
      </c>
      <c r="AH519" s="140">
        <v>72</v>
      </c>
      <c r="AI519" s="141">
        <v>78</v>
      </c>
      <c r="AJ519" s="142">
        <v>38</v>
      </c>
      <c r="AK519" s="143">
        <v>42</v>
      </c>
      <c r="AL519" s="144">
        <v>32</v>
      </c>
      <c r="AM519" s="138">
        <v>330</v>
      </c>
      <c r="AN519" s="153">
        <v>55</v>
      </c>
      <c r="AW519" s="45"/>
      <c r="AX519" s="174" t="b">
        <f>IF('Refined Compare'!$D$2="All",TRUE,IF(F519='Refined Compare'!$D$2,TRUE,IF(G519='Refined Compare'!$D$2,TRUE,FALSE)))</f>
        <v>0</v>
      </c>
      <c r="AY519" s="174" t="b">
        <f>IF('Refined Compare'!$D$3="All",TRUE,IF(F519='Refined Compare'!$D$3,TRUE,IF(G519='Refined Compare'!$D$3,TRUE,FALSE)))</f>
        <v>1</v>
      </c>
      <c r="AZ519" s="174" t="b">
        <f t="shared" si="151"/>
        <v>1</v>
      </c>
    </row>
    <row r="520" spans="1:52" x14ac:dyDescent="0.35">
      <c r="A520">
        <f t="shared" si="138"/>
        <v>519</v>
      </c>
      <c r="B520" s="18">
        <v>450</v>
      </c>
      <c r="C520" s="61">
        <v>4</v>
      </c>
      <c r="D520" s="118" t="b">
        <v>1</v>
      </c>
      <c r="E520" s="61"/>
      <c r="F520" s="66" t="s">
        <v>814</v>
      </c>
      <c r="G520" s="66" t="s">
        <v>827</v>
      </c>
      <c r="H520" s="38" t="s">
        <v>202</v>
      </c>
      <c r="I520" s="39">
        <f t="shared" si="139"/>
        <v>108</v>
      </c>
      <c r="J520" s="40">
        <f t="shared" si="140"/>
        <v>112</v>
      </c>
      <c r="K520" s="41">
        <f t="shared" si="141"/>
        <v>118</v>
      </c>
      <c r="L520" s="42">
        <f t="shared" si="142"/>
        <v>68</v>
      </c>
      <c r="M520" s="43">
        <f t="shared" si="143"/>
        <v>72</v>
      </c>
      <c r="N520" s="44">
        <f t="shared" si="144"/>
        <v>47</v>
      </c>
      <c r="O520" s="45">
        <f t="shared" si="145"/>
        <v>525</v>
      </c>
      <c r="P520" s="19">
        <f t="shared" si="146"/>
        <v>87.5</v>
      </c>
      <c r="Q520" s="177">
        <v>108</v>
      </c>
      <c r="R520" s="40">
        <v>112</v>
      </c>
      <c r="S520" s="41">
        <v>118</v>
      </c>
      <c r="T520" s="42">
        <v>68</v>
      </c>
      <c r="U520" s="43">
        <v>72</v>
      </c>
      <c r="V520" s="44">
        <v>47</v>
      </c>
      <c r="W520" s="45">
        <f t="shared" si="149"/>
        <v>525</v>
      </c>
      <c r="X520" s="19">
        <f t="shared" si="150"/>
        <v>87.5</v>
      </c>
      <c r="Y520" s="3">
        <v>108</v>
      </c>
      <c r="Z520" s="4">
        <v>112</v>
      </c>
      <c r="AA520" s="5">
        <v>118</v>
      </c>
      <c r="AB520" s="6">
        <v>68</v>
      </c>
      <c r="AC520" s="7">
        <v>72</v>
      </c>
      <c r="AD520" s="8">
        <v>47</v>
      </c>
      <c r="AE520" s="1">
        <v>525</v>
      </c>
      <c r="AF520" s="19">
        <v>87.5</v>
      </c>
      <c r="AG520" s="139">
        <v>108</v>
      </c>
      <c r="AH520" s="140">
        <v>112</v>
      </c>
      <c r="AI520" s="141">
        <v>118</v>
      </c>
      <c r="AJ520" s="142">
        <v>68</v>
      </c>
      <c r="AK520" s="143">
        <v>72</v>
      </c>
      <c r="AL520" s="144">
        <v>47</v>
      </c>
      <c r="AM520" s="138">
        <v>525</v>
      </c>
      <c r="AN520" s="153">
        <v>87.5</v>
      </c>
      <c r="AW520" s="45"/>
      <c r="AX520" s="174" t="b">
        <f>IF('Refined Compare'!$D$2="All",TRUE,IF(F520='Refined Compare'!$D$2,TRUE,IF(G520='Refined Compare'!$D$2,TRUE,FALSE)))</f>
        <v>0</v>
      </c>
      <c r="AY520" s="174" t="b">
        <f>IF('Refined Compare'!$D$3="All",TRUE,IF(F520='Refined Compare'!$D$3,TRUE,IF(G520='Refined Compare'!$D$3,TRUE,FALSE)))</f>
        <v>1</v>
      </c>
      <c r="AZ520" s="174" t="b">
        <f t="shared" si="151"/>
        <v>1</v>
      </c>
    </row>
    <row r="521" spans="1:52" x14ac:dyDescent="0.35">
      <c r="A521">
        <f t="shared" si="138"/>
        <v>520</v>
      </c>
      <c r="B521" s="18">
        <v>451</v>
      </c>
      <c r="C521" s="61">
        <v>4</v>
      </c>
      <c r="D521" s="61" t="b">
        <v>0</v>
      </c>
      <c r="E521" s="61"/>
      <c r="F521" s="66" t="s">
        <v>807</v>
      </c>
      <c r="G521" s="66" t="s">
        <v>811</v>
      </c>
      <c r="H521" s="38" t="s">
        <v>390</v>
      </c>
      <c r="I521" s="39">
        <f t="shared" si="139"/>
        <v>40</v>
      </c>
      <c r="J521" s="40">
        <f t="shared" si="140"/>
        <v>50</v>
      </c>
      <c r="K521" s="41">
        <f t="shared" si="141"/>
        <v>90</v>
      </c>
      <c r="L521" s="42">
        <f t="shared" si="142"/>
        <v>30</v>
      </c>
      <c r="M521" s="43">
        <f t="shared" si="143"/>
        <v>55</v>
      </c>
      <c r="N521" s="44">
        <f t="shared" si="144"/>
        <v>65</v>
      </c>
      <c r="O521" s="45">
        <f t="shared" si="145"/>
        <v>330</v>
      </c>
      <c r="P521" s="19">
        <f t="shared" si="146"/>
        <v>55</v>
      </c>
      <c r="Q521" s="177">
        <v>40</v>
      </c>
      <c r="R521" s="40">
        <v>50</v>
      </c>
      <c r="S521" s="41">
        <v>90</v>
      </c>
      <c r="T521" s="42">
        <v>30</v>
      </c>
      <c r="U521" s="43">
        <v>55</v>
      </c>
      <c r="V521" s="44">
        <v>65</v>
      </c>
      <c r="W521" s="45">
        <f t="shared" si="149"/>
        <v>330</v>
      </c>
      <c r="X521" s="19">
        <f t="shared" si="150"/>
        <v>55</v>
      </c>
      <c r="Y521" s="3">
        <v>40</v>
      </c>
      <c r="Z521" s="4">
        <v>50</v>
      </c>
      <c r="AA521" s="5">
        <v>90</v>
      </c>
      <c r="AB521" s="6">
        <v>30</v>
      </c>
      <c r="AC521" s="7">
        <v>55</v>
      </c>
      <c r="AD521" s="8">
        <v>65</v>
      </c>
      <c r="AE521" s="1">
        <v>330</v>
      </c>
      <c r="AF521" s="19">
        <v>55</v>
      </c>
      <c r="AG521" s="139">
        <v>40</v>
      </c>
      <c r="AH521" s="140">
        <v>50</v>
      </c>
      <c r="AI521" s="141">
        <v>90</v>
      </c>
      <c r="AJ521" s="142">
        <v>30</v>
      </c>
      <c r="AK521" s="143">
        <v>55</v>
      </c>
      <c r="AL521" s="144">
        <v>65</v>
      </c>
      <c r="AM521" s="138">
        <v>330</v>
      </c>
      <c r="AN521" s="153">
        <v>55</v>
      </c>
      <c r="AW521" s="45"/>
      <c r="AX521" s="174" t="b">
        <f>IF('Refined Compare'!$D$2="All",TRUE,IF(F521='Refined Compare'!$D$2,TRUE,IF(G521='Refined Compare'!$D$2,TRUE,FALSE)))</f>
        <v>0</v>
      </c>
      <c r="AY521" s="174" t="b">
        <f>IF('Refined Compare'!$D$3="All",TRUE,IF(F521='Refined Compare'!$D$3,TRUE,IF(G521='Refined Compare'!$D$3,TRUE,FALSE)))</f>
        <v>0</v>
      </c>
      <c r="AZ521" s="174" t="b">
        <f t="shared" si="151"/>
        <v>1</v>
      </c>
    </row>
    <row r="522" spans="1:52" x14ac:dyDescent="0.35">
      <c r="A522">
        <f t="shared" si="138"/>
        <v>521</v>
      </c>
      <c r="B522" s="18">
        <v>452</v>
      </c>
      <c r="C522" s="61">
        <v>4</v>
      </c>
      <c r="D522" s="118" t="b">
        <v>1</v>
      </c>
      <c r="E522" s="61"/>
      <c r="F522" s="66" t="s">
        <v>807</v>
      </c>
      <c r="G522" s="66" t="s">
        <v>823</v>
      </c>
      <c r="H522" s="38" t="s">
        <v>630</v>
      </c>
      <c r="I522" s="39">
        <f t="shared" si="139"/>
        <v>70</v>
      </c>
      <c r="J522" s="40">
        <f t="shared" si="140"/>
        <v>90</v>
      </c>
      <c r="K522" s="41">
        <f t="shared" si="141"/>
        <v>110</v>
      </c>
      <c r="L522" s="42">
        <f t="shared" si="142"/>
        <v>60</v>
      </c>
      <c r="M522" s="43">
        <f t="shared" si="143"/>
        <v>75</v>
      </c>
      <c r="N522" s="44">
        <f t="shared" si="144"/>
        <v>95</v>
      </c>
      <c r="O522" s="45">
        <f t="shared" si="145"/>
        <v>500</v>
      </c>
      <c r="P522" s="19">
        <f t="shared" si="146"/>
        <v>83.33</v>
      </c>
      <c r="Q522" s="177">
        <v>70</v>
      </c>
      <c r="R522" s="40">
        <v>90</v>
      </c>
      <c r="S522" s="41">
        <v>110</v>
      </c>
      <c r="T522" s="42">
        <v>60</v>
      </c>
      <c r="U522" s="43">
        <v>75</v>
      </c>
      <c r="V522" s="44">
        <v>95</v>
      </c>
      <c r="W522" s="45">
        <f t="shared" si="149"/>
        <v>500</v>
      </c>
      <c r="X522" s="19">
        <f t="shared" si="150"/>
        <v>83.33</v>
      </c>
      <c r="Y522" s="3">
        <v>70</v>
      </c>
      <c r="Z522" s="4">
        <v>90</v>
      </c>
      <c r="AA522" s="5">
        <v>110</v>
      </c>
      <c r="AB522" s="6">
        <v>60</v>
      </c>
      <c r="AC522" s="7">
        <v>75</v>
      </c>
      <c r="AD522" s="8">
        <v>95</v>
      </c>
      <c r="AE522" s="1">
        <v>500</v>
      </c>
      <c r="AF522" s="19">
        <v>83.33</v>
      </c>
      <c r="AG522" s="139">
        <v>70</v>
      </c>
      <c r="AH522" s="140">
        <v>90</v>
      </c>
      <c r="AI522" s="141">
        <v>110</v>
      </c>
      <c r="AJ522" s="142">
        <v>60</v>
      </c>
      <c r="AK522" s="143">
        <v>75</v>
      </c>
      <c r="AL522" s="144">
        <v>95</v>
      </c>
      <c r="AM522" s="138">
        <v>500</v>
      </c>
      <c r="AN522" s="153">
        <v>83.33</v>
      </c>
      <c r="AW522" s="45"/>
      <c r="AX522" s="174" t="b">
        <f>IF('Refined Compare'!$D$2="All",TRUE,IF(F522='Refined Compare'!$D$2,TRUE,IF(G522='Refined Compare'!$D$2,TRUE,FALSE)))</f>
        <v>1</v>
      </c>
      <c r="AY522" s="174" t="b">
        <f>IF('Refined Compare'!$D$3="All",TRUE,IF(F522='Refined Compare'!$D$3,TRUE,IF(G522='Refined Compare'!$D$3,TRUE,FALSE)))</f>
        <v>0</v>
      </c>
      <c r="AZ522" s="174" t="b">
        <f t="shared" si="151"/>
        <v>1</v>
      </c>
    </row>
    <row r="523" spans="1:52" x14ac:dyDescent="0.35">
      <c r="A523">
        <f t="shared" si="138"/>
        <v>522</v>
      </c>
      <c r="B523" s="18">
        <v>453</v>
      </c>
      <c r="C523" s="61">
        <v>4</v>
      </c>
      <c r="D523" s="61" t="b">
        <v>0</v>
      </c>
      <c r="E523" s="61"/>
      <c r="F523" s="66" t="s">
        <v>807</v>
      </c>
      <c r="G523" s="66" t="s">
        <v>816</v>
      </c>
      <c r="H523" s="38" t="s">
        <v>244</v>
      </c>
      <c r="I523" s="39">
        <f t="shared" si="139"/>
        <v>48</v>
      </c>
      <c r="J523" s="40">
        <f t="shared" si="140"/>
        <v>61</v>
      </c>
      <c r="K523" s="41">
        <f t="shared" si="141"/>
        <v>40</v>
      </c>
      <c r="L523" s="42">
        <f t="shared" si="142"/>
        <v>61</v>
      </c>
      <c r="M523" s="43">
        <f t="shared" si="143"/>
        <v>40</v>
      </c>
      <c r="N523" s="44">
        <f t="shared" si="144"/>
        <v>50</v>
      </c>
      <c r="O523" s="45">
        <f t="shared" si="145"/>
        <v>300</v>
      </c>
      <c r="P523" s="19">
        <f t="shared" si="146"/>
        <v>50</v>
      </c>
      <c r="Q523" s="177">
        <v>48</v>
      </c>
      <c r="R523" s="40">
        <v>61</v>
      </c>
      <c r="S523" s="41">
        <v>40</v>
      </c>
      <c r="T523" s="42">
        <v>61</v>
      </c>
      <c r="U523" s="43">
        <v>40</v>
      </c>
      <c r="V523" s="44">
        <v>50</v>
      </c>
      <c r="W523" s="45">
        <f t="shared" si="149"/>
        <v>300</v>
      </c>
      <c r="X523" s="19">
        <f t="shared" si="150"/>
        <v>50</v>
      </c>
      <c r="Y523" s="3">
        <v>48</v>
      </c>
      <c r="Z523" s="4">
        <v>61</v>
      </c>
      <c r="AA523" s="5">
        <v>40</v>
      </c>
      <c r="AB523" s="6">
        <v>61</v>
      </c>
      <c r="AC523" s="7">
        <v>40</v>
      </c>
      <c r="AD523" s="8">
        <v>50</v>
      </c>
      <c r="AE523" s="1">
        <v>300</v>
      </c>
      <c r="AF523" s="19">
        <v>50</v>
      </c>
      <c r="AG523" s="139">
        <v>48</v>
      </c>
      <c r="AH523" s="140">
        <v>61</v>
      </c>
      <c r="AI523" s="141">
        <v>40</v>
      </c>
      <c r="AJ523" s="142">
        <v>61</v>
      </c>
      <c r="AK523" s="143">
        <v>40</v>
      </c>
      <c r="AL523" s="144">
        <v>50</v>
      </c>
      <c r="AM523" s="138">
        <v>300</v>
      </c>
      <c r="AN523" s="153">
        <v>50</v>
      </c>
      <c r="AW523" s="45"/>
      <c r="AX523" s="174" t="b">
        <f>IF('Refined Compare'!$D$2="All",TRUE,IF(F523='Refined Compare'!$D$2,TRUE,IF(G523='Refined Compare'!$D$2,TRUE,FALSE)))</f>
        <v>0</v>
      </c>
      <c r="AY523" s="174" t="b">
        <f>IF('Refined Compare'!$D$3="All",TRUE,IF(F523='Refined Compare'!$D$3,TRUE,IF(G523='Refined Compare'!$D$3,TRUE,FALSE)))</f>
        <v>0</v>
      </c>
      <c r="AZ523" s="174" t="b">
        <f t="shared" si="151"/>
        <v>1</v>
      </c>
    </row>
    <row r="524" spans="1:52" x14ac:dyDescent="0.35">
      <c r="A524">
        <f t="shared" si="138"/>
        <v>523</v>
      </c>
      <c r="B524" s="18">
        <v>454</v>
      </c>
      <c r="C524" s="61">
        <v>4</v>
      </c>
      <c r="D524" s="118" t="b">
        <v>1</v>
      </c>
      <c r="E524" s="61"/>
      <c r="F524" s="66" t="s">
        <v>807</v>
      </c>
      <c r="G524" s="66" t="s">
        <v>816</v>
      </c>
      <c r="H524" s="38" t="s">
        <v>563</v>
      </c>
      <c r="I524" s="39">
        <f t="shared" si="139"/>
        <v>83</v>
      </c>
      <c r="J524" s="40">
        <f t="shared" si="140"/>
        <v>106</v>
      </c>
      <c r="K524" s="41">
        <f t="shared" si="141"/>
        <v>65</v>
      </c>
      <c r="L524" s="42">
        <f t="shared" si="142"/>
        <v>86</v>
      </c>
      <c r="M524" s="43">
        <f t="shared" si="143"/>
        <v>65</v>
      </c>
      <c r="N524" s="44">
        <f t="shared" si="144"/>
        <v>85</v>
      </c>
      <c r="O524" s="45">
        <f t="shared" si="145"/>
        <v>490</v>
      </c>
      <c r="P524" s="19">
        <f t="shared" si="146"/>
        <v>81.67</v>
      </c>
      <c r="Q524" s="177">
        <v>83</v>
      </c>
      <c r="R524" s="40">
        <v>106</v>
      </c>
      <c r="S524" s="41">
        <v>65</v>
      </c>
      <c r="T524" s="42">
        <v>86</v>
      </c>
      <c r="U524" s="43">
        <v>65</v>
      </c>
      <c r="V524" s="44">
        <v>85</v>
      </c>
      <c r="W524" s="45">
        <f t="shared" si="149"/>
        <v>490</v>
      </c>
      <c r="X524" s="19">
        <f t="shared" si="150"/>
        <v>81.67</v>
      </c>
      <c r="Y524" s="3">
        <v>83</v>
      </c>
      <c r="Z524" s="4">
        <v>106</v>
      </c>
      <c r="AA524" s="5">
        <v>65</v>
      </c>
      <c r="AB524" s="6">
        <v>86</v>
      </c>
      <c r="AC524" s="7">
        <v>65</v>
      </c>
      <c r="AD524" s="8">
        <v>85</v>
      </c>
      <c r="AE524" s="1">
        <v>490</v>
      </c>
      <c r="AF524" s="19">
        <v>81.67</v>
      </c>
      <c r="AG524" s="139">
        <v>83</v>
      </c>
      <c r="AH524" s="140">
        <v>106</v>
      </c>
      <c r="AI524" s="141">
        <v>65</v>
      </c>
      <c r="AJ524" s="142">
        <v>86</v>
      </c>
      <c r="AK524" s="143">
        <v>65</v>
      </c>
      <c r="AL524" s="144">
        <v>85</v>
      </c>
      <c r="AM524" s="138">
        <v>490</v>
      </c>
      <c r="AN524" s="153">
        <v>81.67</v>
      </c>
      <c r="AW524" s="45"/>
      <c r="AX524" s="174" t="b">
        <f>IF('Refined Compare'!$D$2="All",TRUE,IF(F524='Refined Compare'!$D$2,TRUE,IF(G524='Refined Compare'!$D$2,TRUE,FALSE)))</f>
        <v>0</v>
      </c>
      <c r="AY524" s="174" t="b">
        <f>IF('Refined Compare'!$D$3="All",TRUE,IF(F524='Refined Compare'!$D$3,TRUE,IF(G524='Refined Compare'!$D$3,TRUE,FALSE)))</f>
        <v>0</v>
      </c>
      <c r="AZ524" s="174" t="b">
        <f t="shared" si="151"/>
        <v>1</v>
      </c>
    </row>
    <row r="525" spans="1:52" x14ac:dyDescent="0.35">
      <c r="A525">
        <f t="shared" si="138"/>
        <v>524</v>
      </c>
      <c r="B525" s="18">
        <v>455</v>
      </c>
      <c r="C525" s="61">
        <v>4</v>
      </c>
      <c r="D525" s="118" t="b">
        <v>1</v>
      </c>
      <c r="E525" s="61"/>
      <c r="F525" s="66" t="s">
        <v>806</v>
      </c>
      <c r="G525" s="66" t="s">
        <v>827</v>
      </c>
      <c r="H525" s="38" t="s">
        <v>200</v>
      </c>
      <c r="I525" s="39">
        <f t="shared" si="139"/>
        <v>74</v>
      </c>
      <c r="J525" s="40">
        <f t="shared" si="140"/>
        <v>100</v>
      </c>
      <c r="K525" s="41">
        <f t="shared" si="141"/>
        <v>72</v>
      </c>
      <c r="L525" s="42">
        <f t="shared" si="142"/>
        <v>90</v>
      </c>
      <c r="M525" s="43">
        <f t="shared" si="143"/>
        <v>72</v>
      </c>
      <c r="N525" s="44">
        <f t="shared" si="144"/>
        <v>46</v>
      </c>
      <c r="O525" s="45">
        <f t="shared" si="145"/>
        <v>454</v>
      </c>
      <c r="P525" s="19">
        <f t="shared" si="146"/>
        <v>75.67</v>
      </c>
      <c r="Q525" s="177">
        <v>74</v>
      </c>
      <c r="R525" s="40">
        <v>100</v>
      </c>
      <c r="S525" s="41">
        <v>72</v>
      </c>
      <c r="T525" s="42">
        <v>90</v>
      </c>
      <c r="U525" s="43">
        <v>72</v>
      </c>
      <c r="V525" s="44">
        <v>46</v>
      </c>
      <c r="W525" s="45">
        <f t="shared" si="149"/>
        <v>454</v>
      </c>
      <c r="X525" s="19">
        <f t="shared" si="150"/>
        <v>75.67</v>
      </c>
      <c r="Y525" s="3">
        <v>74</v>
      </c>
      <c r="Z525" s="4">
        <v>100</v>
      </c>
      <c r="AA525" s="5">
        <v>72</v>
      </c>
      <c r="AB525" s="6">
        <v>90</v>
      </c>
      <c r="AC525" s="7">
        <v>72</v>
      </c>
      <c r="AD525" s="8">
        <v>46</v>
      </c>
      <c r="AE525" s="1">
        <v>454</v>
      </c>
      <c r="AF525" s="19">
        <v>75.67</v>
      </c>
      <c r="AG525" s="139">
        <v>74</v>
      </c>
      <c r="AH525" s="140">
        <v>100</v>
      </c>
      <c r="AI525" s="141">
        <v>72</v>
      </c>
      <c r="AJ525" s="142">
        <v>90</v>
      </c>
      <c r="AK525" s="143">
        <v>72</v>
      </c>
      <c r="AL525" s="144">
        <v>46</v>
      </c>
      <c r="AM525" s="138">
        <v>454</v>
      </c>
      <c r="AN525" s="153">
        <v>75.67</v>
      </c>
      <c r="AW525" s="45"/>
      <c r="AX525" s="174" t="b">
        <f>IF('Refined Compare'!$D$2="All",TRUE,IF(F525='Refined Compare'!$D$2,TRUE,IF(G525='Refined Compare'!$D$2,TRUE,FALSE)))</f>
        <v>0</v>
      </c>
      <c r="AY525" s="174" t="b">
        <f>IF('Refined Compare'!$D$3="All",TRUE,IF(F525='Refined Compare'!$D$3,TRUE,IF(G525='Refined Compare'!$D$3,TRUE,FALSE)))</f>
        <v>1</v>
      </c>
      <c r="AZ525" s="174" t="b">
        <f t="shared" si="151"/>
        <v>1</v>
      </c>
    </row>
    <row r="526" spans="1:52" x14ac:dyDescent="0.35">
      <c r="A526">
        <f t="shared" si="138"/>
        <v>525</v>
      </c>
      <c r="B526" s="18">
        <v>456</v>
      </c>
      <c r="C526" s="61">
        <v>4</v>
      </c>
      <c r="D526" s="118" t="b">
        <v>0</v>
      </c>
      <c r="E526" s="61"/>
      <c r="F526" s="66" t="s">
        <v>810</v>
      </c>
      <c r="G526" s="66" t="s">
        <v>827</v>
      </c>
      <c r="H526" s="38" t="s">
        <v>403</v>
      </c>
      <c r="I526" s="39">
        <f t="shared" si="139"/>
        <v>49</v>
      </c>
      <c r="J526" s="40">
        <f t="shared" si="140"/>
        <v>49</v>
      </c>
      <c r="K526" s="41">
        <f t="shared" si="141"/>
        <v>56</v>
      </c>
      <c r="L526" s="42">
        <f t="shared" si="142"/>
        <v>49</v>
      </c>
      <c r="M526" s="43">
        <f t="shared" si="143"/>
        <v>61</v>
      </c>
      <c r="N526" s="44">
        <f t="shared" si="144"/>
        <v>66</v>
      </c>
      <c r="O526" s="45">
        <f t="shared" si="145"/>
        <v>330</v>
      </c>
      <c r="P526" s="19">
        <f t="shared" si="146"/>
        <v>55</v>
      </c>
      <c r="Q526" s="177">
        <v>49</v>
      </c>
      <c r="R526" s="40">
        <v>49</v>
      </c>
      <c r="S526" s="41">
        <v>56</v>
      </c>
      <c r="T526" s="42">
        <v>49</v>
      </c>
      <c r="U526" s="43">
        <v>61</v>
      </c>
      <c r="V526" s="44">
        <v>66</v>
      </c>
      <c r="W526" s="45">
        <f t="shared" si="149"/>
        <v>330</v>
      </c>
      <c r="X526" s="19">
        <f t="shared" si="150"/>
        <v>55</v>
      </c>
      <c r="Y526" s="3">
        <v>49</v>
      </c>
      <c r="Z526" s="4">
        <v>49</v>
      </c>
      <c r="AA526" s="5">
        <v>56</v>
      </c>
      <c r="AB526" s="6">
        <v>49</v>
      </c>
      <c r="AC526" s="7">
        <v>61</v>
      </c>
      <c r="AD526" s="8">
        <v>66</v>
      </c>
      <c r="AE526" s="1">
        <v>330</v>
      </c>
      <c r="AF526" s="19">
        <v>55</v>
      </c>
      <c r="AG526" s="139">
        <v>49</v>
      </c>
      <c r="AH526" s="140">
        <v>49</v>
      </c>
      <c r="AI526" s="141">
        <v>56</v>
      </c>
      <c r="AJ526" s="142">
        <v>49</v>
      </c>
      <c r="AK526" s="143">
        <v>61</v>
      </c>
      <c r="AL526" s="144">
        <v>66</v>
      </c>
      <c r="AM526" s="138">
        <v>330</v>
      </c>
      <c r="AN526" s="153">
        <v>55</v>
      </c>
      <c r="AW526" s="45"/>
      <c r="AX526" s="174" t="b">
        <f>IF('Refined Compare'!$D$2="All",TRUE,IF(F526='Refined Compare'!$D$2,TRUE,IF(G526='Refined Compare'!$D$2,TRUE,FALSE)))</f>
        <v>0</v>
      </c>
      <c r="AY526" s="174" t="b">
        <f>IF('Refined Compare'!$D$3="All",TRUE,IF(F526='Refined Compare'!$D$3,TRUE,IF(G526='Refined Compare'!$D$3,TRUE,FALSE)))</f>
        <v>1</v>
      </c>
      <c r="AZ526" s="174" t="b">
        <f t="shared" si="151"/>
        <v>1</v>
      </c>
    </row>
    <row r="527" spans="1:52" x14ac:dyDescent="0.35">
      <c r="A527">
        <f t="shared" ref="A527:A590" si="152">A526+1</f>
        <v>526</v>
      </c>
      <c r="B527" s="18">
        <v>457</v>
      </c>
      <c r="C527" s="61">
        <v>4</v>
      </c>
      <c r="D527" s="118" t="b">
        <v>1</v>
      </c>
      <c r="E527" s="61"/>
      <c r="F527" s="66" t="s">
        <v>810</v>
      </c>
      <c r="G527" s="66" t="s">
        <v>827</v>
      </c>
      <c r="H527" s="38" t="s">
        <v>607</v>
      </c>
      <c r="I527" s="39">
        <f t="shared" si="139"/>
        <v>69</v>
      </c>
      <c r="J527" s="40">
        <f t="shared" si="140"/>
        <v>69</v>
      </c>
      <c r="K527" s="41">
        <f t="shared" si="141"/>
        <v>76</v>
      </c>
      <c r="L527" s="42">
        <f t="shared" si="142"/>
        <v>69</v>
      </c>
      <c r="M527" s="43">
        <f t="shared" si="143"/>
        <v>86</v>
      </c>
      <c r="N527" s="44">
        <f t="shared" si="144"/>
        <v>91</v>
      </c>
      <c r="O527" s="45">
        <f t="shared" si="145"/>
        <v>460</v>
      </c>
      <c r="P527" s="19">
        <f t="shared" si="146"/>
        <v>76.67</v>
      </c>
      <c r="Q527" s="177">
        <v>69</v>
      </c>
      <c r="R527" s="40">
        <v>69</v>
      </c>
      <c r="S527" s="41">
        <v>76</v>
      </c>
      <c r="T527" s="42">
        <v>69</v>
      </c>
      <c r="U527" s="43">
        <v>86</v>
      </c>
      <c r="V527" s="44">
        <v>91</v>
      </c>
      <c r="W527" s="45">
        <f t="shared" si="149"/>
        <v>460</v>
      </c>
      <c r="X527" s="19">
        <f t="shared" si="150"/>
        <v>76.67</v>
      </c>
      <c r="Y527" s="3">
        <v>69</v>
      </c>
      <c r="Z527" s="4">
        <v>69</v>
      </c>
      <c r="AA527" s="5">
        <v>76</v>
      </c>
      <c r="AB527" s="6">
        <v>69</v>
      </c>
      <c r="AC527" s="7">
        <v>86</v>
      </c>
      <c r="AD527" s="8">
        <v>91</v>
      </c>
      <c r="AE527" s="1">
        <v>460</v>
      </c>
      <c r="AF527" s="19">
        <v>76.67</v>
      </c>
      <c r="AG527" s="139">
        <v>69</v>
      </c>
      <c r="AH527" s="140">
        <v>69</v>
      </c>
      <c r="AI527" s="141">
        <v>76</v>
      </c>
      <c r="AJ527" s="142">
        <v>69</v>
      </c>
      <c r="AK527" s="143">
        <v>86</v>
      </c>
      <c r="AL527" s="144">
        <v>91</v>
      </c>
      <c r="AM527" s="138">
        <v>460</v>
      </c>
      <c r="AN527" s="153">
        <v>76.67</v>
      </c>
      <c r="AW527" s="45"/>
      <c r="AX527" s="174" t="b">
        <f>IF('Refined Compare'!$D$2="All",TRUE,IF(F527='Refined Compare'!$D$2,TRUE,IF(G527='Refined Compare'!$D$2,TRUE,FALSE)))</f>
        <v>0</v>
      </c>
      <c r="AY527" s="174" t="b">
        <f>IF('Refined Compare'!$D$3="All",TRUE,IF(F527='Refined Compare'!$D$3,TRUE,IF(G527='Refined Compare'!$D$3,TRUE,FALSE)))</f>
        <v>1</v>
      </c>
      <c r="AZ527" s="174" t="b">
        <f t="shared" si="151"/>
        <v>1</v>
      </c>
    </row>
    <row r="528" spans="1:52" x14ac:dyDescent="0.35">
      <c r="A528">
        <f t="shared" si="152"/>
        <v>527</v>
      </c>
      <c r="B528" s="18">
        <v>458</v>
      </c>
      <c r="C528" s="61">
        <v>4</v>
      </c>
      <c r="D528" s="61" t="b">
        <v>0</v>
      </c>
      <c r="E528" s="61"/>
      <c r="F528" s="66" t="s">
        <v>810</v>
      </c>
      <c r="G528" s="66" t="s">
        <v>809</v>
      </c>
      <c r="H528" s="38" t="s">
        <v>245</v>
      </c>
      <c r="I528" s="39">
        <f t="shared" si="139"/>
        <v>45</v>
      </c>
      <c r="J528" s="40">
        <f t="shared" si="140"/>
        <v>20</v>
      </c>
      <c r="K528" s="41">
        <f t="shared" si="141"/>
        <v>50</v>
      </c>
      <c r="L528" s="42">
        <f t="shared" si="142"/>
        <v>60</v>
      </c>
      <c r="M528" s="43">
        <f t="shared" si="143"/>
        <v>120</v>
      </c>
      <c r="N528" s="44">
        <f t="shared" si="144"/>
        <v>50</v>
      </c>
      <c r="O528" s="45">
        <f t="shared" si="145"/>
        <v>345</v>
      </c>
      <c r="P528" s="19">
        <f t="shared" si="146"/>
        <v>57.5</v>
      </c>
      <c r="Q528" s="177">
        <v>45</v>
      </c>
      <c r="R528" s="40">
        <v>20</v>
      </c>
      <c r="S528" s="41">
        <v>50</v>
      </c>
      <c r="T528" s="42">
        <v>60</v>
      </c>
      <c r="U528" s="43">
        <v>120</v>
      </c>
      <c r="V528" s="44">
        <v>50</v>
      </c>
      <c r="W528" s="45">
        <f t="shared" si="149"/>
        <v>345</v>
      </c>
      <c r="X528" s="19">
        <f t="shared" si="150"/>
        <v>57.5</v>
      </c>
      <c r="Y528" s="3">
        <v>45</v>
      </c>
      <c r="Z528" s="4">
        <v>20</v>
      </c>
      <c r="AA528" s="5">
        <v>50</v>
      </c>
      <c r="AB528" s="6">
        <v>60</v>
      </c>
      <c r="AC528" s="7">
        <v>120</v>
      </c>
      <c r="AD528" s="8">
        <v>50</v>
      </c>
      <c r="AE528" s="1">
        <v>345</v>
      </c>
      <c r="AF528" s="19">
        <v>57.5</v>
      </c>
      <c r="AG528" s="139">
        <v>45</v>
      </c>
      <c r="AH528" s="140">
        <v>20</v>
      </c>
      <c r="AI528" s="141">
        <v>50</v>
      </c>
      <c r="AJ528" s="142">
        <v>60</v>
      </c>
      <c r="AK528" s="143">
        <v>120</v>
      </c>
      <c r="AL528" s="144">
        <v>50</v>
      </c>
      <c r="AM528" s="138">
        <v>345</v>
      </c>
      <c r="AN528" s="153">
        <v>57.5</v>
      </c>
      <c r="AW528" s="45"/>
      <c r="AX528" s="174" t="b">
        <f>IF('Refined Compare'!$D$2="All",TRUE,IF(F528='Refined Compare'!$D$2,TRUE,IF(G528='Refined Compare'!$D$2,TRUE,FALSE)))</f>
        <v>0</v>
      </c>
      <c r="AY528" s="174" t="b">
        <f>IF('Refined Compare'!$D$3="All",TRUE,IF(F528='Refined Compare'!$D$3,TRUE,IF(G528='Refined Compare'!$D$3,TRUE,FALSE)))</f>
        <v>0</v>
      </c>
      <c r="AZ528" s="174" t="b">
        <f t="shared" si="151"/>
        <v>1</v>
      </c>
    </row>
    <row r="529" spans="1:52" x14ac:dyDescent="0.35">
      <c r="A529">
        <f t="shared" si="152"/>
        <v>528</v>
      </c>
      <c r="B529" s="18">
        <v>459</v>
      </c>
      <c r="C529" s="61">
        <v>4</v>
      </c>
      <c r="D529" s="61" t="b">
        <v>0</v>
      </c>
      <c r="E529" s="61"/>
      <c r="F529" s="66" t="s">
        <v>806</v>
      </c>
      <c r="G529" s="66" t="s">
        <v>820</v>
      </c>
      <c r="H529" s="38" t="s">
        <v>146</v>
      </c>
      <c r="I529" s="39">
        <f t="shared" si="139"/>
        <v>60</v>
      </c>
      <c r="J529" s="40">
        <f t="shared" si="140"/>
        <v>62</v>
      </c>
      <c r="K529" s="41">
        <f t="shared" si="141"/>
        <v>50</v>
      </c>
      <c r="L529" s="42">
        <f t="shared" si="142"/>
        <v>62</v>
      </c>
      <c r="M529" s="43">
        <f t="shared" si="143"/>
        <v>60</v>
      </c>
      <c r="N529" s="44">
        <f t="shared" si="144"/>
        <v>40</v>
      </c>
      <c r="O529" s="45">
        <f t="shared" si="145"/>
        <v>334</v>
      </c>
      <c r="P529" s="19">
        <f t="shared" si="146"/>
        <v>55.67</v>
      </c>
      <c r="Q529" s="177">
        <v>60</v>
      </c>
      <c r="R529" s="40">
        <v>62</v>
      </c>
      <c r="S529" s="41">
        <v>50</v>
      </c>
      <c r="T529" s="42">
        <v>62</v>
      </c>
      <c r="U529" s="43">
        <v>60</v>
      </c>
      <c r="V529" s="44">
        <v>40</v>
      </c>
      <c r="W529" s="45">
        <f t="shared" si="149"/>
        <v>334</v>
      </c>
      <c r="X529" s="19">
        <f t="shared" si="150"/>
        <v>55.67</v>
      </c>
      <c r="Y529" s="3">
        <v>60</v>
      </c>
      <c r="Z529" s="4">
        <v>62</v>
      </c>
      <c r="AA529" s="5">
        <v>50</v>
      </c>
      <c r="AB529" s="6">
        <v>62</v>
      </c>
      <c r="AC529" s="7">
        <v>60</v>
      </c>
      <c r="AD529" s="8">
        <v>40</v>
      </c>
      <c r="AE529" s="1">
        <v>334</v>
      </c>
      <c r="AF529" s="19">
        <v>55.67</v>
      </c>
      <c r="AG529" s="139">
        <v>60</v>
      </c>
      <c r="AH529" s="140">
        <v>62</v>
      </c>
      <c r="AI529" s="141">
        <v>50</v>
      </c>
      <c r="AJ529" s="142">
        <v>62</v>
      </c>
      <c r="AK529" s="143">
        <v>60</v>
      </c>
      <c r="AL529" s="144">
        <v>40</v>
      </c>
      <c r="AM529" s="138">
        <v>334</v>
      </c>
      <c r="AN529" s="153">
        <v>55.67</v>
      </c>
      <c r="AW529" s="45"/>
      <c r="AX529" s="174" t="b">
        <f>IF('Refined Compare'!$D$2="All",TRUE,IF(F529='Refined Compare'!$D$2,TRUE,IF(G529='Refined Compare'!$D$2,TRUE,FALSE)))</f>
        <v>0</v>
      </c>
      <c r="AY529" s="174" t="b">
        <f>IF('Refined Compare'!$D$3="All",TRUE,IF(F529='Refined Compare'!$D$3,TRUE,IF(G529='Refined Compare'!$D$3,TRUE,FALSE)))</f>
        <v>0</v>
      </c>
      <c r="AZ529" s="174" t="b">
        <f t="shared" si="151"/>
        <v>1</v>
      </c>
    </row>
    <row r="530" spans="1:52" x14ac:dyDescent="0.35">
      <c r="A530">
        <f t="shared" si="152"/>
        <v>529</v>
      </c>
      <c r="B530" s="18">
        <v>460</v>
      </c>
      <c r="C530" s="61">
        <v>4</v>
      </c>
      <c r="D530" s="61" t="b">
        <f>IF($AW$2&lt;6,TRUE,FALSE)</f>
        <v>1</v>
      </c>
      <c r="E530" s="61"/>
      <c r="F530" s="66" t="s">
        <v>806</v>
      </c>
      <c r="G530" s="66" t="s">
        <v>820</v>
      </c>
      <c r="H530" s="38" t="s">
        <v>339</v>
      </c>
      <c r="I530" s="39">
        <f t="shared" si="139"/>
        <v>90</v>
      </c>
      <c r="J530" s="40">
        <f t="shared" si="140"/>
        <v>92</v>
      </c>
      <c r="K530" s="41">
        <f t="shared" si="141"/>
        <v>75</v>
      </c>
      <c r="L530" s="42">
        <f t="shared" si="142"/>
        <v>92</v>
      </c>
      <c r="M530" s="43">
        <f t="shared" si="143"/>
        <v>85</v>
      </c>
      <c r="N530" s="44">
        <f t="shared" si="144"/>
        <v>60</v>
      </c>
      <c r="O530" s="45">
        <f t="shared" si="145"/>
        <v>494</v>
      </c>
      <c r="P530" s="19">
        <f t="shared" si="146"/>
        <v>82.33</v>
      </c>
      <c r="Q530" s="177">
        <v>90</v>
      </c>
      <c r="R530" s="40">
        <v>92</v>
      </c>
      <c r="S530" s="41">
        <v>75</v>
      </c>
      <c r="T530" s="42">
        <v>92</v>
      </c>
      <c r="U530" s="43">
        <v>85</v>
      </c>
      <c r="V530" s="44">
        <v>60</v>
      </c>
      <c r="W530" s="45">
        <f t="shared" si="149"/>
        <v>494</v>
      </c>
      <c r="X530" s="19">
        <f t="shared" si="150"/>
        <v>82.33</v>
      </c>
      <c r="Y530" s="3">
        <v>90</v>
      </c>
      <c r="Z530" s="4">
        <v>92</v>
      </c>
      <c r="AA530" s="5">
        <v>75</v>
      </c>
      <c r="AB530" s="6">
        <v>92</v>
      </c>
      <c r="AC530" s="7">
        <v>85</v>
      </c>
      <c r="AD530" s="8">
        <v>60</v>
      </c>
      <c r="AE530" s="1">
        <v>494</v>
      </c>
      <c r="AF530" s="19">
        <v>82.33</v>
      </c>
      <c r="AG530" s="139">
        <v>90</v>
      </c>
      <c r="AH530" s="140">
        <v>92</v>
      </c>
      <c r="AI530" s="141">
        <v>75</v>
      </c>
      <c r="AJ530" s="142">
        <v>92</v>
      </c>
      <c r="AK530" s="143">
        <v>85</v>
      </c>
      <c r="AL530" s="144">
        <v>60</v>
      </c>
      <c r="AM530" s="138">
        <v>494</v>
      </c>
      <c r="AN530" s="153">
        <v>82.33</v>
      </c>
      <c r="AW530" s="45"/>
      <c r="AX530" s="174" t="b">
        <f>IF('Refined Compare'!$D$2="All",TRUE,IF(F530='Refined Compare'!$D$2,TRUE,IF(G530='Refined Compare'!$D$2,TRUE,FALSE)))</f>
        <v>0</v>
      </c>
      <c r="AY530" s="174" t="b">
        <f>IF('Refined Compare'!$D$3="All",TRUE,IF(F530='Refined Compare'!$D$3,TRUE,IF(G530='Refined Compare'!$D$3,TRUE,FALSE)))</f>
        <v>0</v>
      </c>
      <c r="AZ530" s="174" t="b">
        <f t="shared" si="151"/>
        <v>1</v>
      </c>
    </row>
    <row r="531" spans="1:52" x14ac:dyDescent="0.35">
      <c r="A531">
        <f t="shared" si="152"/>
        <v>530</v>
      </c>
      <c r="B531" s="62">
        <v>460</v>
      </c>
      <c r="C531" s="61">
        <v>6</v>
      </c>
      <c r="D531" s="118" t="b">
        <f>IF(AZ531,TRUE,FALSE)</f>
        <v>0</v>
      </c>
      <c r="E531" s="61" t="s">
        <v>801</v>
      </c>
      <c r="F531" s="66" t="s">
        <v>806</v>
      </c>
      <c r="G531" s="66" t="s">
        <v>820</v>
      </c>
      <c r="H531" s="38" t="s">
        <v>839</v>
      </c>
      <c r="I531" s="39">
        <f t="shared" si="139"/>
        <v>0</v>
      </c>
      <c r="J531" s="40">
        <f t="shared" si="140"/>
        <v>0</v>
      </c>
      <c r="K531" s="41">
        <f t="shared" si="141"/>
        <v>0</v>
      </c>
      <c r="L531" s="42">
        <f t="shared" si="142"/>
        <v>0</v>
      </c>
      <c r="M531" s="43">
        <f t="shared" si="143"/>
        <v>0</v>
      </c>
      <c r="N531" s="44">
        <f t="shared" si="144"/>
        <v>0</v>
      </c>
      <c r="O531" s="45">
        <f t="shared" si="145"/>
        <v>0</v>
      </c>
      <c r="P531" s="19">
        <f t="shared" si="146"/>
        <v>0</v>
      </c>
      <c r="Q531" s="177">
        <v>90</v>
      </c>
      <c r="R531" s="40">
        <v>132</v>
      </c>
      <c r="S531" s="41">
        <v>105</v>
      </c>
      <c r="T531" s="42">
        <v>132</v>
      </c>
      <c r="U531" s="43">
        <v>105</v>
      </c>
      <c r="V531" s="44">
        <v>30</v>
      </c>
      <c r="W531" s="45">
        <f t="shared" si="149"/>
        <v>594</v>
      </c>
      <c r="X531" s="19">
        <f t="shared" si="150"/>
        <v>99</v>
      </c>
      <c r="Y531" s="3">
        <v>90</v>
      </c>
      <c r="Z531" s="4">
        <v>132</v>
      </c>
      <c r="AA531" s="5">
        <v>105</v>
      </c>
      <c r="AB531" s="6">
        <v>132</v>
      </c>
      <c r="AC531" s="7">
        <v>105</v>
      </c>
      <c r="AD531" s="8">
        <v>30</v>
      </c>
      <c r="AE531" s="1">
        <v>594</v>
      </c>
      <c r="AF531" s="19">
        <v>99</v>
      </c>
      <c r="AN531" s="172"/>
      <c r="AV531" s="174"/>
      <c r="AW531" s="45"/>
      <c r="AX531" s="174" t="b">
        <f>IF('Refined Compare'!$D$2="All",TRUE,IF(F531='Refined Compare'!$D$2,TRUE,IF(G531='Refined Compare'!$D$2,TRUE,FALSE)))</f>
        <v>0</v>
      </c>
      <c r="AY531" s="174" t="b">
        <f>IF('Refined Compare'!$D$3="All",TRUE,IF(F531='Refined Compare'!$D$3,TRUE,IF(G531='Refined Compare'!$D$3,TRUE,FALSE)))</f>
        <v>0</v>
      </c>
      <c r="AZ531" s="174" t="b">
        <f t="shared" si="151"/>
        <v>0</v>
      </c>
    </row>
    <row r="532" spans="1:52" x14ac:dyDescent="0.35">
      <c r="A532">
        <f t="shared" si="152"/>
        <v>531</v>
      </c>
      <c r="B532" s="18">
        <v>461</v>
      </c>
      <c r="C532" s="61">
        <v>4</v>
      </c>
      <c r="D532" s="118" t="b">
        <v>1</v>
      </c>
      <c r="E532" s="61"/>
      <c r="F532" s="66" t="s">
        <v>823</v>
      </c>
      <c r="G532" s="66" t="s">
        <v>820</v>
      </c>
      <c r="H532" s="38" t="s">
        <v>758</v>
      </c>
      <c r="I532" s="39">
        <f t="shared" si="139"/>
        <v>70</v>
      </c>
      <c r="J532" s="40">
        <f t="shared" si="140"/>
        <v>120</v>
      </c>
      <c r="K532" s="41">
        <f t="shared" si="141"/>
        <v>65</v>
      </c>
      <c r="L532" s="42">
        <f t="shared" si="142"/>
        <v>45</v>
      </c>
      <c r="M532" s="43">
        <f t="shared" si="143"/>
        <v>85</v>
      </c>
      <c r="N532" s="44">
        <f t="shared" si="144"/>
        <v>125</v>
      </c>
      <c r="O532" s="45">
        <f t="shared" si="145"/>
        <v>510</v>
      </c>
      <c r="P532" s="19">
        <f t="shared" si="146"/>
        <v>85</v>
      </c>
      <c r="Q532" s="177">
        <v>70</v>
      </c>
      <c r="R532" s="40">
        <v>120</v>
      </c>
      <c r="S532" s="41">
        <v>65</v>
      </c>
      <c r="T532" s="42">
        <v>45</v>
      </c>
      <c r="U532" s="43">
        <v>85</v>
      </c>
      <c r="V532" s="44">
        <v>125</v>
      </c>
      <c r="W532" s="45">
        <f t="shared" si="149"/>
        <v>510</v>
      </c>
      <c r="X532" s="19">
        <f t="shared" si="150"/>
        <v>85</v>
      </c>
      <c r="Y532" s="3">
        <v>70</v>
      </c>
      <c r="Z532" s="4">
        <v>120</v>
      </c>
      <c r="AA532" s="5">
        <v>65</v>
      </c>
      <c r="AB532" s="6">
        <v>45</v>
      </c>
      <c r="AC532" s="7">
        <v>85</v>
      </c>
      <c r="AD532" s="8">
        <v>125</v>
      </c>
      <c r="AE532" s="1">
        <v>510</v>
      </c>
      <c r="AF532" s="19">
        <v>85</v>
      </c>
      <c r="AG532" s="139">
        <v>70</v>
      </c>
      <c r="AH532" s="140">
        <v>120</v>
      </c>
      <c r="AI532" s="141">
        <v>65</v>
      </c>
      <c r="AJ532" s="142">
        <v>45</v>
      </c>
      <c r="AK532" s="143">
        <v>85</v>
      </c>
      <c r="AL532" s="144">
        <v>125</v>
      </c>
      <c r="AM532" s="138">
        <v>510</v>
      </c>
      <c r="AN532" s="153">
        <v>85</v>
      </c>
      <c r="AW532" s="45"/>
      <c r="AX532" s="174" t="b">
        <f>IF('Refined Compare'!$D$2="All",TRUE,IF(F532='Refined Compare'!$D$2,TRUE,IF(G532='Refined Compare'!$D$2,TRUE,FALSE)))</f>
        <v>1</v>
      </c>
      <c r="AY532" s="174" t="b">
        <f>IF('Refined Compare'!$D$3="All",TRUE,IF(F532='Refined Compare'!$D$3,TRUE,IF(G532='Refined Compare'!$D$3,TRUE,FALSE)))</f>
        <v>0</v>
      </c>
      <c r="AZ532" s="174" t="b">
        <f t="shared" si="151"/>
        <v>1</v>
      </c>
    </row>
    <row r="533" spans="1:52" x14ac:dyDescent="0.35">
      <c r="A533">
        <f t="shared" si="152"/>
        <v>532</v>
      </c>
      <c r="B533" s="18">
        <v>462</v>
      </c>
      <c r="C533" s="61">
        <v>4</v>
      </c>
      <c r="D533" s="118" t="b">
        <v>1</v>
      </c>
      <c r="E533" s="61"/>
      <c r="F533" s="66" t="s">
        <v>813</v>
      </c>
      <c r="G533" s="66" t="s">
        <v>819</v>
      </c>
      <c r="H533" s="38" t="s">
        <v>340</v>
      </c>
      <c r="I533" s="39">
        <f t="shared" si="139"/>
        <v>70</v>
      </c>
      <c r="J533" s="40">
        <f t="shared" si="140"/>
        <v>70</v>
      </c>
      <c r="K533" s="41">
        <f t="shared" si="141"/>
        <v>115</v>
      </c>
      <c r="L533" s="42">
        <f t="shared" si="142"/>
        <v>130</v>
      </c>
      <c r="M533" s="43">
        <f t="shared" si="143"/>
        <v>90</v>
      </c>
      <c r="N533" s="44">
        <f t="shared" si="144"/>
        <v>60</v>
      </c>
      <c r="O533" s="45">
        <f t="shared" si="145"/>
        <v>535</v>
      </c>
      <c r="P533" s="19">
        <f t="shared" si="146"/>
        <v>89.17</v>
      </c>
      <c r="Q533" s="177">
        <v>70</v>
      </c>
      <c r="R533" s="40">
        <v>70</v>
      </c>
      <c r="S533" s="41">
        <v>115</v>
      </c>
      <c r="T533" s="42">
        <v>130</v>
      </c>
      <c r="U533" s="43">
        <v>90</v>
      </c>
      <c r="V533" s="44">
        <v>60</v>
      </c>
      <c r="W533" s="45">
        <f t="shared" ref="W533:W596" si="153">SUM(Q533:V533)</f>
        <v>535</v>
      </c>
      <c r="X533" s="19">
        <f t="shared" ref="X533:X596" si="154">ROUND(AVERAGE(Q533:V533),2)</f>
        <v>89.17</v>
      </c>
      <c r="Y533" s="3">
        <v>70</v>
      </c>
      <c r="Z533" s="4">
        <v>70</v>
      </c>
      <c r="AA533" s="5">
        <v>115</v>
      </c>
      <c r="AB533" s="6">
        <v>130</v>
      </c>
      <c r="AC533" s="7">
        <v>90</v>
      </c>
      <c r="AD533" s="8">
        <v>60</v>
      </c>
      <c r="AE533" s="1">
        <v>535</v>
      </c>
      <c r="AF533" s="19">
        <v>89.17</v>
      </c>
      <c r="AG533" s="139">
        <v>70</v>
      </c>
      <c r="AH533" s="140">
        <v>70</v>
      </c>
      <c r="AI533" s="141">
        <v>115</v>
      </c>
      <c r="AJ533" s="142">
        <v>130</v>
      </c>
      <c r="AK533" s="143">
        <v>90</v>
      </c>
      <c r="AL533" s="144">
        <v>60</v>
      </c>
      <c r="AM533" s="138">
        <v>535</v>
      </c>
      <c r="AN533" s="153">
        <v>89.17</v>
      </c>
      <c r="AW533" s="45"/>
      <c r="AX533" s="174" t="b">
        <f>IF('Refined Compare'!$D$2="All",TRUE,IF(F533='Refined Compare'!$D$2,TRUE,IF(G533='Refined Compare'!$D$2,TRUE,FALSE)))</f>
        <v>0</v>
      </c>
      <c r="AY533" s="174" t="b">
        <f>IF('Refined Compare'!$D$3="All",TRUE,IF(F533='Refined Compare'!$D$3,TRUE,IF(G533='Refined Compare'!$D$3,TRUE,FALSE)))</f>
        <v>0</v>
      </c>
      <c r="AZ533" s="174" t="b">
        <f t="shared" si="151"/>
        <v>1</v>
      </c>
    </row>
    <row r="534" spans="1:52" x14ac:dyDescent="0.35">
      <c r="A534">
        <f t="shared" si="152"/>
        <v>533</v>
      </c>
      <c r="B534" s="18">
        <v>463</v>
      </c>
      <c r="C534" s="61">
        <v>4</v>
      </c>
      <c r="D534" s="118" t="b">
        <v>1</v>
      </c>
      <c r="E534" s="61"/>
      <c r="F534" s="66" t="s">
        <v>812</v>
      </c>
      <c r="G534" s="66" t="s">
        <v>827</v>
      </c>
      <c r="H534" s="38" t="s">
        <v>246</v>
      </c>
      <c r="I534" s="39">
        <f t="shared" ref="I534:I597" si="155">IF($AW$2=7,Q534,IF($AW$2=6,Y534,IF($AW$2=1,AO534,AG534)))</f>
        <v>110</v>
      </c>
      <c r="J534" s="40">
        <f t="shared" ref="J534:J597" si="156">IF($AW$2=7,R534,IF($AW$2=6,Z534,IF($AW$2=1,AP534,AH534)))</f>
        <v>85</v>
      </c>
      <c r="K534" s="41">
        <f t="shared" ref="K534:K597" si="157">IF($AW$2=7,S534,IF($AW$2=6,AA534,IF($AW$2=1,AQ534,AI534)))</f>
        <v>95</v>
      </c>
      <c r="L534" s="42">
        <f t="shared" ref="L534:L597" si="158">IF($AW$2=7,T534,IF($AW$2=6,AB534,IF($AW$2=1,AR534,AJ534)))</f>
        <v>80</v>
      </c>
      <c r="M534" s="43">
        <f t="shared" ref="M534:M597" si="159">IF($AW$2=7,U534,IF($AW$2=6,AC534,IF($AW$2=1,AS534,AK534)))</f>
        <v>95</v>
      </c>
      <c r="N534" s="44">
        <f t="shared" ref="N534:N597" si="160">IF($AW$2=7,V534,IF($AW$2=6,AD534,IF($AW$2=1,AT534,AL534)))</f>
        <v>50</v>
      </c>
      <c r="O534" s="45">
        <f t="shared" ref="O534:O597" si="161">IF($AW$2=7,W534,IF($AW$2=6,AE534,IF($AW$2=1,AU534,AM534)))</f>
        <v>515</v>
      </c>
      <c r="P534" s="19">
        <f t="shared" ref="P534:P597" si="162">IF($AW$2=7,X534,IF($AW$2=6,AF534,IF($AW$2=1,AV534,AN534)))</f>
        <v>85.83</v>
      </c>
      <c r="Q534" s="177">
        <v>110</v>
      </c>
      <c r="R534" s="40">
        <v>85</v>
      </c>
      <c r="S534" s="41">
        <v>95</v>
      </c>
      <c r="T534" s="42">
        <v>80</v>
      </c>
      <c r="U534" s="43">
        <v>95</v>
      </c>
      <c r="V534" s="44">
        <v>50</v>
      </c>
      <c r="W534" s="45">
        <f t="shared" si="153"/>
        <v>515</v>
      </c>
      <c r="X534" s="19">
        <f t="shared" si="154"/>
        <v>85.83</v>
      </c>
      <c r="Y534" s="3">
        <v>110</v>
      </c>
      <c r="Z534" s="4">
        <v>85</v>
      </c>
      <c r="AA534" s="5">
        <v>95</v>
      </c>
      <c r="AB534" s="6">
        <v>80</v>
      </c>
      <c r="AC534" s="7">
        <v>95</v>
      </c>
      <c r="AD534" s="8">
        <v>50</v>
      </c>
      <c r="AE534" s="1">
        <v>515</v>
      </c>
      <c r="AF534" s="19">
        <v>85.83</v>
      </c>
      <c r="AG534" s="139">
        <v>110</v>
      </c>
      <c r="AH534" s="140">
        <v>85</v>
      </c>
      <c r="AI534" s="141">
        <v>95</v>
      </c>
      <c r="AJ534" s="142">
        <v>80</v>
      </c>
      <c r="AK534" s="143">
        <v>95</v>
      </c>
      <c r="AL534" s="144">
        <v>50</v>
      </c>
      <c r="AM534" s="138">
        <v>515</v>
      </c>
      <c r="AN534" s="153">
        <v>85.83</v>
      </c>
      <c r="AW534" s="45"/>
      <c r="AX534" s="174" t="b">
        <f>IF('Refined Compare'!$D$2="All",TRUE,IF(F534='Refined Compare'!$D$2,TRUE,IF(G534='Refined Compare'!$D$2,TRUE,FALSE)))</f>
        <v>0</v>
      </c>
      <c r="AY534" s="174" t="b">
        <f>IF('Refined Compare'!$D$3="All",TRUE,IF(F534='Refined Compare'!$D$3,TRUE,IF(G534='Refined Compare'!$D$3,TRUE,FALSE)))</f>
        <v>1</v>
      </c>
      <c r="AZ534" s="174" t="b">
        <f t="shared" si="151"/>
        <v>1</v>
      </c>
    </row>
    <row r="535" spans="1:52" x14ac:dyDescent="0.35">
      <c r="A535">
        <f t="shared" si="152"/>
        <v>534</v>
      </c>
      <c r="B535" s="18">
        <v>464</v>
      </c>
      <c r="C535" s="61">
        <v>4</v>
      </c>
      <c r="D535" s="118" t="b">
        <v>1</v>
      </c>
      <c r="E535" s="61"/>
      <c r="F535" s="66" t="s">
        <v>814</v>
      </c>
      <c r="G535" s="66" t="s">
        <v>818</v>
      </c>
      <c r="H535" s="38" t="s">
        <v>147</v>
      </c>
      <c r="I535" s="39">
        <f t="shared" si="155"/>
        <v>115</v>
      </c>
      <c r="J535" s="40">
        <f t="shared" si="156"/>
        <v>140</v>
      </c>
      <c r="K535" s="41">
        <f t="shared" si="157"/>
        <v>130</v>
      </c>
      <c r="L535" s="42">
        <f t="shared" si="158"/>
        <v>55</v>
      </c>
      <c r="M535" s="43">
        <f t="shared" si="159"/>
        <v>55</v>
      </c>
      <c r="N535" s="44">
        <f t="shared" si="160"/>
        <v>40</v>
      </c>
      <c r="O535" s="45">
        <f t="shared" si="161"/>
        <v>535</v>
      </c>
      <c r="P535" s="19">
        <f t="shared" si="162"/>
        <v>89.17</v>
      </c>
      <c r="Q535" s="177">
        <v>115</v>
      </c>
      <c r="R535" s="40">
        <v>140</v>
      </c>
      <c r="S535" s="41">
        <v>130</v>
      </c>
      <c r="T535" s="42">
        <v>55</v>
      </c>
      <c r="U535" s="43">
        <v>55</v>
      </c>
      <c r="V535" s="44">
        <v>40</v>
      </c>
      <c r="W535" s="45">
        <f t="shared" si="153"/>
        <v>535</v>
      </c>
      <c r="X535" s="19">
        <f t="shared" si="154"/>
        <v>89.17</v>
      </c>
      <c r="Y535" s="3">
        <v>115</v>
      </c>
      <c r="Z535" s="4">
        <v>140</v>
      </c>
      <c r="AA535" s="5">
        <v>130</v>
      </c>
      <c r="AB535" s="6">
        <v>55</v>
      </c>
      <c r="AC535" s="7">
        <v>55</v>
      </c>
      <c r="AD535" s="8">
        <v>40</v>
      </c>
      <c r="AE535" s="1">
        <v>535</v>
      </c>
      <c r="AF535" s="19">
        <v>89.17</v>
      </c>
      <c r="AG535" s="139">
        <v>115</v>
      </c>
      <c r="AH535" s="140">
        <v>140</v>
      </c>
      <c r="AI535" s="141">
        <v>130</v>
      </c>
      <c r="AJ535" s="142">
        <v>55</v>
      </c>
      <c r="AK535" s="143">
        <v>55</v>
      </c>
      <c r="AL535" s="144">
        <v>40</v>
      </c>
      <c r="AM535" s="138">
        <v>535</v>
      </c>
      <c r="AN535" s="153">
        <v>89.17</v>
      </c>
      <c r="AW535" s="45"/>
      <c r="AX535" s="174" t="b">
        <f>IF('Refined Compare'!$D$2="All",TRUE,IF(F535='Refined Compare'!$D$2,TRUE,IF(G535='Refined Compare'!$D$2,TRUE,FALSE)))</f>
        <v>0</v>
      </c>
      <c r="AY535" s="174" t="b">
        <f>IF('Refined Compare'!$D$3="All",TRUE,IF(F535='Refined Compare'!$D$3,TRUE,IF(G535='Refined Compare'!$D$3,TRUE,FALSE)))</f>
        <v>0</v>
      </c>
      <c r="AZ535" s="174" t="b">
        <f t="shared" si="151"/>
        <v>1</v>
      </c>
    </row>
    <row r="536" spans="1:52" x14ac:dyDescent="0.35">
      <c r="A536">
        <f t="shared" si="152"/>
        <v>535</v>
      </c>
      <c r="B536" s="18">
        <v>465</v>
      </c>
      <c r="C536" s="61">
        <v>4</v>
      </c>
      <c r="D536" s="118" t="b">
        <v>1</v>
      </c>
      <c r="E536" s="61"/>
      <c r="F536" s="66" t="s">
        <v>806</v>
      </c>
      <c r="G536" s="66" t="s">
        <v>827</v>
      </c>
      <c r="H536" s="38" t="s">
        <v>247</v>
      </c>
      <c r="I536" s="39">
        <f t="shared" si="155"/>
        <v>100</v>
      </c>
      <c r="J536" s="40">
        <f t="shared" si="156"/>
        <v>100</v>
      </c>
      <c r="K536" s="41">
        <f t="shared" si="157"/>
        <v>125</v>
      </c>
      <c r="L536" s="42">
        <f t="shared" si="158"/>
        <v>110</v>
      </c>
      <c r="M536" s="43">
        <f t="shared" si="159"/>
        <v>50</v>
      </c>
      <c r="N536" s="44">
        <f t="shared" si="160"/>
        <v>50</v>
      </c>
      <c r="O536" s="45">
        <f t="shared" si="161"/>
        <v>535</v>
      </c>
      <c r="P536" s="19">
        <f t="shared" si="162"/>
        <v>89.17</v>
      </c>
      <c r="Q536" s="177">
        <v>100</v>
      </c>
      <c r="R536" s="40">
        <v>100</v>
      </c>
      <c r="S536" s="41">
        <v>125</v>
      </c>
      <c r="T536" s="42">
        <v>110</v>
      </c>
      <c r="U536" s="43">
        <v>50</v>
      </c>
      <c r="V536" s="44">
        <v>50</v>
      </c>
      <c r="W536" s="45">
        <f t="shared" si="153"/>
        <v>535</v>
      </c>
      <c r="X536" s="19">
        <f t="shared" si="154"/>
        <v>89.17</v>
      </c>
      <c r="Y536" s="3">
        <v>100</v>
      </c>
      <c r="Z536" s="4">
        <v>100</v>
      </c>
      <c r="AA536" s="5">
        <v>125</v>
      </c>
      <c r="AB536" s="6">
        <v>110</v>
      </c>
      <c r="AC536" s="7">
        <v>50</v>
      </c>
      <c r="AD536" s="8">
        <v>50</v>
      </c>
      <c r="AE536" s="1">
        <v>535</v>
      </c>
      <c r="AF536" s="19">
        <v>89.17</v>
      </c>
      <c r="AG536" s="139">
        <v>100</v>
      </c>
      <c r="AH536" s="140">
        <v>100</v>
      </c>
      <c r="AI536" s="141">
        <v>125</v>
      </c>
      <c r="AJ536" s="142">
        <v>110</v>
      </c>
      <c r="AK536" s="143">
        <v>50</v>
      </c>
      <c r="AL536" s="144">
        <v>50</v>
      </c>
      <c r="AM536" s="138">
        <v>535</v>
      </c>
      <c r="AN536" s="153">
        <v>89.17</v>
      </c>
      <c r="AW536" s="45"/>
      <c r="AX536" s="174" t="b">
        <f>IF('Refined Compare'!$D$2="All",TRUE,IF(F536='Refined Compare'!$D$2,TRUE,IF(G536='Refined Compare'!$D$2,TRUE,FALSE)))</f>
        <v>0</v>
      </c>
      <c r="AY536" s="174" t="b">
        <f>IF('Refined Compare'!$D$3="All",TRUE,IF(F536='Refined Compare'!$D$3,TRUE,IF(G536='Refined Compare'!$D$3,TRUE,FALSE)))</f>
        <v>1</v>
      </c>
      <c r="AZ536" s="174" t="b">
        <f t="shared" si="151"/>
        <v>1</v>
      </c>
    </row>
    <row r="537" spans="1:52" x14ac:dyDescent="0.35">
      <c r="A537">
        <f t="shared" si="152"/>
        <v>536</v>
      </c>
      <c r="B537" s="18">
        <v>466</v>
      </c>
      <c r="C537" s="61">
        <v>4</v>
      </c>
      <c r="D537" s="118" t="b">
        <v>1</v>
      </c>
      <c r="E537" s="61"/>
      <c r="F537" s="66" t="s">
        <v>813</v>
      </c>
      <c r="G537" s="66" t="s">
        <v>827</v>
      </c>
      <c r="H537" s="38" t="s">
        <v>631</v>
      </c>
      <c r="I537" s="39">
        <f t="shared" si="155"/>
        <v>75</v>
      </c>
      <c r="J537" s="40">
        <f t="shared" si="156"/>
        <v>123</v>
      </c>
      <c r="K537" s="41">
        <f t="shared" si="157"/>
        <v>67</v>
      </c>
      <c r="L537" s="42">
        <f t="shared" si="158"/>
        <v>95</v>
      </c>
      <c r="M537" s="43">
        <f t="shared" si="159"/>
        <v>85</v>
      </c>
      <c r="N537" s="44">
        <f t="shared" si="160"/>
        <v>95</v>
      </c>
      <c r="O537" s="45">
        <f t="shared" si="161"/>
        <v>540</v>
      </c>
      <c r="P537" s="19">
        <f t="shared" si="162"/>
        <v>90</v>
      </c>
      <c r="Q537" s="177">
        <v>75</v>
      </c>
      <c r="R537" s="40">
        <v>123</v>
      </c>
      <c r="S537" s="41">
        <v>67</v>
      </c>
      <c r="T537" s="42">
        <v>95</v>
      </c>
      <c r="U537" s="43">
        <v>85</v>
      </c>
      <c r="V537" s="44">
        <v>95</v>
      </c>
      <c r="W537" s="45">
        <f t="shared" si="153"/>
        <v>540</v>
      </c>
      <c r="X537" s="19">
        <f t="shared" si="154"/>
        <v>90</v>
      </c>
      <c r="Y537" s="3">
        <v>75</v>
      </c>
      <c r="Z537" s="4">
        <v>123</v>
      </c>
      <c r="AA537" s="5">
        <v>67</v>
      </c>
      <c r="AB537" s="6">
        <v>95</v>
      </c>
      <c r="AC537" s="7">
        <v>85</v>
      </c>
      <c r="AD537" s="8">
        <v>95</v>
      </c>
      <c r="AE537" s="1">
        <v>540</v>
      </c>
      <c r="AF537" s="19">
        <v>90</v>
      </c>
      <c r="AG537" s="139">
        <v>75</v>
      </c>
      <c r="AH537" s="140">
        <v>123</v>
      </c>
      <c r="AI537" s="141">
        <v>67</v>
      </c>
      <c r="AJ537" s="142">
        <v>95</v>
      </c>
      <c r="AK537" s="143">
        <v>85</v>
      </c>
      <c r="AL537" s="144">
        <v>95</v>
      </c>
      <c r="AM537" s="138">
        <v>540</v>
      </c>
      <c r="AN537" s="153">
        <v>90</v>
      </c>
      <c r="AW537" s="45"/>
      <c r="AX537" s="174" t="b">
        <f>IF('Refined Compare'!$D$2="All",TRUE,IF(F537='Refined Compare'!$D$2,TRUE,IF(G537='Refined Compare'!$D$2,TRUE,FALSE)))</f>
        <v>0</v>
      </c>
      <c r="AY537" s="174" t="b">
        <f>IF('Refined Compare'!$D$3="All",TRUE,IF(F537='Refined Compare'!$D$3,TRUE,IF(G537='Refined Compare'!$D$3,TRUE,FALSE)))</f>
        <v>1</v>
      </c>
      <c r="AZ537" s="174" t="b">
        <f t="shared" si="151"/>
        <v>1</v>
      </c>
    </row>
    <row r="538" spans="1:52" x14ac:dyDescent="0.35">
      <c r="A538">
        <f t="shared" si="152"/>
        <v>537</v>
      </c>
      <c r="B538" s="18">
        <v>467</v>
      </c>
      <c r="C538" s="61">
        <v>4</v>
      </c>
      <c r="D538" s="118" t="b">
        <v>1</v>
      </c>
      <c r="E538" s="61"/>
      <c r="F538" s="66" t="s">
        <v>808</v>
      </c>
      <c r="G538" s="66" t="s">
        <v>827</v>
      </c>
      <c r="H538" s="38" t="s">
        <v>535</v>
      </c>
      <c r="I538" s="39">
        <f t="shared" si="155"/>
        <v>75</v>
      </c>
      <c r="J538" s="40">
        <f t="shared" si="156"/>
        <v>95</v>
      </c>
      <c r="K538" s="41">
        <f t="shared" si="157"/>
        <v>67</v>
      </c>
      <c r="L538" s="42">
        <f t="shared" si="158"/>
        <v>125</v>
      </c>
      <c r="M538" s="43">
        <f t="shared" si="159"/>
        <v>95</v>
      </c>
      <c r="N538" s="44">
        <f t="shared" si="160"/>
        <v>83</v>
      </c>
      <c r="O538" s="45">
        <f t="shared" si="161"/>
        <v>540</v>
      </c>
      <c r="P538" s="19">
        <f t="shared" si="162"/>
        <v>90</v>
      </c>
      <c r="Q538" s="177">
        <v>75</v>
      </c>
      <c r="R538" s="40">
        <v>95</v>
      </c>
      <c r="S538" s="41">
        <v>67</v>
      </c>
      <c r="T538" s="42">
        <v>125</v>
      </c>
      <c r="U538" s="43">
        <v>95</v>
      </c>
      <c r="V538" s="44">
        <v>83</v>
      </c>
      <c r="W538" s="45">
        <f t="shared" si="153"/>
        <v>540</v>
      </c>
      <c r="X538" s="19">
        <f t="shared" si="154"/>
        <v>90</v>
      </c>
      <c r="Y538" s="3">
        <v>75</v>
      </c>
      <c r="Z538" s="4">
        <v>95</v>
      </c>
      <c r="AA538" s="5">
        <v>67</v>
      </c>
      <c r="AB538" s="6">
        <v>125</v>
      </c>
      <c r="AC538" s="7">
        <v>95</v>
      </c>
      <c r="AD538" s="8">
        <v>83</v>
      </c>
      <c r="AE538" s="1">
        <v>540</v>
      </c>
      <c r="AF538" s="19">
        <v>90</v>
      </c>
      <c r="AG538" s="139">
        <v>75</v>
      </c>
      <c r="AH538" s="140">
        <v>95</v>
      </c>
      <c r="AI538" s="141">
        <v>67</v>
      </c>
      <c r="AJ538" s="142">
        <v>125</v>
      </c>
      <c r="AK538" s="143">
        <v>95</v>
      </c>
      <c r="AL538" s="144">
        <v>83</v>
      </c>
      <c r="AM538" s="138">
        <v>540</v>
      </c>
      <c r="AN538" s="153">
        <v>90</v>
      </c>
      <c r="AW538" s="45"/>
      <c r="AX538" s="174" t="b">
        <f>IF('Refined Compare'!$D$2="All",TRUE,IF(F538='Refined Compare'!$D$2,TRUE,IF(G538='Refined Compare'!$D$2,TRUE,FALSE)))</f>
        <v>0</v>
      </c>
      <c r="AY538" s="174" t="b">
        <f>IF('Refined Compare'!$D$3="All",TRUE,IF(F538='Refined Compare'!$D$3,TRUE,IF(G538='Refined Compare'!$D$3,TRUE,FALSE)))</f>
        <v>1</v>
      </c>
      <c r="AZ538" s="174" t="b">
        <f t="shared" si="151"/>
        <v>1</v>
      </c>
    </row>
    <row r="539" spans="1:52" x14ac:dyDescent="0.35">
      <c r="A539">
        <f t="shared" si="152"/>
        <v>538</v>
      </c>
      <c r="B539" s="18">
        <v>468</v>
      </c>
      <c r="C539" s="61">
        <v>4</v>
      </c>
      <c r="D539" s="118" t="b">
        <v>1</v>
      </c>
      <c r="E539" s="61"/>
      <c r="F539" s="66" t="str">
        <f>IF($AW$2&lt;6,"Normal","Fairy")</f>
        <v>Normal</v>
      </c>
      <c r="G539" s="66" t="s">
        <v>809</v>
      </c>
      <c r="H539" s="38" t="s">
        <v>518</v>
      </c>
      <c r="I539" s="39">
        <f t="shared" si="155"/>
        <v>85</v>
      </c>
      <c r="J539" s="40">
        <f t="shared" si="156"/>
        <v>50</v>
      </c>
      <c r="K539" s="41">
        <f t="shared" si="157"/>
        <v>95</v>
      </c>
      <c r="L539" s="42">
        <f t="shared" si="158"/>
        <v>120</v>
      </c>
      <c r="M539" s="43">
        <f t="shared" si="159"/>
        <v>115</v>
      </c>
      <c r="N539" s="44">
        <f t="shared" si="160"/>
        <v>80</v>
      </c>
      <c r="O539" s="45">
        <f t="shared" si="161"/>
        <v>545</v>
      </c>
      <c r="P539" s="19">
        <f t="shared" si="162"/>
        <v>90.83</v>
      </c>
      <c r="Q539" s="177">
        <v>85</v>
      </c>
      <c r="R539" s="40">
        <v>50</v>
      </c>
      <c r="S539" s="41">
        <v>95</v>
      </c>
      <c r="T539" s="42">
        <v>120</v>
      </c>
      <c r="U539" s="43">
        <v>115</v>
      </c>
      <c r="V539" s="44">
        <v>80</v>
      </c>
      <c r="W539" s="45">
        <f t="shared" si="153"/>
        <v>545</v>
      </c>
      <c r="X539" s="19">
        <f t="shared" si="154"/>
        <v>90.83</v>
      </c>
      <c r="Y539" s="3">
        <v>85</v>
      </c>
      <c r="Z539" s="4">
        <v>50</v>
      </c>
      <c r="AA539" s="5">
        <v>95</v>
      </c>
      <c r="AB539" s="6">
        <v>120</v>
      </c>
      <c r="AC539" s="7">
        <v>115</v>
      </c>
      <c r="AD539" s="8">
        <v>80</v>
      </c>
      <c r="AE539" s="1">
        <v>545</v>
      </c>
      <c r="AF539" s="19">
        <v>90.83</v>
      </c>
      <c r="AG539" s="139">
        <v>85</v>
      </c>
      <c r="AH539" s="140">
        <v>50</v>
      </c>
      <c r="AI539" s="141">
        <v>95</v>
      </c>
      <c r="AJ539" s="142">
        <v>120</v>
      </c>
      <c r="AK539" s="143">
        <v>115</v>
      </c>
      <c r="AL539" s="144">
        <v>80</v>
      </c>
      <c r="AM539" s="138">
        <v>545</v>
      </c>
      <c r="AN539" s="153">
        <v>90.83</v>
      </c>
      <c r="AW539" s="45"/>
      <c r="AX539" s="174" t="b">
        <f>IF('Refined Compare'!$D$2="All",TRUE,IF(F539='Refined Compare'!$D$2,TRUE,IF(G539='Refined Compare'!$D$2,TRUE,FALSE)))</f>
        <v>0</v>
      </c>
      <c r="AY539" s="174" t="b">
        <f>IF('Refined Compare'!$D$3="All",TRUE,IF(F539='Refined Compare'!$D$3,TRUE,IF(G539='Refined Compare'!$D$3,TRUE,FALSE)))</f>
        <v>0</v>
      </c>
      <c r="AZ539" s="174" t="b">
        <f t="shared" si="151"/>
        <v>1</v>
      </c>
    </row>
    <row r="540" spans="1:52" x14ac:dyDescent="0.35">
      <c r="A540">
        <f t="shared" si="152"/>
        <v>539</v>
      </c>
      <c r="B540" s="18">
        <v>469</v>
      </c>
      <c r="C540" s="61">
        <v>4</v>
      </c>
      <c r="D540" s="118" t="b">
        <v>1</v>
      </c>
      <c r="E540" s="61"/>
      <c r="F540" s="66" t="s">
        <v>811</v>
      </c>
      <c r="G540" s="66" t="s">
        <v>809</v>
      </c>
      <c r="H540" s="38" t="s">
        <v>632</v>
      </c>
      <c r="I540" s="39">
        <f t="shared" si="155"/>
        <v>86</v>
      </c>
      <c r="J540" s="40">
        <f t="shared" si="156"/>
        <v>76</v>
      </c>
      <c r="K540" s="41">
        <f t="shared" si="157"/>
        <v>86</v>
      </c>
      <c r="L540" s="42">
        <f t="shared" si="158"/>
        <v>116</v>
      </c>
      <c r="M540" s="43">
        <f t="shared" si="159"/>
        <v>56</v>
      </c>
      <c r="N540" s="44">
        <f t="shared" si="160"/>
        <v>95</v>
      </c>
      <c r="O540" s="45">
        <f t="shared" si="161"/>
        <v>515</v>
      </c>
      <c r="P540" s="19">
        <f t="shared" si="162"/>
        <v>85.83</v>
      </c>
      <c r="Q540" s="177">
        <v>86</v>
      </c>
      <c r="R540" s="40">
        <v>76</v>
      </c>
      <c r="S540" s="41">
        <v>86</v>
      </c>
      <c r="T540" s="42">
        <v>116</v>
      </c>
      <c r="U540" s="43">
        <v>56</v>
      </c>
      <c r="V540" s="44">
        <v>95</v>
      </c>
      <c r="W540" s="45">
        <f t="shared" si="153"/>
        <v>515</v>
      </c>
      <c r="X540" s="19">
        <f t="shared" si="154"/>
        <v>85.83</v>
      </c>
      <c r="Y540" s="3">
        <v>86</v>
      </c>
      <c r="Z540" s="4">
        <v>76</v>
      </c>
      <c r="AA540" s="5">
        <v>86</v>
      </c>
      <c r="AB540" s="6">
        <v>116</v>
      </c>
      <c r="AC540" s="7">
        <v>56</v>
      </c>
      <c r="AD540" s="8">
        <v>95</v>
      </c>
      <c r="AE540" s="1">
        <v>515</v>
      </c>
      <c r="AF540" s="19">
        <v>85.83</v>
      </c>
      <c r="AG540" s="139">
        <v>86</v>
      </c>
      <c r="AH540" s="140">
        <v>76</v>
      </c>
      <c r="AI540" s="141">
        <v>86</v>
      </c>
      <c r="AJ540" s="142">
        <v>116</v>
      </c>
      <c r="AK540" s="143">
        <v>56</v>
      </c>
      <c r="AL540" s="144">
        <v>95</v>
      </c>
      <c r="AM540" s="138">
        <v>515</v>
      </c>
      <c r="AN540" s="153">
        <v>85.83</v>
      </c>
      <c r="AW540" s="45"/>
      <c r="AX540" s="174" t="b">
        <f>IF('Refined Compare'!$D$2="All",TRUE,IF(F540='Refined Compare'!$D$2,TRUE,IF(G540='Refined Compare'!$D$2,TRUE,FALSE)))</f>
        <v>0</v>
      </c>
      <c r="AY540" s="174" t="b">
        <f>IF('Refined Compare'!$D$3="All",TRUE,IF(F540='Refined Compare'!$D$3,TRUE,IF(G540='Refined Compare'!$D$3,TRUE,FALSE)))</f>
        <v>0</v>
      </c>
      <c r="AZ540" s="174" t="b">
        <f t="shared" si="151"/>
        <v>1</v>
      </c>
    </row>
    <row r="541" spans="1:52" x14ac:dyDescent="0.35">
      <c r="A541">
        <f t="shared" si="152"/>
        <v>540</v>
      </c>
      <c r="B541" s="18">
        <v>470</v>
      </c>
      <c r="C541" s="61">
        <v>4</v>
      </c>
      <c r="D541" s="118" t="b">
        <v>1</v>
      </c>
      <c r="E541" s="61"/>
      <c r="F541" s="66" t="s">
        <v>806</v>
      </c>
      <c r="G541" s="66" t="s">
        <v>827</v>
      </c>
      <c r="H541" s="38" t="s">
        <v>633</v>
      </c>
      <c r="I541" s="39">
        <f t="shared" si="155"/>
        <v>65</v>
      </c>
      <c r="J541" s="40">
        <f t="shared" si="156"/>
        <v>110</v>
      </c>
      <c r="K541" s="41">
        <f t="shared" si="157"/>
        <v>130</v>
      </c>
      <c r="L541" s="42">
        <f t="shared" si="158"/>
        <v>60</v>
      </c>
      <c r="M541" s="43">
        <f t="shared" si="159"/>
        <v>65</v>
      </c>
      <c r="N541" s="44">
        <f t="shared" si="160"/>
        <v>95</v>
      </c>
      <c r="O541" s="45">
        <f t="shared" si="161"/>
        <v>525</v>
      </c>
      <c r="P541" s="19">
        <f t="shared" si="162"/>
        <v>87.5</v>
      </c>
      <c r="Q541" s="177">
        <v>65</v>
      </c>
      <c r="R541" s="40">
        <v>110</v>
      </c>
      <c r="S541" s="41">
        <v>130</v>
      </c>
      <c r="T541" s="42">
        <v>60</v>
      </c>
      <c r="U541" s="43">
        <v>65</v>
      </c>
      <c r="V541" s="44">
        <v>95</v>
      </c>
      <c r="W541" s="45">
        <f t="shared" si="153"/>
        <v>525</v>
      </c>
      <c r="X541" s="19">
        <f t="shared" si="154"/>
        <v>87.5</v>
      </c>
      <c r="Y541" s="3">
        <v>65</v>
      </c>
      <c r="Z541" s="4">
        <v>110</v>
      </c>
      <c r="AA541" s="5">
        <v>130</v>
      </c>
      <c r="AB541" s="6">
        <v>60</v>
      </c>
      <c r="AC541" s="7">
        <v>65</v>
      </c>
      <c r="AD541" s="8">
        <v>95</v>
      </c>
      <c r="AE541" s="1">
        <v>525</v>
      </c>
      <c r="AF541" s="19">
        <v>87.5</v>
      </c>
      <c r="AG541" s="139">
        <v>65</v>
      </c>
      <c r="AH541" s="140">
        <v>110</v>
      </c>
      <c r="AI541" s="141">
        <v>130</v>
      </c>
      <c r="AJ541" s="142">
        <v>60</v>
      </c>
      <c r="AK541" s="143">
        <v>65</v>
      </c>
      <c r="AL541" s="144">
        <v>95</v>
      </c>
      <c r="AM541" s="138">
        <v>525</v>
      </c>
      <c r="AN541" s="153">
        <v>87.5</v>
      </c>
      <c r="AW541" s="45"/>
      <c r="AX541" s="174" t="b">
        <f>IF('Refined Compare'!$D$2="All",TRUE,IF(F541='Refined Compare'!$D$2,TRUE,IF(G541='Refined Compare'!$D$2,TRUE,FALSE)))</f>
        <v>0</v>
      </c>
      <c r="AY541" s="174" t="b">
        <f>IF('Refined Compare'!$D$3="All",TRUE,IF(F541='Refined Compare'!$D$3,TRUE,IF(G541='Refined Compare'!$D$3,TRUE,FALSE)))</f>
        <v>1</v>
      </c>
      <c r="AZ541" s="174" t="b">
        <f t="shared" si="151"/>
        <v>1</v>
      </c>
    </row>
    <row r="542" spans="1:52" x14ac:dyDescent="0.35">
      <c r="A542">
        <f t="shared" si="152"/>
        <v>541</v>
      </c>
      <c r="B542" s="18">
        <v>471</v>
      </c>
      <c r="C542" s="61">
        <v>4</v>
      </c>
      <c r="D542" s="118" t="b">
        <v>1</v>
      </c>
      <c r="E542" s="61"/>
      <c r="F542" s="66" t="s">
        <v>820</v>
      </c>
      <c r="G542" s="66" t="s">
        <v>827</v>
      </c>
      <c r="H542" s="38" t="s">
        <v>391</v>
      </c>
      <c r="I542" s="39">
        <f t="shared" si="155"/>
        <v>65</v>
      </c>
      <c r="J542" s="40">
        <f t="shared" si="156"/>
        <v>60</v>
      </c>
      <c r="K542" s="41">
        <f t="shared" si="157"/>
        <v>110</v>
      </c>
      <c r="L542" s="42">
        <f t="shared" si="158"/>
        <v>130</v>
      </c>
      <c r="M542" s="43">
        <f t="shared" si="159"/>
        <v>95</v>
      </c>
      <c r="N542" s="44">
        <f t="shared" si="160"/>
        <v>65</v>
      </c>
      <c r="O542" s="45">
        <f t="shared" si="161"/>
        <v>525</v>
      </c>
      <c r="P542" s="19">
        <f t="shared" si="162"/>
        <v>87.5</v>
      </c>
      <c r="Q542" s="177">
        <v>65</v>
      </c>
      <c r="R542" s="40">
        <v>60</v>
      </c>
      <c r="S542" s="41">
        <v>110</v>
      </c>
      <c r="T542" s="42">
        <v>130</v>
      </c>
      <c r="U542" s="43">
        <v>95</v>
      </c>
      <c r="V542" s="44">
        <v>65</v>
      </c>
      <c r="W542" s="45">
        <f t="shared" si="153"/>
        <v>525</v>
      </c>
      <c r="X542" s="19">
        <f t="shared" si="154"/>
        <v>87.5</v>
      </c>
      <c r="Y542" s="3">
        <v>65</v>
      </c>
      <c r="Z542" s="4">
        <v>60</v>
      </c>
      <c r="AA542" s="5">
        <v>110</v>
      </c>
      <c r="AB542" s="6">
        <v>130</v>
      </c>
      <c r="AC542" s="7">
        <v>95</v>
      </c>
      <c r="AD542" s="8">
        <v>65</v>
      </c>
      <c r="AE542" s="1">
        <v>525</v>
      </c>
      <c r="AF542" s="19">
        <v>87.5</v>
      </c>
      <c r="AG542" s="139">
        <v>65</v>
      </c>
      <c r="AH542" s="140">
        <v>60</v>
      </c>
      <c r="AI542" s="141">
        <v>110</v>
      </c>
      <c r="AJ542" s="142">
        <v>130</v>
      </c>
      <c r="AK542" s="143">
        <v>95</v>
      </c>
      <c r="AL542" s="144">
        <v>65</v>
      </c>
      <c r="AM542" s="138">
        <v>525</v>
      </c>
      <c r="AN542" s="153">
        <v>87.5</v>
      </c>
      <c r="AW542" s="45"/>
      <c r="AX542" s="174" t="b">
        <f>IF('Refined Compare'!$D$2="All",TRUE,IF(F542='Refined Compare'!$D$2,TRUE,IF(G542='Refined Compare'!$D$2,TRUE,FALSE)))</f>
        <v>0</v>
      </c>
      <c r="AY542" s="174" t="b">
        <f>IF('Refined Compare'!$D$3="All",TRUE,IF(F542='Refined Compare'!$D$3,TRUE,IF(G542='Refined Compare'!$D$3,TRUE,FALSE)))</f>
        <v>1</v>
      </c>
      <c r="AZ542" s="174" t="b">
        <f t="shared" si="151"/>
        <v>1</v>
      </c>
    </row>
    <row r="543" spans="1:52" x14ac:dyDescent="0.35">
      <c r="A543">
        <f t="shared" si="152"/>
        <v>542</v>
      </c>
      <c r="B543" s="18">
        <v>472</v>
      </c>
      <c r="C543" s="61">
        <v>4</v>
      </c>
      <c r="D543" s="118" t="b">
        <v>1</v>
      </c>
      <c r="E543" s="61"/>
      <c r="F543" s="66" t="s">
        <v>814</v>
      </c>
      <c r="G543" s="66" t="s">
        <v>809</v>
      </c>
      <c r="H543" s="38" t="s">
        <v>634</v>
      </c>
      <c r="I543" s="39">
        <f t="shared" si="155"/>
        <v>75</v>
      </c>
      <c r="J543" s="40">
        <f t="shared" si="156"/>
        <v>95</v>
      </c>
      <c r="K543" s="41">
        <f t="shared" si="157"/>
        <v>125</v>
      </c>
      <c r="L543" s="42">
        <f t="shared" si="158"/>
        <v>45</v>
      </c>
      <c r="M543" s="43">
        <f t="shared" si="159"/>
        <v>75</v>
      </c>
      <c r="N543" s="44">
        <f t="shared" si="160"/>
        <v>95</v>
      </c>
      <c r="O543" s="45">
        <f t="shared" si="161"/>
        <v>510</v>
      </c>
      <c r="P543" s="19">
        <f t="shared" si="162"/>
        <v>85</v>
      </c>
      <c r="Q543" s="177">
        <v>75</v>
      </c>
      <c r="R543" s="40">
        <v>95</v>
      </c>
      <c r="S543" s="41">
        <v>125</v>
      </c>
      <c r="T543" s="42">
        <v>45</v>
      </c>
      <c r="U543" s="43">
        <v>75</v>
      </c>
      <c r="V543" s="44">
        <v>95</v>
      </c>
      <c r="W543" s="45">
        <f t="shared" si="153"/>
        <v>510</v>
      </c>
      <c r="X543" s="19">
        <f t="shared" si="154"/>
        <v>85</v>
      </c>
      <c r="Y543" s="3">
        <v>75</v>
      </c>
      <c r="Z543" s="4">
        <v>95</v>
      </c>
      <c r="AA543" s="5">
        <v>125</v>
      </c>
      <c r="AB543" s="6">
        <v>45</v>
      </c>
      <c r="AC543" s="7">
        <v>75</v>
      </c>
      <c r="AD543" s="8">
        <v>95</v>
      </c>
      <c r="AE543" s="1">
        <v>510</v>
      </c>
      <c r="AF543" s="19">
        <v>85</v>
      </c>
      <c r="AG543" s="139">
        <v>75</v>
      </c>
      <c r="AH543" s="140">
        <v>95</v>
      </c>
      <c r="AI543" s="141">
        <v>125</v>
      </c>
      <c r="AJ543" s="142">
        <v>45</v>
      </c>
      <c r="AK543" s="143">
        <v>75</v>
      </c>
      <c r="AL543" s="144">
        <v>95</v>
      </c>
      <c r="AM543" s="138">
        <v>510</v>
      </c>
      <c r="AN543" s="153">
        <v>85</v>
      </c>
      <c r="AW543" s="45"/>
      <c r="AX543" s="174" t="b">
        <f>IF('Refined Compare'!$D$2="All",TRUE,IF(F543='Refined Compare'!$D$2,TRUE,IF(G543='Refined Compare'!$D$2,TRUE,FALSE)))</f>
        <v>0</v>
      </c>
      <c r="AY543" s="174" t="b">
        <f>IF('Refined Compare'!$D$3="All",TRUE,IF(F543='Refined Compare'!$D$3,TRUE,IF(G543='Refined Compare'!$D$3,TRUE,FALSE)))</f>
        <v>0</v>
      </c>
      <c r="AZ543" s="174" t="b">
        <f t="shared" si="151"/>
        <v>1</v>
      </c>
    </row>
    <row r="544" spans="1:52" x14ac:dyDescent="0.35">
      <c r="A544">
        <f t="shared" si="152"/>
        <v>543</v>
      </c>
      <c r="B544" s="18">
        <v>473</v>
      </c>
      <c r="C544" s="61">
        <v>4</v>
      </c>
      <c r="D544" s="118" t="b">
        <v>1</v>
      </c>
      <c r="E544" s="61"/>
      <c r="F544" s="66" t="s">
        <v>820</v>
      </c>
      <c r="G544" s="66" t="s">
        <v>814</v>
      </c>
      <c r="H544" s="38" t="s">
        <v>519</v>
      </c>
      <c r="I544" s="39">
        <f t="shared" si="155"/>
        <v>110</v>
      </c>
      <c r="J544" s="40">
        <f t="shared" si="156"/>
        <v>130</v>
      </c>
      <c r="K544" s="41">
        <f t="shared" si="157"/>
        <v>80</v>
      </c>
      <c r="L544" s="42">
        <f t="shared" si="158"/>
        <v>70</v>
      </c>
      <c r="M544" s="43">
        <f t="shared" si="159"/>
        <v>60</v>
      </c>
      <c r="N544" s="44">
        <f t="shared" si="160"/>
        <v>80</v>
      </c>
      <c r="O544" s="45">
        <f t="shared" si="161"/>
        <v>530</v>
      </c>
      <c r="P544" s="19">
        <f t="shared" si="162"/>
        <v>88.33</v>
      </c>
      <c r="Q544" s="177">
        <v>110</v>
      </c>
      <c r="R544" s="40">
        <v>130</v>
      </c>
      <c r="S544" s="41">
        <v>80</v>
      </c>
      <c r="T544" s="42">
        <v>70</v>
      </c>
      <c r="U544" s="43">
        <v>60</v>
      </c>
      <c r="V544" s="44">
        <v>80</v>
      </c>
      <c r="W544" s="45">
        <f t="shared" si="153"/>
        <v>530</v>
      </c>
      <c r="X544" s="19">
        <f t="shared" si="154"/>
        <v>88.33</v>
      </c>
      <c r="Y544" s="3">
        <v>110</v>
      </c>
      <c r="Z544" s="4">
        <v>130</v>
      </c>
      <c r="AA544" s="5">
        <v>80</v>
      </c>
      <c r="AB544" s="6">
        <v>70</v>
      </c>
      <c r="AC544" s="7">
        <v>60</v>
      </c>
      <c r="AD544" s="8">
        <v>80</v>
      </c>
      <c r="AE544" s="1">
        <v>530</v>
      </c>
      <c r="AF544" s="19">
        <v>88.33</v>
      </c>
      <c r="AG544" s="139">
        <v>110</v>
      </c>
      <c r="AH544" s="140">
        <v>130</v>
      </c>
      <c r="AI544" s="141">
        <v>80</v>
      </c>
      <c r="AJ544" s="142">
        <v>70</v>
      </c>
      <c r="AK544" s="143">
        <v>60</v>
      </c>
      <c r="AL544" s="144">
        <v>80</v>
      </c>
      <c r="AM544" s="138">
        <v>530</v>
      </c>
      <c r="AN544" s="153">
        <v>88.33</v>
      </c>
      <c r="AW544" s="45"/>
      <c r="AX544" s="174" t="b">
        <f>IF('Refined Compare'!$D$2="All",TRUE,IF(F544='Refined Compare'!$D$2,TRUE,IF(G544='Refined Compare'!$D$2,TRUE,FALSE)))</f>
        <v>0</v>
      </c>
      <c r="AY544" s="174" t="b">
        <f>IF('Refined Compare'!$D$3="All",TRUE,IF(F544='Refined Compare'!$D$3,TRUE,IF(G544='Refined Compare'!$D$3,TRUE,FALSE)))</f>
        <v>0</v>
      </c>
      <c r="AZ544" s="174" t="b">
        <f t="shared" si="151"/>
        <v>1</v>
      </c>
    </row>
    <row r="545" spans="1:52" x14ac:dyDescent="0.35">
      <c r="A545">
        <f t="shared" si="152"/>
        <v>544</v>
      </c>
      <c r="B545" s="18">
        <v>474</v>
      </c>
      <c r="C545" s="61">
        <v>4</v>
      </c>
      <c r="D545" s="118" t="b">
        <v>1</v>
      </c>
      <c r="E545" s="61"/>
      <c r="F545" s="66" t="s">
        <v>812</v>
      </c>
      <c r="G545" s="66" t="s">
        <v>827</v>
      </c>
      <c r="H545" s="38" t="s">
        <v>596</v>
      </c>
      <c r="I545" s="39">
        <f t="shared" si="155"/>
        <v>85</v>
      </c>
      <c r="J545" s="40">
        <f t="shared" si="156"/>
        <v>80</v>
      </c>
      <c r="K545" s="41">
        <f t="shared" si="157"/>
        <v>70</v>
      </c>
      <c r="L545" s="42">
        <f t="shared" si="158"/>
        <v>135</v>
      </c>
      <c r="M545" s="43">
        <f t="shared" si="159"/>
        <v>75</v>
      </c>
      <c r="N545" s="44">
        <f t="shared" si="160"/>
        <v>90</v>
      </c>
      <c r="O545" s="45">
        <f t="shared" si="161"/>
        <v>535</v>
      </c>
      <c r="P545" s="19">
        <f t="shared" si="162"/>
        <v>89.17</v>
      </c>
      <c r="Q545" s="177">
        <v>85</v>
      </c>
      <c r="R545" s="40">
        <v>80</v>
      </c>
      <c r="S545" s="41">
        <v>70</v>
      </c>
      <c r="T545" s="42">
        <v>135</v>
      </c>
      <c r="U545" s="43">
        <v>75</v>
      </c>
      <c r="V545" s="44">
        <v>90</v>
      </c>
      <c r="W545" s="45">
        <f t="shared" si="153"/>
        <v>535</v>
      </c>
      <c r="X545" s="19">
        <f t="shared" si="154"/>
        <v>89.17</v>
      </c>
      <c r="Y545" s="3">
        <v>85</v>
      </c>
      <c r="Z545" s="4">
        <v>80</v>
      </c>
      <c r="AA545" s="5">
        <v>70</v>
      </c>
      <c r="AB545" s="6">
        <v>135</v>
      </c>
      <c r="AC545" s="7">
        <v>75</v>
      </c>
      <c r="AD545" s="8">
        <v>90</v>
      </c>
      <c r="AE545" s="1">
        <v>535</v>
      </c>
      <c r="AF545" s="19">
        <v>89.17</v>
      </c>
      <c r="AG545" s="139">
        <v>85</v>
      </c>
      <c r="AH545" s="140">
        <v>80</v>
      </c>
      <c r="AI545" s="141">
        <v>70</v>
      </c>
      <c r="AJ545" s="142">
        <v>135</v>
      </c>
      <c r="AK545" s="143">
        <v>75</v>
      </c>
      <c r="AL545" s="144">
        <v>90</v>
      </c>
      <c r="AM545" s="138">
        <v>535</v>
      </c>
      <c r="AN545" s="153">
        <v>89.17</v>
      </c>
      <c r="AW545" s="45"/>
      <c r="AX545" s="174" t="b">
        <f>IF('Refined Compare'!$D$2="All",TRUE,IF(F545='Refined Compare'!$D$2,TRUE,IF(G545='Refined Compare'!$D$2,TRUE,FALSE)))</f>
        <v>0</v>
      </c>
      <c r="AY545" s="174" t="b">
        <f>IF('Refined Compare'!$D$3="All",TRUE,IF(F545='Refined Compare'!$D$3,TRUE,IF(G545='Refined Compare'!$D$3,TRUE,FALSE)))</f>
        <v>1</v>
      </c>
      <c r="AZ545" s="174" t="b">
        <f t="shared" si="151"/>
        <v>1</v>
      </c>
    </row>
    <row r="546" spans="1:52" x14ac:dyDescent="0.35">
      <c r="A546">
        <f t="shared" si="152"/>
        <v>545</v>
      </c>
      <c r="B546" s="18">
        <v>475</v>
      </c>
      <c r="C546" s="61">
        <v>4</v>
      </c>
      <c r="D546" s="61" t="b">
        <f>IF($AW$2&lt;6,TRUE,FALSE)</f>
        <v>1</v>
      </c>
      <c r="E546" s="61"/>
      <c r="F546" s="66" t="s">
        <v>817</v>
      </c>
      <c r="G546" s="66" t="s">
        <v>816</v>
      </c>
      <c r="H546" s="38" t="s">
        <v>520</v>
      </c>
      <c r="I546" s="39">
        <f t="shared" si="155"/>
        <v>68</v>
      </c>
      <c r="J546" s="40">
        <f t="shared" si="156"/>
        <v>125</v>
      </c>
      <c r="K546" s="41">
        <f t="shared" si="157"/>
        <v>65</v>
      </c>
      <c r="L546" s="42">
        <f t="shared" si="158"/>
        <v>65</v>
      </c>
      <c r="M546" s="43">
        <f t="shared" si="159"/>
        <v>115</v>
      </c>
      <c r="N546" s="44">
        <f t="shared" si="160"/>
        <v>80</v>
      </c>
      <c r="O546" s="45">
        <f t="shared" si="161"/>
        <v>518</v>
      </c>
      <c r="P546" s="19">
        <f t="shared" si="162"/>
        <v>86.33</v>
      </c>
      <c r="Q546" s="177">
        <v>68</v>
      </c>
      <c r="R546" s="40">
        <v>125</v>
      </c>
      <c r="S546" s="41">
        <v>65</v>
      </c>
      <c r="T546" s="42">
        <v>65</v>
      </c>
      <c r="U546" s="43">
        <v>115</v>
      </c>
      <c r="V546" s="44">
        <v>80</v>
      </c>
      <c r="W546" s="45">
        <f t="shared" si="153"/>
        <v>518</v>
      </c>
      <c r="X546" s="19">
        <f t="shared" si="154"/>
        <v>86.33</v>
      </c>
      <c r="Y546" s="3">
        <v>68</v>
      </c>
      <c r="Z546" s="4">
        <v>125</v>
      </c>
      <c r="AA546" s="5">
        <v>65</v>
      </c>
      <c r="AB546" s="6">
        <v>65</v>
      </c>
      <c r="AC546" s="7">
        <v>115</v>
      </c>
      <c r="AD546" s="8">
        <v>80</v>
      </c>
      <c r="AE546" s="1">
        <v>518</v>
      </c>
      <c r="AF546" s="19">
        <v>86.33</v>
      </c>
      <c r="AG546" s="139">
        <v>68</v>
      </c>
      <c r="AH546" s="140">
        <v>125</v>
      </c>
      <c r="AI546" s="141">
        <v>65</v>
      </c>
      <c r="AJ546" s="142">
        <v>65</v>
      </c>
      <c r="AK546" s="143">
        <v>115</v>
      </c>
      <c r="AL546" s="144">
        <v>80</v>
      </c>
      <c r="AM546" s="138">
        <v>518</v>
      </c>
      <c r="AN546" s="153">
        <v>86.33</v>
      </c>
      <c r="AW546" s="45"/>
      <c r="AX546" s="174" t="b">
        <f>IF('Refined Compare'!$D$2="All",TRUE,IF(F546='Refined Compare'!$D$2,TRUE,IF(G546='Refined Compare'!$D$2,TRUE,FALSE)))</f>
        <v>0</v>
      </c>
      <c r="AY546" s="174" t="b">
        <f>IF('Refined Compare'!$D$3="All",TRUE,IF(F546='Refined Compare'!$D$3,TRUE,IF(G546='Refined Compare'!$D$3,TRUE,FALSE)))</f>
        <v>0</v>
      </c>
      <c r="AZ546" s="174" t="b">
        <f t="shared" si="151"/>
        <v>1</v>
      </c>
    </row>
    <row r="547" spans="1:52" x14ac:dyDescent="0.35">
      <c r="A547">
        <f t="shared" si="152"/>
        <v>546</v>
      </c>
      <c r="B547" s="62">
        <v>475</v>
      </c>
      <c r="C547" s="61">
        <v>6</v>
      </c>
      <c r="D547" s="118" t="b">
        <f>IF(AZ547,TRUE,FALSE)</f>
        <v>0</v>
      </c>
      <c r="E547" s="61" t="s">
        <v>801</v>
      </c>
      <c r="F547" s="66" t="s">
        <v>817</v>
      </c>
      <c r="G547" s="66" t="s">
        <v>816</v>
      </c>
      <c r="H547" s="38" t="s">
        <v>726</v>
      </c>
      <c r="I547" s="39">
        <f t="shared" si="155"/>
        <v>0</v>
      </c>
      <c r="J547" s="40">
        <f t="shared" si="156"/>
        <v>0</v>
      </c>
      <c r="K547" s="41">
        <f t="shared" si="157"/>
        <v>0</v>
      </c>
      <c r="L547" s="42">
        <f t="shared" si="158"/>
        <v>0</v>
      </c>
      <c r="M547" s="43">
        <f t="shared" si="159"/>
        <v>0</v>
      </c>
      <c r="N547" s="44">
        <f t="shared" si="160"/>
        <v>0</v>
      </c>
      <c r="O547" s="45">
        <f t="shared" si="161"/>
        <v>0</v>
      </c>
      <c r="P547" s="19">
        <f t="shared" si="162"/>
        <v>0</v>
      </c>
      <c r="Q547" s="177">
        <v>68</v>
      </c>
      <c r="R547" s="40">
        <v>165</v>
      </c>
      <c r="S547" s="41">
        <v>95</v>
      </c>
      <c r="T547" s="42">
        <v>65</v>
      </c>
      <c r="U547" s="43">
        <v>115</v>
      </c>
      <c r="V547" s="44">
        <v>110</v>
      </c>
      <c r="W547" s="45">
        <f t="shared" si="153"/>
        <v>618</v>
      </c>
      <c r="X547" s="19">
        <f t="shared" si="154"/>
        <v>103</v>
      </c>
      <c r="Y547" s="3">
        <v>68</v>
      </c>
      <c r="Z547" s="4">
        <v>165</v>
      </c>
      <c r="AA547" s="5">
        <v>95</v>
      </c>
      <c r="AB547" s="6">
        <v>65</v>
      </c>
      <c r="AC547" s="7">
        <v>115</v>
      </c>
      <c r="AD547" s="8">
        <v>110</v>
      </c>
      <c r="AE547" s="1">
        <v>618</v>
      </c>
      <c r="AF547" s="19">
        <v>103</v>
      </c>
      <c r="AN547" s="172"/>
      <c r="AV547" s="174"/>
      <c r="AW547" s="45"/>
      <c r="AX547" s="174" t="b">
        <f>IF('Refined Compare'!$D$2="All",TRUE,IF(F547='Refined Compare'!$D$2,TRUE,IF(G547='Refined Compare'!$D$2,TRUE,FALSE)))</f>
        <v>0</v>
      </c>
      <c r="AY547" s="174" t="b">
        <f>IF('Refined Compare'!$D$3="All",TRUE,IF(F547='Refined Compare'!$D$3,TRUE,IF(G547='Refined Compare'!$D$3,TRUE,FALSE)))</f>
        <v>0</v>
      </c>
      <c r="AZ547" s="174" t="b">
        <f t="shared" si="151"/>
        <v>0</v>
      </c>
    </row>
    <row r="548" spans="1:52" x14ac:dyDescent="0.35">
      <c r="A548">
        <f t="shared" si="152"/>
        <v>547</v>
      </c>
      <c r="B548" s="18">
        <v>476</v>
      </c>
      <c r="C548" s="61">
        <v>4</v>
      </c>
      <c r="D548" s="118" t="b">
        <v>1</v>
      </c>
      <c r="E548" s="61"/>
      <c r="F548" s="66" t="s">
        <v>818</v>
      </c>
      <c r="G548" s="66" t="s">
        <v>819</v>
      </c>
      <c r="H548" s="38" t="s">
        <v>148</v>
      </c>
      <c r="I548" s="39">
        <f t="shared" si="155"/>
        <v>60</v>
      </c>
      <c r="J548" s="40">
        <f t="shared" si="156"/>
        <v>55</v>
      </c>
      <c r="K548" s="41">
        <f t="shared" si="157"/>
        <v>145</v>
      </c>
      <c r="L548" s="42">
        <f t="shared" si="158"/>
        <v>75</v>
      </c>
      <c r="M548" s="43">
        <f t="shared" si="159"/>
        <v>150</v>
      </c>
      <c r="N548" s="44">
        <f t="shared" si="160"/>
        <v>40</v>
      </c>
      <c r="O548" s="45">
        <f t="shared" si="161"/>
        <v>525</v>
      </c>
      <c r="P548" s="19">
        <f t="shared" si="162"/>
        <v>87.5</v>
      </c>
      <c r="Q548" s="177">
        <v>60</v>
      </c>
      <c r="R548" s="40">
        <v>55</v>
      </c>
      <c r="S548" s="41">
        <v>145</v>
      </c>
      <c r="T548" s="42">
        <v>75</v>
      </c>
      <c r="U548" s="43">
        <v>150</v>
      </c>
      <c r="V548" s="44">
        <v>40</v>
      </c>
      <c r="W548" s="45">
        <f t="shared" si="153"/>
        <v>525</v>
      </c>
      <c r="X548" s="19">
        <f t="shared" si="154"/>
        <v>87.5</v>
      </c>
      <c r="Y548" s="3">
        <v>60</v>
      </c>
      <c r="Z548" s="4">
        <v>55</v>
      </c>
      <c r="AA548" s="5">
        <v>145</v>
      </c>
      <c r="AB548" s="6">
        <v>75</v>
      </c>
      <c r="AC548" s="7">
        <v>150</v>
      </c>
      <c r="AD548" s="8">
        <v>40</v>
      </c>
      <c r="AE548" s="1">
        <v>525</v>
      </c>
      <c r="AF548" s="19">
        <v>87.5</v>
      </c>
      <c r="AG548" s="139">
        <v>60</v>
      </c>
      <c r="AH548" s="140">
        <v>55</v>
      </c>
      <c r="AI548" s="141">
        <v>145</v>
      </c>
      <c r="AJ548" s="142">
        <v>75</v>
      </c>
      <c r="AK548" s="143">
        <v>150</v>
      </c>
      <c r="AL548" s="144">
        <v>40</v>
      </c>
      <c r="AM548" s="138">
        <v>525</v>
      </c>
      <c r="AN548" s="153">
        <v>87.5</v>
      </c>
      <c r="AW548" s="45"/>
      <c r="AX548" s="174" t="b">
        <f>IF('Refined Compare'!$D$2="All",TRUE,IF(F548='Refined Compare'!$D$2,TRUE,IF(G548='Refined Compare'!$D$2,TRUE,FALSE)))</f>
        <v>0</v>
      </c>
      <c r="AY548" s="174" t="b">
        <f>IF('Refined Compare'!$D$3="All",TRUE,IF(F548='Refined Compare'!$D$3,TRUE,IF(G548='Refined Compare'!$D$3,TRUE,FALSE)))</f>
        <v>0</v>
      </c>
      <c r="AZ548" s="174" t="b">
        <f t="shared" si="151"/>
        <v>1</v>
      </c>
    </row>
    <row r="549" spans="1:52" x14ac:dyDescent="0.35">
      <c r="A549">
        <f t="shared" si="152"/>
        <v>548</v>
      </c>
      <c r="B549" s="18">
        <v>477</v>
      </c>
      <c r="C549" s="61">
        <v>4</v>
      </c>
      <c r="D549" s="118" t="b">
        <v>1</v>
      </c>
      <c r="E549" s="61"/>
      <c r="F549" s="66" t="s">
        <v>821</v>
      </c>
      <c r="G549" s="66" t="s">
        <v>827</v>
      </c>
      <c r="H549" s="38" t="s">
        <v>192</v>
      </c>
      <c r="I549" s="39">
        <f t="shared" si="155"/>
        <v>45</v>
      </c>
      <c r="J549" s="40">
        <f t="shared" si="156"/>
        <v>100</v>
      </c>
      <c r="K549" s="41">
        <f t="shared" si="157"/>
        <v>135</v>
      </c>
      <c r="L549" s="42">
        <f t="shared" si="158"/>
        <v>65</v>
      </c>
      <c r="M549" s="43">
        <f t="shared" si="159"/>
        <v>135</v>
      </c>
      <c r="N549" s="44">
        <f t="shared" si="160"/>
        <v>45</v>
      </c>
      <c r="O549" s="45">
        <f t="shared" si="161"/>
        <v>525</v>
      </c>
      <c r="P549" s="19">
        <f t="shared" si="162"/>
        <v>87.5</v>
      </c>
      <c r="Q549" s="177">
        <v>45</v>
      </c>
      <c r="R549" s="40">
        <v>100</v>
      </c>
      <c r="S549" s="41">
        <v>135</v>
      </c>
      <c r="T549" s="42">
        <v>65</v>
      </c>
      <c r="U549" s="43">
        <v>135</v>
      </c>
      <c r="V549" s="44">
        <v>45</v>
      </c>
      <c r="W549" s="45">
        <f t="shared" si="153"/>
        <v>525</v>
      </c>
      <c r="X549" s="19">
        <f t="shared" si="154"/>
        <v>87.5</v>
      </c>
      <c r="Y549" s="3">
        <v>45</v>
      </c>
      <c r="Z549" s="4">
        <v>100</v>
      </c>
      <c r="AA549" s="5">
        <v>135</v>
      </c>
      <c r="AB549" s="6">
        <v>65</v>
      </c>
      <c r="AC549" s="7">
        <v>135</v>
      </c>
      <c r="AD549" s="8">
        <v>45</v>
      </c>
      <c r="AE549" s="1">
        <v>525</v>
      </c>
      <c r="AF549" s="19">
        <v>87.5</v>
      </c>
      <c r="AG549" s="139">
        <v>45</v>
      </c>
      <c r="AH549" s="140">
        <v>100</v>
      </c>
      <c r="AI549" s="141">
        <v>135</v>
      </c>
      <c r="AJ549" s="142">
        <v>65</v>
      </c>
      <c r="AK549" s="143">
        <v>135</v>
      </c>
      <c r="AL549" s="144">
        <v>45</v>
      </c>
      <c r="AM549" s="138">
        <v>525</v>
      </c>
      <c r="AN549" s="153">
        <v>87.5</v>
      </c>
      <c r="AW549" s="45"/>
      <c r="AX549" s="174" t="b">
        <f>IF('Refined Compare'!$D$2="All",TRUE,IF(F549='Refined Compare'!$D$2,TRUE,IF(G549='Refined Compare'!$D$2,TRUE,FALSE)))</f>
        <v>0</v>
      </c>
      <c r="AY549" s="174" t="b">
        <f>IF('Refined Compare'!$D$3="All",TRUE,IF(F549='Refined Compare'!$D$3,TRUE,IF(G549='Refined Compare'!$D$3,TRUE,FALSE)))</f>
        <v>1</v>
      </c>
      <c r="AZ549" s="174" t="b">
        <f t="shared" si="151"/>
        <v>1</v>
      </c>
    </row>
    <row r="550" spans="1:52" x14ac:dyDescent="0.35">
      <c r="A550">
        <f t="shared" si="152"/>
        <v>549</v>
      </c>
      <c r="B550" s="18">
        <v>478</v>
      </c>
      <c r="C550" s="61">
        <v>4</v>
      </c>
      <c r="D550" s="118" t="b">
        <v>1</v>
      </c>
      <c r="E550" s="61"/>
      <c r="F550" s="66" t="s">
        <v>820</v>
      </c>
      <c r="G550" s="66" t="s">
        <v>821</v>
      </c>
      <c r="H550" s="38" t="s">
        <v>727</v>
      </c>
      <c r="I550" s="39">
        <f t="shared" si="155"/>
        <v>70</v>
      </c>
      <c r="J550" s="40">
        <f t="shared" si="156"/>
        <v>80</v>
      </c>
      <c r="K550" s="41">
        <f t="shared" si="157"/>
        <v>70</v>
      </c>
      <c r="L550" s="42">
        <f t="shared" si="158"/>
        <v>80</v>
      </c>
      <c r="M550" s="43">
        <f t="shared" si="159"/>
        <v>70</v>
      </c>
      <c r="N550" s="44">
        <f t="shared" si="160"/>
        <v>110</v>
      </c>
      <c r="O550" s="45">
        <f t="shared" si="161"/>
        <v>480</v>
      </c>
      <c r="P550" s="19">
        <f t="shared" si="162"/>
        <v>80</v>
      </c>
      <c r="Q550" s="177">
        <v>70</v>
      </c>
      <c r="R550" s="40">
        <v>80</v>
      </c>
      <c r="S550" s="41">
        <v>70</v>
      </c>
      <c r="T550" s="42">
        <v>80</v>
      </c>
      <c r="U550" s="43">
        <v>70</v>
      </c>
      <c r="V550" s="44">
        <v>110</v>
      </c>
      <c r="W550" s="45">
        <f t="shared" si="153"/>
        <v>480</v>
      </c>
      <c r="X550" s="19">
        <f t="shared" si="154"/>
        <v>80</v>
      </c>
      <c r="Y550" s="3">
        <v>70</v>
      </c>
      <c r="Z550" s="4">
        <v>80</v>
      </c>
      <c r="AA550" s="5">
        <v>70</v>
      </c>
      <c r="AB550" s="6">
        <v>80</v>
      </c>
      <c r="AC550" s="7">
        <v>70</v>
      </c>
      <c r="AD550" s="8">
        <v>110</v>
      </c>
      <c r="AE550" s="1">
        <v>480</v>
      </c>
      <c r="AF550" s="19">
        <v>80</v>
      </c>
      <c r="AG550" s="139">
        <v>70</v>
      </c>
      <c r="AH550" s="140">
        <v>80</v>
      </c>
      <c r="AI550" s="141">
        <v>70</v>
      </c>
      <c r="AJ550" s="142">
        <v>80</v>
      </c>
      <c r="AK550" s="143">
        <v>70</v>
      </c>
      <c r="AL550" s="144">
        <v>110</v>
      </c>
      <c r="AM550" s="138">
        <v>480</v>
      </c>
      <c r="AN550" s="153">
        <v>80</v>
      </c>
      <c r="AW550" s="45"/>
      <c r="AX550" s="174" t="b">
        <f>IF('Refined Compare'!$D$2="All",TRUE,IF(F550='Refined Compare'!$D$2,TRUE,IF(G550='Refined Compare'!$D$2,TRUE,FALSE)))</f>
        <v>0</v>
      </c>
      <c r="AY550" s="174" t="b">
        <f>IF('Refined Compare'!$D$3="All",TRUE,IF(F550='Refined Compare'!$D$3,TRUE,IF(G550='Refined Compare'!$D$3,TRUE,FALSE)))</f>
        <v>0</v>
      </c>
      <c r="AZ550" s="174" t="b">
        <f t="shared" si="151"/>
        <v>1</v>
      </c>
    </row>
    <row r="551" spans="1:52" x14ac:dyDescent="0.35">
      <c r="A551">
        <f t="shared" si="152"/>
        <v>550</v>
      </c>
      <c r="B551" s="18">
        <v>479</v>
      </c>
      <c r="C551" s="61">
        <v>4</v>
      </c>
      <c r="D551" s="118" t="b">
        <v>1</v>
      </c>
      <c r="E551" s="61"/>
      <c r="F551" s="66" t="s">
        <v>813</v>
      </c>
      <c r="G551" s="66" t="str">
        <f>IF($AW$2&lt;5,"Ghost","Fire")</f>
        <v>Ghost</v>
      </c>
      <c r="H551" s="38" t="s">
        <v>566</v>
      </c>
      <c r="I551" s="39">
        <f t="shared" si="155"/>
        <v>50</v>
      </c>
      <c r="J551" s="40">
        <f t="shared" si="156"/>
        <v>65</v>
      </c>
      <c r="K551" s="41">
        <f t="shared" si="157"/>
        <v>107</v>
      </c>
      <c r="L551" s="42">
        <f t="shared" si="158"/>
        <v>105</v>
      </c>
      <c r="M551" s="43">
        <f t="shared" si="159"/>
        <v>107</v>
      </c>
      <c r="N551" s="44">
        <f t="shared" si="160"/>
        <v>86</v>
      </c>
      <c r="O551" s="45">
        <f t="shared" si="161"/>
        <v>520</v>
      </c>
      <c r="P551" s="19">
        <f t="shared" si="162"/>
        <v>86.67</v>
      </c>
      <c r="Q551" s="177">
        <v>50</v>
      </c>
      <c r="R551" s="40">
        <v>65</v>
      </c>
      <c r="S551" s="41">
        <v>107</v>
      </c>
      <c r="T551" s="42">
        <v>105</v>
      </c>
      <c r="U551" s="43">
        <v>107</v>
      </c>
      <c r="V551" s="44">
        <v>86</v>
      </c>
      <c r="W551" s="45">
        <f t="shared" si="153"/>
        <v>520</v>
      </c>
      <c r="X551" s="19">
        <f t="shared" si="154"/>
        <v>86.67</v>
      </c>
      <c r="Y551" s="3">
        <v>50</v>
      </c>
      <c r="Z551" s="4">
        <v>65</v>
      </c>
      <c r="AA551" s="5">
        <v>107</v>
      </c>
      <c r="AB551" s="6">
        <v>105</v>
      </c>
      <c r="AC551" s="7">
        <v>107</v>
      </c>
      <c r="AD551" s="8">
        <v>86</v>
      </c>
      <c r="AE551" s="1">
        <v>520</v>
      </c>
      <c r="AF551" s="19">
        <v>86.67</v>
      </c>
      <c r="AG551" s="139">
        <v>50</v>
      </c>
      <c r="AH551" s="140">
        <v>65</v>
      </c>
      <c r="AI551" s="141">
        <v>107</v>
      </c>
      <c r="AJ551" s="142">
        <v>105</v>
      </c>
      <c r="AK551" s="143">
        <v>107</v>
      </c>
      <c r="AL551" s="144">
        <v>86</v>
      </c>
      <c r="AM551" s="138">
        <v>520</v>
      </c>
      <c r="AN551" s="153">
        <v>86.67</v>
      </c>
      <c r="AW551" s="45"/>
      <c r="AX551" s="174" t="b">
        <f>IF('Refined Compare'!$D$2="All",TRUE,IF(F551='Refined Compare'!$D$2,TRUE,IF(G551='Refined Compare'!$D$2,TRUE,FALSE)))</f>
        <v>0</v>
      </c>
      <c r="AY551" s="174" t="b">
        <f>IF('Refined Compare'!$D$3="All",TRUE,IF(F551='Refined Compare'!$D$3,TRUE,IF(G551='Refined Compare'!$D$3,TRUE,FALSE)))</f>
        <v>0</v>
      </c>
      <c r="AZ551" s="174" t="b">
        <f t="shared" si="151"/>
        <v>1</v>
      </c>
    </row>
    <row r="552" spans="1:52" x14ac:dyDescent="0.35">
      <c r="A552">
        <f t="shared" si="152"/>
        <v>551</v>
      </c>
      <c r="B552" s="18">
        <v>479</v>
      </c>
      <c r="C552" s="61">
        <v>4</v>
      </c>
      <c r="D552" s="118" t="b">
        <v>1</v>
      </c>
      <c r="E552" s="61"/>
      <c r="F552" s="66" t="s">
        <v>813</v>
      </c>
      <c r="G552" s="66" t="str">
        <f>IF($AW$2&lt;5,"Ghost","Water")</f>
        <v>Ghost</v>
      </c>
      <c r="H552" s="38" t="s">
        <v>567</v>
      </c>
      <c r="I552" s="39">
        <f t="shared" si="155"/>
        <v>50</v>
      </c>
      <c r="J552" s="40">
        <f t="shared" si="156"/>
        <v>65</v>
      </c>
      <c r="K552" s="41">
        <f t="shared" si="157"/>
        <v>107</v>
      </c>
      <c r="L552" s="42">
        <f t="shared" si="158"/>
        <v>105</v>
      </c>
      <c r="M552" s="43">
        <f t="shared" si="159"/>
        <v>107</v>
      </c>
      <c r="N552" s="44">
        <f t="shared" si="160"/>
        <v>86</v>
      </c>
      <c r="O552" s="45">
        <f t="shared" si="161"/>
        <v>520</v>
      </c>
      <c r="P552" s="19">
        <f t="shared" si="162"/>
        <v>86.67</v>
      </c>
      <c r="Q552" s="177">
        <v>50</v>
      </c>
      <c r="R552" s="40">
        <v>65</v>
      </c>
      <c r="S552" s="41">
        <v>107</v>
      </c>
      <c r="T552" s="42">
        <v>105</v>
      </c>
      <c r="U552" s="43">
        <v>107</v>
      </c>
      <c r="V552" s="44">
        <v>86</v>
      </c>
      <c r="W552" s="45">
        <f t="shared" si="153"/>
        <v>520</v>
      </c>
      <c r="X552" s="19">
        <f t="shared" si="154"/>
        <v>86.67</v>
      </c>
      <c r="Y552" s="3">
        <v>50</v>
      </c>
      <c r="Z552" s="4">
        <v>65</v>
      </c>
      <c r="AA552" s="5">
        <v>107</v>
      </c>
      <c r="AB552" s="6">
        <v>105</v>
      </c>
      <c r="AC552" s="7">
        <v>107</v>
      </c>
      <c r="AD552" s="8">
        <v>86</v>
      </c>
      <c r="AE552" s="1">
        <v>520</v>
      </c>
      <c r="AF552" s="19">
        <v>86.67</v>
      </c>
      <c r="AG552" s="139">
        <v>50</v>
      </c>
      <c r="AH552" s="140">
        <v>65</v>
      </c>
      <c r="AI552" s="141">
        <v>107</v>
      </c>
      <c r="AJ552" s="142">
        <v>105</v>
      </c>
      <c r="AK552" s="143">
        <v>107</v>
      </c>
      <c r="AL552" s="144">
        <v>86</v>
      </c>
      <c r="AM552" s="138">
        <v>520</v>
      </c>
      <c r="AN552" s="153">
        <v>86.67</v>
      </c>
      <c r="AW552" s="45"/>
      <c r="AX552" s="174" t="b">
        <f>IF('Refined Compare'!$D$2="All",TRUE,IF(F552='Refined Compare'!$D$2,TRUE,IF(G552='Refined Compare'!$D$2,TRUE,FALSE)))</f>
        <v>0</v>
      </c>
      <c r="AY552" s="174" t="b">
        <f>IF('Refined Compare'!$D$3="All",TRUE,IF(F552='Refined Compare'!$D$3,TRUE,IF(G552='Refined Compare'!$D$3,TRUE,FALSE)))</f>
        <v>0</v>
      </c>
      <c r="AZ552" s="174" t="b">
        <f t="shared" si="151"/>
        <v>1</v>
      </c>
    </row>
    <row r="553" spans="1:52" x14ac:dyDescent="0.35">
      <c r="A553">
        <f t="shared" si="152"/>
        <v>552</v>
      </c>
      <c r="B553" s="18">
        <v>479</v>
      </c>
      <c r="C553" s="61">
        <v>4</v>
      </c>
      <c r="D553" s="118" t="b">
        <v>1</v>
      </c>
      <c r="E553" s="61"/>
      <c r="F553" s="66" t="s">
        <v>813</v>
      </c>
      <c r="G553" s="66" t="str">
        <f>IF($AW$2&lt;5,"Ghost","Ice")</f>
        <v>Ghost</v>
      </c>
      <c r="H553" s="38" t="s">
        <v>568</v>
      </c>
      <c r="I553" s="39">
        <f t="shared" si="155"/>
        <v>50</v>
      </c>
      <c r="J553" s="40">
        <f t="shared" si="156"/>
        <v>65</v>
      </c>
      <c r="K553" s="41">
        <f t="shared" si="157"/>
        <v>107</v>
      </c>
      <c r="L553" s="42">
        <f t="shared" si="158"/>
        <v>105</v>
      </c>
      <c r="M553" s="43">
        <f t="shared" si="159"/>
        <v>107</v>
      </c>
      <c r="N553" s="44">
        <f t="shared" si="160"/>
        <v>86</v>
      </c>
      <c r="O553" s="45">
        <f t="shared" si="161"/>
        <v>520</v>
      </c>
      <c r="P553" s="19">
        <f t="shared" si="162"/>
        <v>86.67</v>
      </c>
      <c r="Q553" s="177">
        <v>50</v>
      </c>
      <c r="R553" s="40">
        <v>65</v>
      </c>
      <c r="S553" s="41">
        <v>107</v>
      </c>
      <c r="T553" s="42">
        <v>105</v>
      </c>
      <c r="U553" s="43">
        <v>107</v>
      </c>
      <c r="V553" s="44">
        <v>86</v>
      </c>
      <c r="W553" s="45">
        <f t="shared" si="153"/>
        <v>520</v>
      </c>
      <c r="X553" s="19">
        <f t="shared" si="154"/>
        <v>86.67</v>
      </c>
      <c r="Y553" s="3">
        <v>50</v>
      </c>
      <c r="Z553" s="4">
        <v>65</v>
      </c>
      <c r="AA553" s="5">
        <v>107</v>
      </c>
      <c r="AB553" s="6">
        <v>105</v>
      </c>
      <c r="AC553" s="7">
        <v>107</v>
      </c>
      <c r="AD553" s="8">
        <v>86</v>
      </c>
      <c r="AE553" s="1">
        <v>520</v>
      </c>
      <c r="AF553" s="19">
        <v>86.67</v>
      </c>
      <c r="AG553" s="139">
        <v>50</v>
      </c>
      <c r="AH553" s="140">
        <v>65</v>
      </c>
      <c r="AI553" s="141">
        <v>107</v>
      </c>
      <c r="AJ553" s="142">
        <v>105</v>
      </c>
      <c r="AK553" s="143">
        <v>107</v>
      </c>
      <c r="AL553" s="144">
        <v>86</v>
      </c>
      <c r="AM553" s="138">
        <v>520</v>
      </c>
      <c r="AN553" s="153">
        <v>86.67</v>
      </c>
      <c r="AW553" s="45"/>
      <c r="AX553" s="174" t="b">
        <f>IF('Refined Compare'!$D$2="All",TRUE,IF(F553='Refined Compare'!$D$2,TRUE,IF(G553='Refined Compare'!$D$2,TRUE,FALSE)))</f>
        <v>0</v>
      </c>
      <c r="AY553" s="174" t="b">
        <f>IF('Refined Compare'!$D$3="All",TRUE,IF(F553='Refined Compare'!$D$3,TRUE,IF(G553='Refined Compare'!$D$3,TRUE,FALSE)))</f>
        <v>0</v>
      </c>
      <c r="AZ553" s="174" t="b">
        <f t="shared" si="151"/>
        <v>1</v>
      </c>
    </row>
    <row r="554" spans="1:52" x14ac:dyDescent="0.35">
      <c r="A554">
        <f t="shared" si="152"/>
        <v>553</v>
      </c>
      <c r="B554" s="18">
        <v>479</v>
      </c>
      <c r="C554" s="61">
        <v>4</v>
      </c>
      <c r="D554" s="118" t="b">
        <v>1</v>
      </c>
      <c r="E554" s="61"/>
      <c r="F554" s="66" t="s">
        <v>813</v>
      </c>
      <c r="G554" s="66" t="str">
        <f>IF($AW$2&lt;5,"Ghost","Flying")</f>
        <v>Ghost</v>
      </c>
      <c r="H554" s="38" t="s">
        <v>569</v>
      </c>
      <c r="I554" s="39">
        <f t="shared" si="155"/>
        <v>50</v>
      </c>
      <c r="J554" s="40">
        <f t="shared" si="156"/>
        <v>65</v>
      </c>
      <c r="K554" s="41">
        <f t="shared" si="157"/>
        <v>107</v>
      </c>
      <c r="L554" s="42">
        <f t="shared" si="158"/>
        <v>105</v>
      </c>
      <c r="M554" s="43">
        <f t="shared" si="159"/>
        <v>107</v>
      </c>
      <c r="N554" s="44">
        <f t="shared" si="160"/>
        <v>86</v>
      </c>
      <c r="O554" s="45">
        <f t="shared" si="161"/>
        <v>520</v>
      </c>
      <c r="P554" s="19">
        <f t="shared" si="162"/>
        <v>86.67</v>
      </c>
      <c r="Q554" s="177">
        <v>50</v>
      </c>
      <c r="R554" s="40">
        <v>65</v>
      </c>
      <c r="S554" s="41">
        <v>107</v>
      </c>
      <c r="T554" s="42">
        <v>105</v>
      </c>
      <c r="U554" s="43">
        <v>107</v>
      </c>
      <c r="V554" s="44">
        <v>86</v>
      </c>
      <c r="W554" s="45">
        <f t="shared" si="153"/>
        <v>520</v>
      </c>
      <c r="X554" s="19">
        <f t="shared" si="154"/>
        <v>86.67</v>
      </c>
      <c r="Y554" s="3">
        <v>50</v>
      </c>
      <c r="Z554" s="4">
        <v>65</v>
      </c>
      <c r="AA554" s="5">
        <v>107</v>
      </c>
      <c r="AB554" s="6">
        <v>105</v>
      </c>
      <c r="AC554" s="7">
        <v>107</v>
      </c>
      <c r="AD554" s="8">
        <v>86</v>
      </c>
      <c r="AE554" s="1">
        <v>520</v>
      </c>
      <c r="AF554" s="19">
        <v>86.67</v>
      </c>
      <c r="AG554" s="139">
        <v>50</v>
      </c>
      <c r="AH554" s="140">
        <v>65</v>
      </c>
      <c r="AI554" s="141">
        <v>107</v>
      </c>
      <c r="AJ554" s="142">
        <v>105</v>
      </c>
      <c r="AK554" s="143">
        <v>107</v>
      </c>
      <c r="AL554" s="144">
        <v>86</v>
      </c>
      <c r="AM554" s="138">
        <v>520</v>
      </c>
      <c r="AN554" s="153">
        <v>86.67</v>
      </c>
      <c r="AW554" s="45"/>
      <c r="AX554" s="174" t="b">
        <f>IF('Refined Compare'!$D$2="All",TRUE,IF(F554='Refined Compare'!$D$2,TRUE,IF(G554='Refined Compare'!$D$2,TRUE,FALSE)))</f>
        <v>0</v>
      </c>
      <c r="AY554" s="174" t="b">
        <f>IF('Refined Compare'!$D$3="All",TRUE,IF(F554='Refined Compare'!$D$3,TRUE,IF(G554='Refined Compare'!$D$3,TRUE,FALSE)))</f>
        <v>0</v>
      </c>
      <c r="AZ554" s="174" t="b">
        <f t="shared" si="151"/>
        <v>1</v>
      </c>
    </row>
    <row r="555" spans="1:52" x14ac:dyDescent="0.35">
      <c r="A555">
        <f t="shared" si="152"/>
        <v>554</v>
      </c>
      <c r="B555" s="18">
        <v>479</v>
      </c>
      <c r="C555" s="61">
        <v>4</v>
      </c>
      <c r="D555" s="118" t="b">
        <v>1</v>
      </c>
      <c r="E555" s="61"/>
      <c r="F555" s="66" t="s">
        <v>813</v>
      </c>
      <c r="G555" s="66" t="str">
        <f>IF($AW$2&lt;5,"Ghost","Grass")</f>
        <v>Ghost</v>
      </c>
      <c r="H555" s="38" t="s">
        <v>570</v>
      </c>
      <c r="I555" s="39">
        <f t="shared" si="155"/>
        <v>50</v>
      </c>
      <c r="J555" s="40">
        <f t="shared" si="156"/>
        <v>65</v>
      </c>
      <c r="K555" s="41">
        <f t="shared" si="157"/>
        <v>107</v>
      </c>
      <c r="L555" s="42">
        <f t="shared" si="158"/>
        <v>105</v>
      </c>
      <c r="M555" s="43">
        <f t="shared" si="159"/>
        <v>107</v>
      </c>
      <c r="N555" s="44">
        <f t="shared" si="160"/>
        <v>86</v>
      </c>
      <c r="O555" s="45">
        <f t="shared" si="161"/>
        <v>520</v>
      </c>
      <c r="P555" s="19">
        <f t="shared" si="162"/>
        <v>86.67</v>
      </c>
      <c r="Q555" s="177">
        <v>50</v>
      </c>
      <c r="R555" s="40">
        <v>65</v>
      </c>
      <c r="S555" s="41">
        <v>107</v>
      </c>
      <c r="T555" s="42">
        <v>105</v>
      </c>
      <c r="U555" s="43">
        <v>107</v>
      </c>
      <c r="V555" s="44">
        <v>86</v>
      </c>
      <c r="W555" s="45">
        <f t="shared" si="153"/>
        <v>520</v>
      </c>
      <c r="X555" s="19">
        <f t="shared" si="154"/>
        <v>86.67</v>
      </c>
      <c r="Y555" s="3">
        <v>50</v>
      </c>
      <c r="Z555" s="4">
        <v>65</v>
      </c>
      <c r="AA555" s="5">
        <v>107</v>
      </c>
      <c r="AB555" s="6">
        <v>105</v>
      </c>
      <c r="AC555" s="7">
        <v>107</v>
      </c>
      <c r="AD555" s="8">
        <v>86</v>
      </c>
      <c r="AE555" s="1">
        <v>520</v>
      </c>
      <c r="AF555" s="19">
        <v>86.67</v>
      </c>
      <c r="AG555" s="139">
        <v>50</v>
      </c>
      <c r="AH555" s="140">
        <v>65</v>
      </c>
      <c r="AI555" s="141">
        <v>107</v>
      </c>
      <c r="AJ555" s="142">
        <v>105</v>
      </c>
      <c r="AK555" s="143">
        <v>107</v>
      </c>
      <c r="AL555" s="144">
        <v>86</v>
      </c>
      <c r="AM555" s="138">
        <v>520</v>
      </c>
      <c r="AN555" s="153">
        <v>86.67</v>
      </c>
      <c r="AW555" s="45"/>
      <c r="AX555" s="174" t="b">
        <f>IF('Refined Compare'!$D$2="All",TRUE,IF(F555='Refined Compare'!$D$2,TRUE,IF(G555='Refined Compare'!$D$2,TRUE,FALSE)))</f>
        <v>0</v>
      </c>
      <c r="AY555" s="174" t="b">
        <f>IF('Refined Compare'!$D$3="All",TRUE,IF(F555='Refined Compare'!$D$3,TRUE,IF(G555='Refined Compare'!$D$3,TRUE,FALSE)))</f>
        <v>0</v>
      </c>
      <c r="AZ555" s="174" t="b">
        <f t="shared" si="151"/>
        <v>1</v>
      </c>
    </row>
    <row r="556" spans="1:52" x14ac:dyDescent="0.35">
      <c r="A556">
        <f t="shared" si="152"/>
        <v>555</v>
      </c>
      <c r="B556" s="18">
        <v>479</v>
      </c>
      <c r="C556" s="61">
        <v>4</v>
      </c>
      <c r="D556" s="118" t="b">
        <v>1</v>
      </c>
      <c r="E556" s="61"/>
      <c r="F556" s="66" t="s">
        <v>813</v>
      </c>
      <c r="G556" s="66" t="s">
        <v>821</v>
      </c>
      <c r="H556" s="38" t="s">
        <v>608</v>
      </c>
      <c r="I556" s="39">
        <f t="shared" si="155"/>
        <v>50</v>
      </c>
      <c r="J556" s="40">
        <f t="shared" si="156"/>
        <v>50</v>
      </c>
      <c r="K556" s="41">
        <f t="shared" si="157"/>
        <v>77</v>
      </c>
      <c r="L556" s="42">
        <f t="shared" si="158"/>
        <v>95</v>
      </c>
      <c r="M556" s="43">
        <f t="shared" si="159"/>
        <v>77</v>
      </c>
      <c r="N556" s="44">
        <f t="shared" si="160"/>
        <v>91</v>
      </c>
      <c r="O556" s="45">
        <f t="shared" si="161"/>
        <v>440</v>
      </c>
      <c r="P556" s="19">
        <f t="shared" si="162"/>
        <v>73.33</v>
      </c>
      <c r="Q556" s="177">
        <v>50</v>
      </c>
      <c r="R556" s="40">
        <v>50</v>
      </c>
      <c r="S556" s="41">
        <v>77</v>
      </c>
      <c r="T556" s="42">
        <v>95</v>
      </c>
      <c r="U556" s="43">
        <v>77</v>
      </c>
      <c r="V556" s="44">
        <v>91</v>
      </c>
      <c r="W556" s="45">
        <f t="shared" si="153"/>
        <v>440</v>
      </c>
      <c r="X556" s="19">
        <f t="shared" si="154"/>
        <v>73.33</v>
      </c>
      <c r="Y556" s="3">
        <v>50</v>
      </c>
      <c r="Z556" s="4">
        <v>50</v>
      </c>
      <c r="AA556" s="5">
        <v>77</v>
      </c>
      <c r="AB556" s="6">
        <v>95</v>
      </c>
      <c r="AC556" s="7">
        <v>77</v>
      </c>
      <c r="AD556" s="8">
        <v>91</v>
      </c>
      <c r="AE556" s="1">
        <v>440</v>
      </c>
      <c r="AF556" s="19">
        <v>73.33</v>
      </c>
      <c r="AG556" s="139">
        <v>50</v>
      </c>
      <c r="AH556" s="140">
        <v>50</v>
      </c>
      <c r="AI556" s="141">
        <v>77</v>
      </c>
      <c r="AJ556" s="142">
        <v>95</v>
      </c>
      <c r="AK556" s="143">
        <v>77</v>
      </c>
      <c r="AL556" s="144">
        <v>91</v>
      </c>
      <c r="AM556" s="138">
        <v>440</v>
      </c>
      <c r="AN556" s="153">
        <v>73.33</v>
      </c>
      <c r="AW556" s="45"/>
      <c r="AX556" s="174" t="b">
        <f>IF('Refined Compare'!$D$2="All",TRUE,IF(F556='Refined Compare'!$D$2,TRUE,IF(G556='Refined Compare'!$D$2,TRUE,FALSE)))</f>
        <v>0</v>
      </c>
      <c r="AY556" s="174" t="b">
        <f>IF('Refined Compare'!$D$3="All",TRUE,IF(F556='Refined Compare'!$D$3,TRUE,IF(G556='Refined Compare'!$D$3,TRUE,FALSE)))</f>
        <v>0</v>
      </c>
      <c r="AZ556" s="174" t="b">
        <f t="shared" si="151"/>
        <v>1</v>
      </c>
    </row>
    <row r="557" spans="1:52" x14ac:dyDescent="0.35">
      <c r="A557">
        <f t="shared" si="152"/>
        <v>556</v>
      </c>
      <c r="B557" s="18">
        <v>480</v>
      </c>
      <c r="C557" s="61">
        <v>4</v>
      </c>
      <c r="D557" s="118" t="b">
        <v>1</v>
      </c>
      <c r="E557" s="61"/>
      <c r="F557" s="66" t="s">
        <v>817</v>
      </c>
      <c r="G557" s="66" t="s">
        <v>827</v>
      </c>
      <c r="H557" s="38" t="s">
        <v>635</v>
      </c>
      <c r="I557" s="39">
        <f t="shared" si="155"/>
        <v>75</v>
      </c>
      <c r="J557" s="40">
        <f t="shared" si="156"/>
        <v>75</v>
      </c>
      <c r="K557" s="41">
        <f t="shared" si="157"/>
        <v>130</v>
      </c>
      <c r="L557" s="42">
        <f t="shared" si="158"/>
        <v>75</v>
      </c>
      <c r="M557" s="43">
        <f t="shared" si="159"/>
        <v>130</v>
      </c>
      <c r="N557" s="44">
        <f t="shared" si="160"/>
        <v>95</v>
      </c>
      <c r="O557" s="45">
        <f t="shared" si="161"/>
        <v>580</v>
      </c>
      <c r="P557" s="19">
        <f t="shared" si="162"/>
        <v>96.67</v>
      </c>
      <c r="Q557" s="177">
        <v>75</v>
      </c>
      <c r="R557" s="40">
        <v>75</v>
      </c>
      <c r="S557" s="41">
        <v>130</v>
      </c>
      <c r="T557" s="42">
        <v>75</v>
      </c>
      <c r="U557" s="43">
        <v>130</v>
      </c>
      <c r="V557" s="44">
        <v>95</v>
      </c>
      <c r="W557" s="45">
        <f t="shared" si="153"/>
        <v>580</v>
      </c>
      <c r="X557" s="19">
        <f t="shared" si="154"/>
        <v>96.67</v>
      </c>
      <c r="Y557" s="3">
        <v>75</v>
      </c>
      <c r="Z557" s="4">
        <v>75</v>
      </c>
      <c r="AA557" s="5">
        <v>130</v>
      </c>
      <c r="AB557" s="6">
        <v>75</v>
      </c>
      <c r="AC557" s="7">
        <v>130</v>
      </c>
      <c r="AD557" s="8">
        <v>95</v>
      </c>
      <c r="AE557" s="1">
        <v>580</v>
      </c>
      <c r="AF557" s="19">
        <v>96.67</v>
      </c>
      <c r="AG557" s="139">
        <v>75</v>
      </c>
      <c r="AH557" s="140">
        <v>75</v>
      </c>
      <c r="AI557" s="141">
        <v>130</v>
      </c>
      <c r="AJ557" s="142">
        <v>75</v>
      </c>
      <c r="AK557" s="143">
        <v>130</v>
      </c>
      <c r="AL557" s="144">
        <v>95</v>
      </c>
      <c r="AM557" s="138">
        <v>580</v>
      </c>
      <c r="AN557" s="153">
        <v>96.67</v>
      </c>
      <c r="AW557" s="45"/>
      <c r="AX557" s="174" t="b">
        <f>IF('Refined Compare'!$D$2="All",TRUE,IF(F557='Refined Compare'!$D$2,TRUE,IF(G557='Refined Compare'!$D$2,TRUE,FALSE)))</f>
        <v>0</v>
      </c>
      <c r="AY557" s="174" t="b">
        <f>IF('Refined Compare'!$D$3="All",TRUE,IF(F557='Refined Compare'!$D$3,TRUE,IF(G557='Refined Compare'!$D$3,TRUE,FALSE)))</f>
        <v>1</v>
      </c>
      <c r="AZ557" s="174" t="b">
        <f t="shared" si="151"/>
        <v>1</v>
      </c>
    </row>
    <row r="558" spans="1:52" x14ac:dyDescent="0.35">
      <c r="A558">
        <f t="shared" si="152"/>
        <v>557</v>
      </c>
      <c r="B558" s="18">
        <v>481</v>
      </c>
      <c r="C558" s="61">
        <v>4</v>
      </c>
      <c r="D558" s="118" t="b">
        <v>1</v>
      </c>
      <c r="E558" s="61"/>
      <c r="F558" s="66" t="s">
        <v>817</v>
      </c>
      <c r="G558" s="66" t="s">
        <v>827</v>
      </c>
      <c r="H558" s="38" t="s">
        <v>521</v>
      </c>
      <c r="I558" s="39">
        <f t="shared" si="155"/>
        <v>80</v>
      </c>
      <c r="J558" s="40">
        <f t="shared" si="156"/>
        <v>105</v>
      </c>
      <c r="K558" s="41">
        <f t="shared" si="157"/>
        <v>105</v>
      </c>
      <c r="L558" s="42">
        <f t="shared" si="158"/>
        <v>105</v>
      </c>
      <c r="M558" s="43">
        <f t="shared" si="159"/>
        <v>105</v>
      </c>
      <c r="N558" s="44">
        <f t="shared" si="160"/>
        <v>80</v>
      </c>
      <c r="O558" s="45">
        <f t="shared" si="161"/>
        <v>580</v>
      </c>
      <c r="P558" s="19">
        <f t="shared" si="162"/>
        <v>96.67</v>
      </c>
      <c r="Q558" s="177">
        <v>80</v>
      </c>
      <c r="R558" s="40">
        <v>105</v>
      </c>
      <c r="S558" s="41">
        <v>105</v>
      </c>
      <c r="T558" s="42">
        <v>105</v>
      </c>
      <c r="U558" s="43">
        <v>105</v>
      </c>
      <c r="V558" s="44">
        <v>80</v>
      </c>
      <c r="W558" s="45">
        <f t="shared" si="153"/>
        <v>580</v>
      </c>
      <c r="X558" s="19">
        <f t="shared" si="154"/>
        <v>96.67</v>
      </c>
      <c r="Y558" s="3">
        <v>80</v>
      </c>
      <c r="Z558" s="4">
        <v>105</v>
      </c>
      <c r="AA558" s="5">
        <v>105</v>
      </c>
      <c r="AB558" s="6">
        <v>105</v>
      </c>
      <c r="AC558" s="7">
        <v>105</v>
      </c>
      <c r="AD558" s="8">
        <v>80</v>
      </c>
      <c r="AE558" s="1">
        <v>580</v>
      </c>
      <c r="AF558" s="19">
        <v>96.67</v>
      </c>
      <c r="AG558" s="139">
        <v>80</v>
      </c>
      <c r="AH558" s="140">
        <v>105</v>
      </c>
      <c r="AI558" s="141">
        <v>105</v>
      </c>
      <c r="AJ558" s="142">
        <v>105</v>
      </c>
      <c r="AK558" s="143">
        <v>105</v>
      </c>
      <c r="AL558" s="144">
        <v>80</v>
      </c>
      <c r="AM558" s="138">
        <v>580</v>
      </c>
      <c r="AN558" s="153">
        <v>96.67</v>
      </c>
      <c r="AW558" s="45"/>
      <c r="AX558" s="174" t="b">
        <f>IF('Refined Compare'!$D$2="All",TRUE,IF(F558='Refined Compare'!$D$2,TRUE,IF(G558='Refined Compare'!$D$2,TRUE,FALSE)))</f>
        <v>0</v>
      </c>
      <c r="AY558" s="174" t="b">
        <f>IF('Refined Compare'!$D$3="All",TRUE,IF(F558='Refined Compare'!$D$3,TRUE,IF(G558='Refined Compare'!$D$3,TRUE,FALSE)))</f>
        <v>1</v>
      </c>
      <c r="AZ558" s="174" t="b">
        <f t="shared" si="151"/>
        <v>1</v>
      </c>
    </row>
    <row r="559" spans="1:52" x14ac:dyDescent="0.35">
      <c r="A559">
        <f t="shared" si="152"/>
        <v>558</v>
      </c>
      <c r="B559" s="18">
        <v>482</v>
      </c>
      <c r="C559" s="61">
        <v>4</v>
      </c>
      <c r="D559" s="118" t="b">
        <v>1</v>
      </c>
      <c r="E559" s="61"/>
      <c r="F559" s="66" t="s">
        <v>817</v>
      </c>
      <c r="G559" s="66" t="s">
        <v>827</v>
      </c>
      <c r="H559" s="38" t="s">
        <v>744</v>
      </c>
      <c r="I559" s="39">
        <f t="shared" si="155"/>
        <v>75</v>
      </c>
      <c r="J559" s="40">
        <f t="shared" si="156"/>
        <v>125</v>
      </c>
      <c r="K559" s="41">
        <f t="shared" si="157"/>
        <v>70</v>
      </c>
      <c r="L559" s="42">
        <f t="shared" si="158"/>
        <v>125</v>
      </c>
      <c r="M559" s="43">
        <f t="shared" si="159"/>
        <v>70</v>
      </c>
      <c r="N559" s="44">
        <f t="shared" si="160"/>
        <v>115</v>
      </c>
      <c r="O559" s="45">
        <f t="shared" si="161"/>
        <v>580</v>
      </c>
      <c r="P559" s="19">
        <f t="shared" si="162"/>
        <v>96.67</v>
      </c>
      <c r="Q559" s="177">
        <v>75</v>
      </c>
      <c r="R559" s="40">
        <v>125</v>
      </c>
      <c r="S559" s="41">
        <v>70</v>
      </c>
      <c r="T559" s="42">
        <v>125</v>
      </c>
      <c r="U559" s="43">
        <v>70</v>
      </c>
      <c r="V559" s="44">
        <v>115</v>
      </c>
      <c r="W559" s="45">
        <f t="shared" si="153"/>
        <v>580</v>
      </c>
      <c r="X559" s="19">
        <f t="shared" si="154"/>
        <v>96.67</v>
      </c>
      <c r="Y559" s="3">
        <v>75</v>
      </c>
      <c r="Z559" s="4">
        <v>125</v>
      </c>
      <c r="AA559" s="5">
        <v>70</v>
      </c>
      <c r="AB559" s="6">
        <v>125</v>
      </c>
      <c r="AC559" s="7">
        <v>70</v>
      </c>
      <c r="AD559" s="8">
        <v>115</v>
      </c>
      <c r="AE559" s="1">
        <v>580</v>
      </c>
      <c r="AF559" s="19">
        <v>96.67</v>
      </c>
      <c r="AG559" s="139">
        <v>75</v>
      </c>
      <c r="AH559" s="140">
        <v>125</v>
      </c>
      <c r="AI559" s="141">
        <v>70</v>
      </c>
      <c r="AJ559" s="142">
        <v>125</v>
      </c>
      <c r="AK559" s="143">
        <v>70</v>
      </c>
      <c r="AL559" s="144">
        <v>115</v>
      </c>
      <c r="AM559" s="138">
        <v>580</v>
      </c>
      <c r="AN559" s="153">
        <v>96.67</v>
      </c>
      <c r="AW559" s="45"/>
      <c r="AX559" s="174" t="b">
        <f>IF('Refined Compare'!$D$2="All",TRUE,IF(F559='Refined Compare'!$D$2,TRUE,IF(G559='Refined Compare'!$D$2,TRUE,FALSE)))</f>
        <v>0</v>
      </c>
      <c r="AY559" s="174" t="b">
        <f>IF('Refined Compare'!$D$3="All",TRUE,IF(F559='Refined Compare'!$D$3,TRUE,IF(G559='Refined Compare'!$D$3,TRUE,FALSE)))</f>
        <v>1</v>
      </c>
      <c r="AZ559" s="174" t="b">
        <f t="shared" si="151"/>
        <v>1</v>
      </c>
    </row>
    <row r="560" spans="1:52" x14ac:dyDescent="0.35">
      <c r="A560">
        <f t="shared" si="152"/>
        <v>559</v>
      </c>
      <c r="B560" s="18">
        <v>483</v>
      </c>
      <c r="C560" s="61">
        <v>4</v>
      </c>
      <c r="D560" s="118" t="b">
        <v>1</v>
      </c>
      <c r="E560" s="61"/>
      <c r="F560" s="66" t="s">
        <v>819</v>
      </c>
      <c r="G560" s="66" t="s">
        <v>822</v>
      </c>
      <c r="H560" s="38" t="s">
        <v>597</v>
      </c>
      <c r="I560" s="39">
        <f t="shared" si="155"/>
        <v>100</v>
      </c>
      <c r="J560" s="40">
        <f t="shared" si="156"/>
        <v>120</v>
      </c>
      <c r="K560" s="41">
        <f t="shared" si="157"/>
        <v>120</v>
      </c>
      <c r="L560" s="42">
        <f t="shared" si="158"/>
        <v>150</v>
      </c>
      <c r="M560" s="43">
        <f t="shared" si="159"/>
        <v>100</v>
      </c>
      <c r="N560" s="44">
        <f t="shared" si="160"/>
        <v>90</v>
      </c>
      <c r="O560" s="45">
        <f t="shared" si="161"/>
        <v>680</v>
      </c>
      <c r="P560" s="19">
        <f t="shared" si="162"/>
        <v>113.33</v>
      </c>
      <c r="Q560" s="177">
        <v>100</v>
      </c>
      <c r="R560" s="40">
        <v>120</v>
      </c>
      <c r="S560" s="41">
        <v>120</v>
      </c>
      <c r="T560" s="42">
        <v>150</v>
      </c>
      <c r="U560" s="43">
        <v>100</v>
      </c>
      <c r="V560" s="44">
        <v>90</v>
      </c>
      <c r="W560" s="45">
        <f t="shared" si="153"/>
        <v>680</v>
      </c>
      <c r="X560" s="19">
        <f t="shared" si="154"/>
        <v>113.33</v>
      </c>
      <c r="Y560" s="3">
        <v>100</v>
      </c>
      <c r="Z560" s="4">
        <v>120</v>
      </c>
      <c r="AA560" s="5">
        <v>120</v>
      </c>
      <c r="AB560" s="6">
        <v>150</v>
      </c>
      <c r="AC560" s="7">
        <v>100</v>
      </c>
      <c r="AD560" s="8">
        <v>90</v>
      </c>
      <c r="AE560" s="1">
        <v>680</v>
      </c>
      <c r="AF560" s="19">
        <v>113.33</v>
      </c>
      <c r="AG560" s="139">
        <v>100</v>
      </c>
      <c r="AH560" s="140">
        <v>120</v>
      </c>
      <c r="AI560" s="141">
        <v>120</v>
      </c>
      <c r="AJ560" s="142">
        <v>150</v>
      </c>
      <c r="AK560" s="143">
        <v>100</v>
      </c>
      <c r="AL560" s="144">
        <v>90</v>
      </c>
      <c r="AM560" s="138">
        <v>680</v>
      </c>
      <c r="AN560" s="153">
        <v>113.33</v>
      </c>
      <c r="AW560" s="45"/>
      <c r="AX560" s="174" t="b">
        <f>IF('Refined Compare'!$D$2="All",TRUE,IF(F560='Refined Compare'!$D$2,TRUE,IF(G560='Refined Compare'!$D$2,TRUE,FALSE)))</f>
        <v>0</v>
      </c>
      <c r="AY560" s="174" t="b">
        <f>IF('Refined Compare'!$D$3="All",TRUE,IF(F560='Refined Compare'!$D$3,TRUE,IF(G560='Refined Compare'!$D$3,TRUE,FALSE)))</f>
        <v>0</v>
      </c>
      <c r="AZ560" s="174" t="b">
        <f t="shared" si="151"/>
        <v>1</v>
      </c>
    </row>
    <row r="561" spans="1:52" x14ac:dyDescent="0.35">
      <c r="A561">
        <f t="shared" si="152"/>
        <v>560</v>
      </c>
      <c r="B561" s="18">
        <v>484</v>
      </c>
      <c r="C561" s="61">
        <v>4</v>
      </c>
      <c r="D561" s="118" t="b">
        <v>1</v>
      </c>
      <c r="E561" s="61"/>
      <c r="F561" s="66" t="s">
        <v>810</v>
      </c>
      <c r="G561" s="66" t="s">
        <v>822</v>
      </c>
      <c r="H561" s="38" t="s">
        <v>677</v>
      </c>
      <c r="I561" s="39">
        <f t="shared" si="155"/>
        <v>90</v>
      </c>
      <c r="J561" s="40">
        <f t="shared" si="156"/>
        <v>120</v>
      </c>
      <c r="K561" s="41">
        <f t="shared" si="157"/>
        <v>100</v>
      </c>
      <c r="L561" s="42">
        <f t="shared" si="158"/>
        <v>150</v>
      </c>
      <c r="M561" s="43">
        <f t="shared" si="159"/>
        <v>120</v>
      </c>
      <c r="N561" s="44">
        <f t="shared" si="160"/>
        <v>100</v>
      </c>
      <c r="O561" s="45">
        <f t="shared" si="161"/>
        <v>680</v>
      </c>
      <c r="P561" s="19">
        <f t="shared" si="162"/>
        <v>113.33</v>
      </c>
      <c r="Q561" s="177">
        <v>90</v>
      </c>
      <c r="R561" s="40">
        <v>120</v>
      </c>
      <c r="S561" s="41">
        <v>100</v>
      </c>
      <c r="T561" s="42">
        <v>150</v>
      </c>
      <c r="U561" s="43">
        <v>120</v>
      </c>
      <c r="V561" s="44">
        <v>100</v>
      </c>
      <c r="W561" s="45">
        <f t="shared" si="153"/>
        <v>680</v>
      </c>
      <c r="X561" s="19">
        <f t="shared" si="154"/>
        <v>113.33</v>
      </c>
      <c r="Y561" s="3">
        <v>90</v>
      </c>
      <c r="Z561" s="4">
        <v>120</v>
      </c>
      <c r="AA561" s="5">
        <v>100</v>
      </c>
      <c r="AB561" s="6">
        <v>150</v>
      </c>
      <c r="AC561" s="7">
        <v>120</v>
      </c>
      <c r="AD561" s="8">
        <v>100</v>
      </c>
      <c r="AE561" s="1">
        <v>680</v>
      </c>
      <c r="AF561" s="19">
        <v>113.33</v>
      </c>
      <c r="AG561" s="139">
        <v>90</v>
      </c>
      <c r="AH561" s="140">
        <v>120</v>
      </c>
      <c r="AI561" s="141">
        <v>100</v>
      </c>
      <c r="AJ561" s="142">
        <v>150</v>
      </c>
      <c r="AK561" s="143">
        <v>120</v>
      </c>
      <c r="AL561" s="144">
        <v>100</v>
      </c>
      <c r="AM561" s="138">
        <v>680</v>
      </c>
      <c r="AN561" s="153">
        <v>113.33</v>
      </c>
      <c r="AW561" s="45"/>
      <c r="AX561" s="174" t="b">
        <f>IF('Refined Compare'!$D$2="All",TRUE,IF(F561='Refined Compare'!$D$2,TRUE,IF(G561='Refined Compare'!$D$2,TRUE,FALSE)))</f>
        <v>0</v>
      </c>
      <c r="AY561" s="174" t="b">
        <f>IF('Refined Compare'!$D$3="All",TRUE,IF(F561='Refined Compare'!$D$3,TRUE,IF(G561='Refined Compare'!$D$3,TRUE,FALSE)))</f>
        <v>0</v>
      </c>
      <c r="AZ561" s="174" t="b">
        <f t="shared" si="151"/>
        <v>1</v>
      </c>
    </row>
    <row r="562" spans="1:52" x14ac:dyDescent="0.35">
      <c r="A562">
        <f t="shared" si="152"/>
        <v>561</v>
      </c>
      <c r="B562" s="18">
        <v>485</v>
      </c>
      <c r="C562" s="61">
        <v>4</v>
      </c>
      <c r="D562" s="118" t="b">
        <v>1</v>
      </c>
      <c r="E562" s="61"/>
      <c r="F562" s="66" t="s">
        <v>808</v>
      </c>
      <c r="G562" s="66" t="s">
        <v>819</v>
      </c>
      <c r="H562" s="38" t="s">
        <v>489</v>
      </c>
      <c r="I562" s="39">
        <f t="shared" si="155"/>
        <v>91</v>
      </c>
      <c r="J562" s="40">
        <f t="shared" si="156"/>
        <v>90</v>
      </c>
      <c r="K562" s="41">
        <f t="shared" si="157"/>
        <v>106</v>
      </c>
      <c r="L562" s="42">
        <f t="shared" si="158"/>
        <v>130</v>
      </c>
      <c r="M562" s="43">
        <f t="shared" si="159"/>
        <v>106</v>
      </c>
      <c r="N562" s="44">
        <f t="shared" si="160"/>
        <v>77</v>
      </c>
      <c r="O562" s="45">
        <f t="shared" si="161"/>
        <v>600</v>
      </c>
      <c r="P562" s="19">
        <f t="shared" si="162"/>
        <v>100</v>
      </c>
      <c r="Q562" s="177">
        <v>91</v>
      </c>
      <c r="R562" s="40">
        <v>90</v>
      </c>
      <c r="S562" s="41">
        <v>106</v>
      </c>
      <c r="T562" s="42">
        <v>130</v>
      </c>
      <c r="U562" s="43">
        <v>106</v>
      </c>
      <c r="V562" s="44">
        <v>77</v>
      </c>
      <c r="W562" s="45">
        <f t="shared" si="153"/>
        <v>600</v>
      </c>
      <c r="X562" s="19">
        <f t="shared" si="154"/>
        <v>100</v>
      </c>
      <c r="Y562" s="3">
        <v>91</v>
      </c>
      <c r="Z562" s="4">
        <v>90</v>
      </c>
      <c r="AA562" s="5">
        <v>106</v>
      </c>
      <c r="AB562" s="6">
        <v>130</v>
      </c>
      <c r="AC562" s="7">
        <v>106</v>
      </c>
      <c r="AD562" s="8">
        <v>77</v>
      </c>
      <c r="AE562" s="1">
        <v>600</v>
      </c>
      <c r="AF562" s="19">
        <v>100</v>
      </c>
      <c r="AG562" s="139">
        <v>91</v>
      </c>
      <c r="AH562" s="140">
        <v>90</v>
      </c>
      <c r="AI562" s="141">
        <v>106</v>
      </c>
      <c r="AJ562" s="142">
        <v>130</v>
      </c>
      <c r="AK562" s="143">
        <v>106</v>
      </c>
      <c r="AL562" s="144">
        <v>77</v>
      </c>
      <c r="AM562" s="138">
        <v>600</v>
      </c>
      <c r="AN562" s="153">
        <v>100</v>
      </c>
      <c r="AW562" s="45"/>
      <c r="AX562" s="174" t="b">
        <f>IF('Refined Compare'!$D$2="All",TRUE,IF(F562='Refined Compare'!$D$2,TRUE,IF(G562='Refined Compare'!$D$2,TRUE,FALSE)))</f>
        <v>0</v>
      </c>
      <c r="AY562" s="174" t="b">
        <f>IF('Refined Compare'!$D$3="All",TRUE,IF(F562='Refined Compare'!$D$3,TRUE,IF(G562='Refined Compare'!$D$3,TRUE,FALSE)))</f>
        <v>0</v>
      </c>
      <c r="AZ562" s="174" t="b">
        <f t="shared" si="151"/>
        <v>1</v>
      </c>
    </row>
    <row r="563" spans="1:52" x14ac:dyDescent="0.35">
      <c r="A563">
        <f t="shared" si="152"/>
        <v>562</v>
      </c>
      <c r="B563" s="18">
        <v>486</v>
      </c>
      <c r="C563" s="61">
        <v>4</v>
      </c>
      <c r="D563" s="118" t="b">
        <v>1</v>
      </c>
      <c r="E563" s="61"/>
      <c r="F563" s="66" t="s">
        <v>812</v>
      </c>
      <c r="G563" s="66" t="s">
        <v>827</v>
      </c>
      <c r="H563" s="38" t="s">
        <v>678</v>
      </c>
      <c r="I563" s="39">
        <f t="shared" si="155"/>
        <v>110</v>
      </c>
      <c r="J563" s="40">
        <f t="shared" si="156"/>
        <v>160</v>
      </c>
      <c r="K563" s="41">
        <f t="shared" si="157"/>
        <v>110</v>
      </c>
      <c r="L563" s="42">
        <f t="shared" si="158"/>
        <v>80</v>
      </c>
      <c r="M563" s="43">
        <f t="shared" si="159"/>
        <v>110</v>
      </c>
      <c r="N563" s="44">
        <f t="shared" si="160"/>
        <v>100</v>
      </c>
      <c r="O563" s="45">
        <f t="shared" si="161"/>
        <v>670</v>
      </c>
      <c r="P563" s="19">
        <f t="shared" si="162"/>
        <v>111.67</v>
      </c>
      <c r="Q563" s="177">
        <v>110</v>
      </c>
      <c r="R563" s="40">
        <v>160</v>
      </c>
      <c r="S563" s="41">
        <v>110</v>
      </c>
      <c r="T563" s="42">
        <v>80</v>
      </c>
      <c r="U563" s="43">
        <v>110</v>
      </c>
      <c r="V563" s="44">
        <v>100</v>
      </c>
      <c r="W563" s="45">
        <f t="shared" si="153"/>
        <v>670</v>
      </c>
      <c r="X563" s="19">
        <f t="shared" si="154"/>
        <v>111.67</v>
      </c>
      <c r="Y563" s="3">
        <v>110</v>
      </c>
      <c r="Z563" s="4">
        <v>160</v>
      </c>
      <c r="AA563" s="5">
        <v>110</v>
      </c>
      <c r="AB563" s="6">
        <v>80</v>
      </c>
      <c r="AC563" s="7">
        <v>110</v>
      </c>
      <c r="AD563" s="8">
        <v>100</v>
      </c>
      <c r="AE563" s="1">
        <v>670</v>
      </c>
      <c r="AF563" s="19">
        <v>111.67</v>
      </c>
      <c r="AG563" s="139">
        <v>110</v>
      </c>
      <c r="AH563" s="140">
        <v>160</v>
      </c>
      <c r="AI563" s="141">
        <v>110</v>
      </c>
      <c r="AJ563" s="142">
        <v>80</v>
      </c>
      <c r="AK563" s="143">
        <v>110</v>
      </c>
      <c r="AL563" s="144">
        <v>100</v>
      </c>
      <c r="AM563" s="138">
        <v>670</v>
      </c>
      <c r="AN563" s="153">
        <v>111.67</v>
      </c>
      <c r="AW563" s="45"/>
      <c r="AX563" s="174" t="b">
        <f>IF('Refined Compare'!$D$2="All",TRUE,IF(F563='Refined Compare'!$D$2,TRUE,IF(G563='Refined Compare'!$D$2,TRUE,FALSE)))</f>
        <v>0</v>
      </c>
      <c r="AY563" s="174" t="b">
        <f>IF('Refined Compare'!$D$3="All",TRUE,IF(F563='Refined Compare'!$D$3,TRUE,IF(G563='Refined Compare'!$D$3,TRUE,FALSE)))</f>
        <v>1</v>
      </c>
      <c r="AZ563" s="174" t="b">
        <f t="shared" si="151"/>
        <v>1</v>
      </c>
    </row>
    <row r="564" spans="1:52" x14ac:dyDescent="0.35">
      <c r="A564">
        <f t="shared" si="152"/>
        <v>563</v>
      </c>
      <c r="B564" s="18">
        <v>487</v>
      </c>
      <c r="C564" s="61">
        <v>4</v>
      </c>
      <c r="D564" s="118" t="b">
        <v>1</v>
      </c>
      <c r="E564" s="61"/>
      <c r="F564" s="66" t="s">
        <v>821</v>
      </c>
      <c r="G564" s="66" t="s">
        <v>822</v>
      </c>
      <c r="H564" s="38" t="s">
        <v>598</v>
      </c>
      <c r="I564" s="39">
        <f t="shared" si="155"/>
        <v>150</v>
      </c>
      <c r="J564" s="40">
        <f t="shared" si="156"/>
        <v>100</v>
      </c>
      <c r="K564" s="41">
        <f t="shared" si="157"/>
        <v>120</v>
      </c>
      <c r="L564" s="42">
        <f t="shared" si="158"/>
        <v>100</v>
      </c>
      <c r="M564" s="43">
        <f t="shared" si="159"/>
        <v>120</v>
      </c>
      <c r="N564" s="44">
        <f t="shared" si="160"/>
        <v>90</v>
      </c>
      <c r="O564" s="45">
        <f t="shared" si="161"/>
        <v>680</v>
      </c>
      <c r="P564" s="19">
        <f t="shared" si="162"/>
        <v>113.33</v>
      </c>
      <c r="Q564" s="177">
        <v>150</v>
      </c>
      <c r="R564" s="40">
        <v>100</v>
      </c>
      <c r="S564" s="41">
        <v>120</v>
      </c>
      <c r="T564" s="42">
        <v>100</v>
      </c>
      <c r="U564" s="43">
        <v>120</v>
      </c>
      <c r="V564" s="44">
        <v>90</v>
      </c>
      <c r="W564" s="45">
        <f t="shared" si="153"/>
        <v>680</v>
      </c>
      <c r="X564" s="19">
        <f t="shared" si="154"/>
        <v>113.33</v>
      </c>
      <c r="Y564" s="3">
        <v>150</v>
      </c>
      <c r="Z564" s="4">
        <v>100</v>
      </c>
      <c r="AA564" s="5">
        <v>120</v>
      </c>
      <c r="AB564" s="6">
        <v>100</v>
      </c>
      <c r="AC564" s="7">
        <v>120</v>
      </c>
      <c r="AD564" s="8">
        <v>90</v>
      </c>
      <c r="AE564" s="1">
        <v>680</v>
      </c>
      <c r="AF564" s="19">
        <v>113.33</v>
      </c>
      <c r="AG564" s="139">
        <v>150</v>
      </c>
      <c r="AH564" s="140">
        <v>100</v>
      </c>
      <c r="AI564" s="141">
        <v>120</v>
      </c>
      <c r="AJ564" s="142">
        <v>100</v>
      </c>
      <c r="AK564" s="143">
        <v>120</v>
      </c>
      <c r="AL564" s="144">
        <v>90</v>
      </c>
      <c r="AM564" s="138">
        <v>680</v>
      </c>
      <c r="AN564" s="153">
        <v>113.33</v>
      </c>
      <c r="AW564" s="45"/>
      <c r="AX564" s="174" t="b">
        <f>IF('Refined Compare'!$D$2="All",TRUE,IF(F564='Refined Compare'!$D$2,TRUE,IF(G564='Refined Compare'!$D$2,TRUE,FALSE)))</f>
        <v>0</v>
      </c>
      <c r="AY564" s="174" t="b">
        <f>IF('Refined Compare'!$D$3="All",TRUE,IF(F564='Refined Compare'!$D$3,TRUE,IF(G564='Refined Compare'!$D$3,TRUE,FALSE)))</f>
        <v>0</v>
      </c>
      <c r="AZ564" s="174" t="b">
        <f t="shared" si="151"/>
        <v>1</v>
      </c>
    </row>
    <row r="565" spans="1:52" x14ac:dyDescent="0.35">
      <c r="A565">
        <f t="shared" si="152"/>
        <v>564</v>
      </c>
      <c r="B565" s="18">
        <v>487</v>
      </c>
      <c r="C565" s="61">
        <v>4</v>
      </c>
      <c r="D565" s="118" t="b">
        <v>1</v>
      </c>
      <c r="E565" s="61"/>
      <c r="F565" s="66" t="s">
        <v>821</v>
      </c>
      <c r="G565" s="66" t="s">
        <v>822</v>
      </c>
      <c r="H565" s="38" t="s">
        <v>599</v>
      </c>
      <c r="I565" s="39">
        <f t="shared" si="155"/>
        <v>150</v>
      </c>
      <c r="J565" s="40">
        <f t="shared" si="156"/>
        <v>120</v>
      </c>
      <c r="K565" s="41">
        <f t="shared" si="157"/>
        <v>100</v>
      </c>
      <c r="L565" s="42">
        <f t="shared" si="158"/>
        <v>120</v>
      </c>
      <c r="M565" s="43">
        <f t="shared" si="159"/>
        <v>100</v>
      </c>
      <c r="N565" s="44">
        <f t="shared" si="160"/>
        <v>90</v>
      </c>
      <c r="O565" s="45">
        <f t="shared" si="161"/>
        <v>680</v>
      </c>
      <c r="P565" s="19">
        <f t="shared" si="162"/>
        <v>113.33</v>
      </c>
      <c r="Q565" s="177">
        <v>150</v>
      </c>
      <c r="R565" s="40">
        <v>120</v>
      </c>
      <c r="S565" s="41">
        <v>100</v>
      </c>
      <c r="T565" s="42">
        <v>120</v>
      </c>
      <c r="U565" s="43">
        <v>100</v>
      </c>
      <c r="V565" s="44">
        <v>90</v>
      </c>
      <c r="W565" s="45">
        <f t="shared" si="153"/>
        <v>680</v>
      </c>
      <c r="X565" s="19">
        <f t="shared" si="154"/>
        <v>113.33</v>
      </c>
      <c r="Y565" s="3">
        <v>150</v>
      </c>
      <c r="Z565" s="4">
        <v>120</v>
      </c>
      <c r="AA565" s="5">
        <v>100</v>
      </c>
      <c r="AB565" s="6">
        <v>120</v>
      </c>
      <c r="AC565" s="7">
        <v>100</v>
      </c>
      <c r="AD565" s="8">
        <v>90</v>
      </c>
      <c r="AE565" s="1">
        <v>680</v>
      </c>
      <c r="AF565" s="19">
        <v>113.33</v>
      </c>
      <c r="AG565" s="139">
        <v>150</v>
      </c>
      <c r="AH565" s="140">
        <v>120</v>
      </c>
      <c r="AI565" s="141">
        <v>100</v>
      </c>
      <c r="AJ565" s="142">
        <v>120</v>
      </c>
      <c r="AK565" s="143">
        <v>100</v>
      </c>
      <c r="AL565" s="144">
        <v>90</v>
      </c>
      <c r="AM565" s="138">
        <v>680</v>
      </c>
      <c r="AN565" s="153">
        <v>113.33</v>
      </c>
      <c r="AW565" s="45"/>
      <c r="AX565" s="174" t="b">
        <f>IF('Refined Compare'!$D$2="All",TRUE,IF(F565='Refined Compare'!$D$2,TRUE,IF(G565='Refined Compare'!$D$2,TRUE,FALSE)))</f>
        <v>0</v>
      </c>
      <c r="AY565" s="174" t="b">
        <f>IF('Refined Compare'!$D$3="All",TRUE,IF(F565='Refined Compare'!$D$3,TRUE,IF(G565='Refined Compare'!$D$3,TRUE,FALSE)))</f>
        <v>0</v>
      </c>
      <c r="AZ565" s="174" t="b">
        <f t="shared" si="151"/>
        <v>1</v>
      </c>
    </row>
    <row r="566" spans="1:52" x14ac:dyDescent="0.35">
      <c r="A566">
        <f t="shared" si="152"/>
        <v>565</v>
      </c>
      <c r="B566" s="18">
        <v>488</v>
      </c>
      <c r="C566" s="61">
        <v>4</v>
      </c>
      <c r="D566" s="118" t="b">
        <v>1</v>
      </c>
      <c r="E566" s="61"/>
      <c r="F566" s="66" t="s">
        <v>817</v>
      </c>
      <c r="G566" s="66" t="s">
        <v>827</v>
      </c>
      <c r="H566" s="38" t="s">
        <v>564</v>
      </c>
      <c r="I566" s="39">
        <f t="shared" si="155"/>
        <v>120</v>
      </c>
      <c r="J566" s="40">
        <f t="shared" si="156"/>
        <v>70</v>
      </c>
      <c r="K566" s="41">
        <f t="shared" si="157"/>
        <v>120</v>
      </c>
      <c r="L566" s="42">
        <f t="shared" si="158"/>
        <v>75</v>
      </c>
      <c r="M566" s="43">
        <f t="shared" si="159"/>
        <v>130</v>
      </c>
      <c r="N566" s="44">
        <f t="shared" si="160"/>
        <v>85</v>
      </c>
      <c r="O566" s="45">
        <f t="shared" si="161"/>
        <v>600</v>
      </c>
      <c r="P566" s="19">
        <f t="shared" si="162"/>
        <v>100</v>
      </c>
      <c r="Q566" s="177">
        <v>120</v>
      </c>
      <c r="R566" s="40">
        <v>70</v>
      </c>
      <c r="S566" s="41">
        <v>120</v>
      </c>
      <c r="T566" s="42">
        <v>75</v>
      </c>
      <c r="U566" s="43">
        <v>130</v>
      </c>
      <c r="V566" s="44">
        <v>85</v>
      </c>
      <c r="W566" s="45">
        <f t="shared" si="153"/>
        <v>600</v>
      </c>
      <c r="X566" s="19">
        <f t="shared" si="154"/>
        <v>100</v>
      </c>
      <c r="Y566" s="3">
        <v>120</v>
      </c>
      <c r="Z566" s="4">
        <v>70</v>
      </c>
      <c r="AA566" s="5">
        <v>120</v>
      </c>
      <c r="AB566" s="6">
        <v>75</v>
      </c>
      <c r="AC566" s="7">
        <v>130</v>
      </c>
      <c r="AD566" s="8">
        <v>85</v>
      </c>
      <c r="AE566" s="1">
        <v>600</v>
      </c>
      <c r="AF566" s="19">
        <v>100</v>
      </c>
      <c r="AG566" s="139">
        <v>120</v>
      </c>
      <c r="AH566" s="140">
        <v>70</v>
      </c>
      <c r="AI566" s="141">
        <v>120</v>
      </c>
      <c r="AJ566" s="142">
        <v>75</v>
      </c>
      <c r="AK566" s="143">
        <v>130</v>
      </c>
      <c r="AL566" s="144">
        <v>85</v>
      </c>
      <c r="AM566" s="138">
        <v>600</v>
      </c>
      <c r="AN566" s="153">
        <v>100</v>
      </c>
      <c r="AW566" s="45"/>
      <c r="AX566" s="174" t="b">
        <f>IF('Refined Compare'!$D$2="All",TRUE,IF(F566='Refined Compare'!$D$2,TRUE,IF(G566='Refined Compare'!$D$2,TRUE,FALSE)))</f>
        <v>0</v>
      </c>
      <c r="AY566" s="174" t="b">
        <f>IF('Refined Compare'!$D$3="All",TRUE,IF(F566='Refined Compare'!$D$3,TRUE,IF(G566='Refined Compare'!$D$3,TRUE,FALSE)))</f>
        <v>1</v>
      </c>
      <c r="AZ566" s="174" t="b">
        <f t="shared" si="151"/>
        <v>1</v>
      </c>
    </row>
    <row r="567" spans="1:52" x14ac:dyDescent="0.35">
      <c r="A567">
        <f t="shared" si="152"/>
        <v>566</v>
      </c>
      <c r="B567" s="18">
        <v>489</v>
      </c>
      <c r="C567" s="61">
        <v>4</v>
      </c>
      <c r="D567" s="61" t="b">
        <v>0</v>
      </c>
      <c r="E567" s="61"/>
      <c r="F567" s="66" t="s">
        <v>810</v>
      </c>
      <c r="G567" s="66" t="s">
        <v>827</v>
      </c>
      <c r="H567" s="38" t="s">
        <v>522</v>
      </c>
      <c r="I567" s="39">
        <f t="shared" si="155"/>
        <v>80</v>
      </c>
      <c r="J567" s="40">
        <f t="shared" si="156"/>
        <v>80</v>
      </c>
      <c r="K567" s="41">
        <f t="shared" si="157"/>
        <v>80</v>
      </c>
      <c r="L567" s="42">
        <f t="shared" si="158"/>
        <v>80</v>
      </c>
      <c r="M567" s="43">
        <f t="shared" si="159"/>
        <v>80</v>
      </c>
      <c r="N567" s="44">
        <f t="shared" si="160"/>
        <v>80</v>
      </c>
      <c r="O567" s="45">
        <f t="shared" si="161"/>
        <v>480</v>
      </c>
      <c r="P567" s="19">
        <f t="shared" si="162"/>
        <v>80</v>
      </c>
      <c r="Q567" s="177">
        <v>80</v>
      </c>
      <c r="R567" s="40">
        <v>80</v>
      </c>
      <c r="S567" s="41">
        <v>80</v>
      </c>
      <c r="T567" s="42">
        <v>80</v>
      </c>
      <c r="U567" s="43">
        <v>80</v>
      </c>
      <c r="V567" s="44">
        <v>80</v>
      </c>
      <c r="W567" s="45">
        <f t="shared" si="153"/>
        <v>480</v>
      </c>
      <c r="X567" s="19">
        <f t="shared" si="154"/>
        <v>80</v>
      </c>
      <c r="Y567" s="3">
        <v>80</v>
      </c>
      <c r="Z567" s="4">
        <v>80</v>
      </c>
      <c r="AA567" s="5">
        <v>80</v>
      </c>
      <c r="AB567" s="6">
        <v>80</v>
      </c>
      <c r="AC567" s="7">
        <v>80</v>
      </c>
      <c r="AD567" s="8">
        <v>80</v>
      </c>
      <c r="AE567" s="1">
        <v>480</v>
      </c>
      <c r="AF567" s="19">
        <v>80</v>
      </c>
      <c r="AG567" s="139">
        <v>80</v>
      </c>
      <c r="AH567" s="140">
        <v>80</v>
      </c>
      <c r="AI567" s="141">
        <v>80</v>
      </c>
      <c r="AJ567" s="142">
        <v>80</v>
      </c>
      <c r="AK567" s="143">
        <v>80</v>
      </c>
      <c r="AL567" s="144">
        <v>80</v>
      </c>
      <c r="AM567" s="138">
        <v>480</v>
      </c>
      <c r="AN567" s="153">
        <v>80</v>
      </c>
      <c r="AW567" s="45"/>
      <c r="AX567" s="174" t="b">
        <f>IF('Refined Compare'!$D$2="All",TRUE,IF(F567='Refined Compare'!$D$2,TRUE,IF(G567='Refined Compare'!$D$2,TRUE,FALSE)))</f>
        <v>0</v>
      </c>
      <c r="AY567" s="174" t="b">
        <f>IF('Refined Compare'!$D$3="All",TRUE,IF(F567='Refined Compare'!$D$3,TRUE,IF(G567='Refined Compare'!$D$3,TRUE,FALSE)))</f>
        <v>1</v>
      </c>
      <c r="AZ567" s="174" t="b">
        <f t="shared" si="151"/>
        <v>1</v>
      </c>
    </row>
    <row r="568" spans="1:52" x14ac:dyDescent="0.35">
      <c r="A568">
        <f t="shared" si="152"/>
        <v>567</v>
      </c>
      <c r="B568" s="18">
        <v>490</v>
      </c>
      <c r="C568" s="61">
        <v>4</v>
      </c>
      <c r="D568" s="118" t="b">
        <v>1</v>
      </c>
      <c r="E568" s="61"/>
      <c r="F568" s="66" t="s">
        <v>810</v>
      </c>
      <c r="G568" s="66" t="s">
        <v>827</v>
      </c>
      <c r="H568" s="38" t="s">
        <v>679</v>
      </c>
      <c r="I568" s="39">
        <f t="shared" si="155"/>
        <v>100</v>
      </c>
      <c r="J568" s="40">
        <f t="shared" si="156"/>
        <v>100</v>
      </c>
      <c r="K568" s="41">
        <f t="shared" si="157"/>
        <v>100</v>
      </c>
      <c r="L568" s="42">
        <f t="shared" si="158"/>
        <v>100</v>
      </c>
      <c r="M568" s="43">
        <f t="shared" si="159"/>
        <v>100</v>
      </c>
      <c r="N568" s="44">
        <f t="shared" si="160"/>
        <v>100</v>
      </c>
      <c r="O568" s="45">
        <f t="shared" si="161"/>
        <v>600</v>
      </c>
      <c r="P568" s="19">
        <f t="shared" si="162"/>
        <v>100</v>
      </c>
      <c r="Q568" s="177">
        <v>100</v>
      </c>
      <c r="R568" s="40">
        <v>100</v>
      </c>
      <c r="S568" s="41">
        <v>100</v>
      </c>
      <c r="T568" s="42">
        <v>100</v>
      </c>
      <c r="U568" s="43">
        <v>100</v>
      </c>
      <c r="V568" s="44">
        <v>100</v>
      </c>
      <c r="W568" s="45">
        <f t="shared" si="153"/>
        <v>600</v>
      </c>
      <c r="X568" s="19">
        <f t="shared" si="154"/>
        <v>100</v>
      </c>
      <c r="Y568" s="3">
        <v>100</v>
      </c>
      <c r="Z568" s="4">
        <v>100</v>
      </c>
      <c r="AA568" s="5">
        <v>100</v>
      </c>
      <c r="AB568" s="6">
        <v>100</v>
      </c>
      <c r="AC568" s="7">
        <v>100</v>
      </c>
      <c r="AD568" s="8">
        <v>100</v>
      </c>
      <c r="AE568" s="1">
        <v>600</v>
      </c>
      <c r="AF568" s="19">
        <v>100</v>
      </c>
      <c r="AG568" s="139">
        <v>100</v>
      </c>
      <c r="AH568" s="140">
        <v>100</v>
      </c>
      <c r="AI568" s="141">
        <v>100</v>
      </c>
      <c r="AJ568" s="142">
        <v>100</v>
      </c>
      <c r="AK568" s="143">
        <v>100</v>
      </c>
      <c r="AL568" s="144">
        <v>100</v>
      </c>
      <c r="AM568" s="138">
        <v>600</v>
      </c>
      <c r="AN568" s="153">
        <v>100</v>
      </c>
      <c r="AW568" s="45"/>
      <c r="AX568" s="174" t="b">
        <f>IF('Refined Compare'!$D$2="All",TRUE,IF(F568='Refined Compare'!$D$2,TRUE,IF(G568='Refined Compare'!$D$2,TRUE,FALSE)))</f>
        <v>0</v>
      </c>
      <c r="AY568" s="174" t="b">
        <f>IF('Refined Compare'!$D$3="All",TRUE,IF(F568='Refined Compare'!$D$3,TRUE,IF(G568='Refined Compare'!$D$3,TRUE,FALSE)))</f>
        <v>1</v>
      </c>
      <c r="AZ568" s="174" t="b">
        <f t="shared" si="151"/>
        <v>1</v>
      </c>
    </row>
    <row r="569" spans="1:52" x14ac:dyDescent="0.35">
      <c r="A569">
        <f t="shared" si="152"/>
        <v>568</v>
      </c>
      <c r="B569" s="18">
        <v>491</v>
      </c>
      <c r="C569" s="61">
        <v>4</v>
      </c>
      <c r="D569" s="118" t="b">
        <v>1</v>
      </c>
      <c r="E569" s="61"/>
      <c r="F569" s="66" t="s">
        <v>823</v>
      </c>
      <c r="G569" s="66" t="s">
        <v>827</v>
      </c>
      <c r="H569" s="38" t="s">
        <v>759</v>
      </c>
      <c r="I569" s="39">
        <f t="shared" si="155"/>
        <v>70</v>
      </c>
      <c r="J569" s="40">
        <f t="shared" si="156"/>
        <v>90</v>
      </c>
      <c r="K569" s="41">
        <f t="shared" si="157"/>
        <v>90</v>
      </c>
      <c r="L569" s="42">
        <f t="shared" si="158"/>
        <v>135</v>
      </c>
      <c r="M569" s="43">
        <f t="shared" si="159"/>
        <v>90</v>
      </c>
      <c r="N569" s="44">
        <f t="shared" si="160"/>
        <v>125</v>
      </c>
      <c r="O569" s="45">
        <f t="shared" si="161"/>
        <v>600</v>
      </c>
      <c r="P569" s="19">
        <f t="shared" si="162"/>
        <v>100</v>
      </c>
      <c r="Q569" s="177">
        <v>70</v>
      </c>
      <c r="R569" s="40">
        <v>90</v>
      </c>
      <c r="S569" s="41">
        <v>90</v>
      </c>
      <c r="T569" s="42">
        <v>135</v>
      </c>
      <c r="U569" s="43">
        <v>90</v>
      </c>
      <c r="V569" s="44">
        <v>125</v>
      </c>
      <c r="W569" s="45">
        <f t="shared" si="153"/>
        <v>600</v>
      </c>
      <c r="X569" s="19">
        <f t="shared" si="154"/>
        <v>100</v>
      </c>
      <c r="Y569" s="3">
        <v>70</v>
      </c>
      <c r="Z569" s="4">
        <v>90</v>
      </c>
      <c r="AA569" s="5">
        <v>90</v>
      </c>
      <c r="AB569" s="6">
        <v>135</v>
      </c>
      <c r="AC569" s="7">
        <v>90</v>
      </c>
      <c r="AD569" s="8">
        <v>125</v>
      </c>
      <c r="AE569" s="1">
        <v>600</v>
      </c>
      <c r="AF569" s="19">
        <v>100</v>
      </c>
      <c r="AG569" s="139">
        <v>70</v>
      </c>
      <c r="AH569" s="140">
        <v>90</v>
      </c>
      <c r="AI569" s="141">
        <v>90</v>
      </c>
      <c r="AJ569" s="142">
        <v>135</v>
      </c>
      <c r="AK569" s="143">
        <v>90</v>
      </c>
      <c r="AL569" s="144">
        <v>125</v>
      </c>
      <c r="AM569" s="138">
        <v>600</v>
      </c>
      <c r="AN569" s="153">
        <v>100</v>
      </c>
      <c r="AW569" s="45"/>
      <c r="AX569" s="174" t="b">
        <f>IF('Refined Compare'!$D$2="All",TRUE,IF(F569='Refined Compare'!$D$2,TRUE,IF(G569='Refined Compare'!$D$2,TRUE,FALSE)))</f>
        <v>1</v>
      </c>
      <c r="AY569" s="174" t="b">
        <f>IF('Refined Compare'!$D$3="All",TRUE,IF(F569='Refined Compare'!$D$3,TRUE,IF(G569='Refined Compare'!$D$3,TRUE,FALSE)))</f>
        <v>1</v>
      </c>
      <c r="AZ569" s="174" t="b">
        <f t="shared" si="151"/>
        <v>1</v>
      </c>
    </row>
    <row r="570" spans="1:52" x14ac:dyDescent="0.35">
      <c r="A570">
        <f t="shared" si="152"/>
        <v>569</v>
      </c>
      <c r="B570" s="18">
        <v>491</v>
      </c>
      <c r="C570" s="61">
        <v>4</v>
      </c>
      <c r="D570" s="118" t="b">
        <v>1</v>
      </c>
      <c r="E570" s="61"/>
      <c r="F570" s="66" t="s">
        <v>806</v>
      </c>
      <c r="G570" s="66" t="s">
        <v>827</v>
      </c>
      <c r="H570" s="38" t="s">
        <v>680</v>
      </c>
      <c r="I570" s="39">
        <f t="shared" si="155"/>
        <v>100</v>
      </c>
      <c r="J570" s="40">
        <f t="shared" si="156"/>
        <v>100</v>
      </c>
      <c r="K570" s="41">
        <f t="shared" si="157"/>
        <v>100</v>
      </c>
      <c r="L570" s="42">
        <f t="shared" si="158"/>
        <v>100</v>
      </c>
      <c r="M570" s="43">
        <f t="shared" si="159"/>
        <v>100</v>
      </c>
      <c r="N570" s="44">
        <f t="shared" si="160"/>
        <v>100</v>
      </c>
      <c r="O570" s="45">
        <f t="shared" si="161"/>
        <v>600</v>
      </c>
      <c r="P570" s="19">
        <f t="shared" si="162"/>
        <v>100</v>
      </c>
      <c r="Q570" s="177">
        <v>100</v>
      </c>
      <c r="R570" s="40">
        <v>100</v>
      </c>
      <c r="S570" s="41">
        <v>100</v>
      </c>
      <c r="T570" s="42">
        <v>100</v>
      </c>
      <c r="U570" s="43">
        <v>100</v>
      </c>
      <c r="V570" s="44">
        <v>100</v>
      </c>
      <c r="W570" s="45">
        <f t="shared" si="153"/>
        <v>600</v>
      </c>
      <c r="X570" s="19">
        <f t="shared" si="154"/>
        <v>100</v>
      </c>
      <c r="Y570" s="3">
        <v>100</v>
      </c>
      <c r="Z570" s="4">
        <v>100</v>
      </c>
      <c r="AA570" s="5">
        <v>100</v>
      </c>
      <c r="AB570" s="6">
        <v>100</v>
      </c>
      <c r="AC570" s="7">
        <v>100</v>
      </c>
      <c r="AD570" s="8">
        <v>100</v>
      </c>
      <c r="AE570" s="1">
        <v>600</v>
      </c>
      <c r="AF570" s="19">
        <v>100</v>
      </c>
      <c r="AG570" s="139">
        <v>100</v>
      </c>
      <c r="AH570" s="140">
        <v>100</v>
      </c>
      <c r="AI570" s="141">
        <v>100</v>
      </c>
      <c r="AJ570" s="142">
        <v>100</v>
      </c>
      <c r="AK570" s="143">
        <v>100</v>
      </c>
      <c r="AL570" s="144">
        <v>100</v>
      </c>
      <c r="AM570" s="138">
        <v>600</v>
      </c>
      <c r="AN570" s="153">
        <v>100</v>
      </c>
      <c r="AW570" s="45"/>
      <c r="AX570" s="174" t="b">
        <f>IF('Refined Compare'!$D$2="All",TRUE,IF(F570='Refined Compare'!$D$2,TRUE,IF(G570='Refined Compare'!$D$2,TRUE,FALSE)))</f>
        <v>0</v>
      </c>
      <c r="AY570" s="174" t="b">
        <f>IF('Refined Compare'!$D$3="All",TRUE,IF(F570='Refined Compare'!$D$3,TRUE,IF(G570='Refined Compare'!$D$3,TRUE,FALSE)))</f>
        <v>1</v>
      </c>
      <c r="AZ570" s="174" t="b">
        <f t="shared" si="151"/>
        <v>1</v>
      </c>
    </row>
    <row r="571" spans="1:52" x14ac:dyDescent="0.35">
      <c r="A571">
        <f t="shared" si="152"/>
        <v>570</v>
      </c>
      <c r="B571" s="18">
        <v>492</v>
      </c>
      <c r="C571" s="61">
        <v>4</v>
      </c>
      <c r="D571" s="118" t="b">
        <v>1</v>
      </c>
      <c r="E571" s="61"/>
      <c r="F571" s="66" t="s">
        <v>806</v>
      </c>
      <c r="G571" s="66" t="s">
        <v>809</v>
      </c>
      <c r="H571" s="38" t="s">
        <v>761</v>
      </c>
      <c r="I571" s="39">
        <f t="shared" si="155"/>
        <v>100</v>
      </c>
      <c r="J571" s="40">
        <f t="shared" si="156"/>
        <v>103</v>
      </c>
      <c r="K571" s="41">
        <f t="shared" si="157"/>
        <v>75</v>
      </c>
      <c r="L571" s="42">
        <f t="shared" si="158"/>
        <v>120</v>
      </c>
      <c r="M571" s="43">
        <f t="shared" si="159"/>
        <v>75</v>
      </c>
      <c r="N571" s="44">
        <f t="shared" si="160"/>
        <v>127</v>
      </c>
      <c r="O571" s="45">
        <f t="shared" si="161"/>
        <v>600</v>
      </c>
      <c r="P571" s="19">
        <f t="shared" si="162"/>
        <v>100</v>
      </c>
      <c r="Q571" s="177">
        <v>100</v>
      </c>
      <c r="R571" s="40">
        <v>103</v>
      </c>
      <c r="S571" s="41">
        <v>75</v>
      </c>
      <c r="T571" s="42">
        <v>120</v>
      </c>
      <c r="U571" s="43">
        <v>75</v>
      </c>
      <c r="V571" s="44">
        <v>127</v>
      </c>
      <c r="W571" s="45">
        <f t="shared" si="153"/>
        <v>600</v>
      </c>
      <c r="X571" s="19">
        <f t="shared" si="154"/>
        <v>100</v>
      </c>
      <c r="Y571" s="3">
        <v>100</v>
      </c>
      <c r="Z571" s="4">
        <v>103</v>
      </c>
      <c r="AA571" s="5">
        <v>75</v>
      </c>
      <c r="AB571" s="6">
        <v>120</v>
      </c>
      <c r="AC571" s="7">
        <v>75</v>
      </c>
      <c r="AD571" s="8">
        <v>127</v>
      </c>
      <c r="AE571" s="1">
        <v>600</v>
      </c>
      <c r="AF571" s="19">
        <v>100</v>
      </c>
      <c r="AG571" s="139">
        <v>100</v>
      </c>
      <c r="AH571" s="140">
        <v>103</v>
      </c>
      <c r="AI571" s="141">
        <v>75</v>
      </c>
      <c r="AJ571" s="142">
        <v>120</v>
      </c>
      <c r="AK571" s="143">
        <v>75</v>
      </c>
      <c r="AL571" s="144">
        <v>127</v>
      </c>
      <c r="AM571" s="138">
        <v>600</v>
      </c>
      <c r="AN571" s="153">
        <v>100</v>
      </c>
      <c r="AW571" s="45"/>
      <c r="AX571" s="174" t="b">
        <f>IF('Refined Compare'!$D$2="All",TRUE,IF(F571='Refined Compare'!$D$2,TRUE,IF(G571='Refined Compare'!$D$2,TRUE,FALSE)))</f>
        <v>0</v>
      </c>
      <c r="AY571" s="174" t="b">
        <f>IF('Refined Compare'!$D$3="All",TRUE,IF(F571='Refined Compare'!$D$3,TRUE,IF(G571='Refined Compare'!$D$3,TRUE,FALSE)))</f>
        <v>0</v>
      </c>
      <c r="AZ571" s="174" t="b">
        <f t="shared" si="151"/>
        <v>1</v>
      </c>
    </row>
    <row r="572" spans="1:52" x14ac:dyDescent="0.35">
      <c r="A572">
        <f t="shared" si="152"/>
        <v>571</v>
      </c>
      <c r="B572" s="18">
        <v>493</v>
      </c>
      <c r="C572" s="61">
        <v>4</v>
      </c>
      <c r="D572" s="118" t="b">
        <v>1</v>
      </c>
      <c r="E572" s="61"/>
      <c r="F572" s="66" t="s">
        <v>812</v>
      </c>
      <c r="G572" s="66" t="s">
        <v>827</v>
      </c>
      <c r="H572" s="38" t="s">
        <v>752</v>
      </c>
      <c r="I572" s="39">
        <f t="shared" si="155"/>
        <v>120</v>
      </c>
      <c r="J572" s="40">
        <f t="shared" si="156"/>
        <v>120</v>
      </c>
      <c r="K572" s="41">
        <f t="shared" si="157"/>
        <v>120</v>
      </c>
      <c r="L572" s="42">
        <f t="shared" si="158"/>
        <v>120</v>
      </c>
      <c r="M572" s="43">
        <f t="shared" si="159"/>
        <v>120</v>
      </c>
      <c r="N572" s="44">
        <f t="shared" si="160"/>
        <v>120</v>
      </c>
      <c r="O572" s="45">
        <f t="shared" si="161"/>
        <v>720</v>
      </c>
      <c r="P572" s="19">
        <f t="shared" si="162"/>
        <v>120</v>
      </c>
      <c r="Q572" s="177">
        <v>120</v>
      </c>
      <c r="R572" s="40">
        <v>120</v>
      </c>
      <c r="S572" s="41">
        <v>120</v>
      </c>
      <c r="T572" s="42">
        <v>120</v>
      </c>
      <c r="U572" s="43">
        <v>120</v>
      </c>
      <c r="V572" s="44">
        <v>120</v>
      </c>
      <c r="W572" s="45">
        <f t="shared" si="153"/>
        <v>720</v>
      </c>
      <c r="X572" s="19">
        <f t="shared" si="154"/>
        <v>120</v>
      </c>
      <c r="Y572" s="3">
        <v>120</v>
      </c>
      <c r="Z572" s="4">
        <v>120</v>
      </c>
      <c r="AA572" s="5">
        <v>120</v>
      </c>
      <c r="AB572" s="6">
        <v>120</v>
      </c>
      <c r="AC572" s="7">
        <v>120</v>
      </c>
      <c r="AD572" s="8">
        <v>120</v>
      </c>
      <c r="AE572" s="1">
        <v>720</v>
      </c>
      <c r="AF572" s="19">
        <v>120</v>
      </c>
      <c r="AG572" s="139">
        <v>120</v>
      </c>
      <c r="AH572" s="140">
        <v>120</v>
      </c>
      <c r="AI572" s="141">
        <v>120</v>
      </c>
      <c r="AJ572" s="142">
        <v>120</v>
      </c>
      <c r="AK572" s="143">
        <v>120</v>
      </c>
      <c r="AL572" s="144">
        <v>120</v>
      </c>
      <c r="AM572" s="138">
        <v>720</v>
      </c>
      <c r="AN572" s="153">
        <v>120</v>
      </c>
      <c r="AW572" s="45"/>
      <c r="AX572" s="174" t="b">
        <f>IF('Refined Compare'!$D$2="All",TRUE,IF(F572='Refined Compare'!$D$2,TRUE,IF(G572='Refined Compare'!$D$2,TRUE,FALSE)))</f>
        <v>0</v>
      </c>
      <c r="AY572" s="174" t="b">
        <f>IF('Refined Compare'!$D$3="All",TRUE,IF(F572='Refined Compare'!$D$3,TRUE,IF(G572='Refined Compare'!$D$3,TRUE,FALSE)))</f>
        <v>1</v>
      </c>
      <c r="AZ572" s="174" t="b">
        <f t="shared" si="151"/>
        <v>1</v>
      </c>
    </row>
    <row r="573" spans="1:52" x14ac:dyDescent="0.35">
      <c r="A573">
        <f t="shared" si="152"/>
        <v>572</v>
      </c>
      <c r="B573" s="18">
        <v>494</v>
      </c>
      <c r="C573" s="61">
        <v>4</v>
      </c>
      <c r="D573" s="118" t="b">
        <v>1</v>
      </c>
      <c r="E573" s="61"/>
      <c r="F573" s="66" t="s">
        <v>817</v>
      </c>
      <c r="G573" s="66" t="s">
        <v>808</v>
      </c>
      <c r="H573" s="38" t="s">
        <v>681</v>
      </c>
      <c r="I573" s="39">
        <f t="shared" si="155"/>
        <v>100</v>
      </c>
      <c r="J573" s="40">
        <f t="shared" si="156"/>
        <v>100</v>
      </c>
      <c r="K573" s="41">
        <f t="shared" si="157"/>
        <v>100</v>
      </c>
      <c r="L573" s="42">
        <f t="shared" si="158"/>
        <v>100</v>
      </c>
      <c r="M573" s="43">
        <f t="shared" si="159"/>
        <v>100</v>
      </c>
      <c r="N573" s="44">
        <f t="shared" si="160"/>
        <v>100</v>
      </c>
      <c r="O573" s="45">
        <f t="shared" si="161"/>
        <v>600</v>
      </c>
      <c r="P573" s="19">
        <f t="shared" si="162"/>
        <v>100</v>
      </c>
      <c r="Q573" s="177">
        <v>100</v>
      </c>
      <c r="R573" s="40">
        <v>100</v>
      </c>
      <c r="S573" s="41">
        <v>100</v>
      </c>
      <c r="T573" s="42">
        <v>100</v>
      </c>
      <c r="U573" s="43">
        <v>100</v>
      </c>
      <c r="V573" s="44">
        <v>100</v>
      </c>
      <c r="W573" s="45">
        <f t="shared" si="153"/>
        <v>600</v>
      </c>
      <c r="X573" s="19">
        <f t="shared" si="154"/>
        <v>100</v>
      </c>
      <c r="Y573" s="3">
        <v>100</v>
      </c>
      <c r="Z573" s="4">
        <v>100</v>
      </c>
      <c r="AA573" s="5">
        <v>100</v>
      </c>
      <c r="AB573" s="6">
        <v>100</v>
      </c>
      <c r="AC573" s="7">
        <v>100</v>
      </c>
      <c r="AD573" s="8">
        <v>100</v>
      </c>
      <c r="AE573" s="1">
        <v>600</v>
      </c>
      <c r="AF573" s="19">
        <v>100</v>
      </c>
      <c r="AG573" s="139">
        <v>100</v>
      </c>
      <c r="AH573" s="140">
        <v>100</v>
      </c>
      <c r="AI573" s="141">
        <v>100</v>
      </c>
      <c r="AJ573" s="142">
        <v>100</v>
      </c>
      <c r="AK573" s="143">
        <v>100</v>
      </c>
      <c r="AL573" s="144">
        <v>100</v>
      </c>
      <c r="AM573" s="138">
        <v>600</v>
      </c>
      <c r="AN573" s="153">
        <v>100</v>
      </c>
      <c r="AW573" s="45"/>
      <c r="AX573" s="174" t="b">
        <f>IF('Refined Compare'!$D$2="All",TRUE,IF(F573='Refined Compare'!$D$2,TRUE,IF(G573='Refined Compare'!$D$2,TRUE,FALSE)))</f>
        <v>0</v>
      </c>
      <c r="AY573" s="174" t="b">
        <f>IF('Refined Compare'!$D$3="All",TRUE,IF(F573='Refined Compare'!$D$3,TRUE,IF(G573='Refined Compare'!$D$3,TRUE,FALSE)))</f>
        <v>0</v>
      </c>
      <c r="AZ573" s="174" t="b">
        <f t="shared" si="151"/>
        <v>1</v>
      </c>
    </row>
    <row r="574" spans="1:52" x14ac:dyDescent="0.35">
      <c r="A574">
        <f t="shared" si="152"/>
        <v>573</v>
      </c>
      <c r="B574" s="18">
        <v>495</v>
      </c>
      <c r="C574" s="61">
        <v>5</v>
      </c>
      <c r="D574" s="61" t="b">
        <v>0</v>
      </c>
      <c r="E574" s="61"/>
      <c r="F574" s="66" t="s">
        <v>806</v>
      </c>
      <c r="G574" s="66" t="s">
        <v>827</v>
      </c>
      <c r="H574" s="38" t="s">
        <v>360</v>
      </c>
      <c r="I574" s="39">
        <f t="shared" si="155"/>
        <v>45</v>
      </c>
      <c r="J574" s="40">
        <f t="shared" si="156"/>
        <v>45</v>
      </c>
      <c r="K574" s="41">
        <f t="shared" si="157"/>
        <v>55</v>
      </c>
      <c r="L574" s="42">
        <f t="shared" si="158"/>
        <v>45</v>
      </c>
      <c r="M574" s="43">
        <f t="shared" si="159"/>
        <v>55</v>
      </c>
      <c r="N574" s="44">
        <f t="shared" si="160"/>
        <v>63</v>
      </c>
      <c r="O574" s="45">
        <f t="shared" si="161"/>
        <v>308</v>
      </c>
      <c r="P574" s="19">
        <f t="shared" si="162"/>
        <v>51.33</v>
      </c>
      <c r="Q574" s="177">
        <v>45</v>
      </c>
      <c r="R574" s="40">
        <v>45</v>
      </c>
      <c r="S574" s="41">
        <v>55</v>
      </c>
      <c r="T574" s="42">
        <v>45</v>
      </c>
      <c r="U574" s="43">
        <v>55</v>
      </c>
      <c r="V574" s="44">
        <v>63</v>
      </c>
      <c r="W574" s="45">
        <f t="shared" si="153"/>
        <v>308</v>
      </c>
      <c r="X574" s="19">
        <f t="shared" si="154"/>
        <v>51.33</v>
      </c>
      <c r="Y574" s="3">
        <v>45</v>
      </c>
      <c r="Z574" s="4">
        <v>45</v>
      </c>
      <c r="AA574" s="5">
        <v>55</v>
      </c>
      <c r="AB574" s="6">
        <v>45</v>
      </c>
      <c r="AC574" s="7">
        <v>55</v>
      </c>
      <c r="AD574" s="8">
        <v>63</v>
      </c>
      <c r="AE574" s="1">
        <v>308</v>
      </c>
      <c r="AF574" s="19">
        <v>51.33</v>
      </c>
      <c r="AG574" s="139">
        <v>45</v>
      </c>
      <c r="AH574" s="140">
        <v>45</v>
      </c>
      <c r="AI574" s="141">
        <v>55</v>
      </c>
      <c r="AJ574" s="142">
        <v>45</v>
      </c>
      <c r="AK574" s="143">
        <v>55</v>
      </c>
      <c r="AL574" s="144">
        <v>63</v>
      </c>
      <c r="AM574" s="138">
        <v>308</v>
      </c>
      <c r="AN574" s="153">
        <v>51.33</v>
      </c>
      <c r="AV574" s="174"/>
      <c r="AW574" s="45"/>
      <c r="AX574" s="174" t="b">
        <f>IF('Refined Compare'!$D$2="All",TRUE,IF(F574='Refined Compare'!$D$2,TRUE,IF(G574='Refined Compare'!$D$2,TRUE,FALSE)))</f>
        <v>0</v>
      </c>
      <c r="AY574" s="174" t="b">
        <f>IF('Refined Compare'!$D$3="All",TRUE,IF(F574='Refined Compare'!$D$3,TRUE,IF(G574='Refined Compare'!$D$3,TRUE,FALSE)))</f>
        <v>1</v>
      </c>
      <c r="AZ574" s="174" t="b">
        <f t="shared" si="151"/>
        <v>0</v>
      </c>
    </row>
    <row r="575" spans="1:52" x14ac:dyDescent="0.35">
      <c r="A575">
        <f t="shared" si="152"/>
        <v>574</v>
      </c>
      <c r="B575" s="18">
        <v>496</v>
      </c>
      <c r="C575" s="61">
        <v>5</v>
      </c>
      <c r="D575" s="61" t="b">
        <v>0</v>
      </c>
      <c r="E575" s="61"/>
      <c r="F575" s="66" t="s">
        <v>806</v>
      </c>
      <c r="G575" s="66" t="s">
        <v>827</v>
      </c>
      <c r="H575" s="38" t="s">
        <v>536</v>
      </c>
      <c r="I575" s="39">
        <f t="shared" si="155"/>
        <v>60</v>
      </c>
      <c r="J575" s="40">
        <f t="shared" si="156"/>
        <v>60</v>
      </c>
      <c r="K575" s="41">
        <f t="shared" si="157"/>
        <v>75</v>
      </c>
      <c r="L575" s="42">
        <f t="shared" si="158"/>
        <v>60</v>
      </c>
      <c r="M575" s="43">
        <f t="shared" si="159"/>
        <v>75</v>
      </c>
      <c r="N575" s="44">
        <f t="shared" si="160"/>
        <v>83</v>
      </c>
      <c r="O575" s="45">
        <f t="shared" si="161"/>
        <v>413</v>
      </c>
      <c r="P575" s="19">
        <f t="shared" si="162"/>
        <v>68.83</v>
      </c>
      <c r="Q575" s="177">
        <v>60</v>
      </c>
      <c r="R575" s="40">
        <v>60</v>
      </c>
      <c r="S575" s="41">
        <v>75</v>
      </c>
      <c r="T575" s="42">
        <v>60</v>
      </c>
      <c r="U575" s="43">
        <v>75</v>
      </c>
      <c r="V575" s="44">
        <v>83</v>
      </c>
      <c r="W575" s="45">
        <f t="shared" si="153"/>
        <v>413</v>
      </c>
      <c r="X575" s="19">
        <f t="shared" si="154"/>
        <v>68.83</v>
      </c>
      <c r="Y575" s="3">
        <v>60</v>
      </c>
      <c r="Z575" s="4">
        <v>60</v>
      </c>
      <c r="AA575" s="5">
        <v>75</v>
      </c>
      <c r="AB575" s="6">
        <v>60</v>
      </c>
      <c r="AC575" s="7">
        <v>75</v>
      </c>
      <c r="AD575" s="8">
        <v>83</v>
      </c>
      <c r="AE575" s="1">
        <v>413</v>
      </c>
      <c r="AF575" s="19">
        <v>68.83</v>
      </c>
      <c r="AG575" s="139">
        <v>60</v>
      </c>
      <c r="AH575" s="140">
        <v>60</v>
      </c>
      <c r="AI575" s="141">
        <v>75</v>
      </c>
      <c r="AJ575" s="142">
        <v>60</v>
      </c>
      <c r="AK575" s="143">
        <v>75</v>
      </c>
      <c r="AL575" s="144">
        <v>83</v>
      </c>
      <c r="AM575" s="138">
        <v>413</v>
      </c>
      <c r="AN575" s="153">
        <v>68.83</v>
      </c>
      <c r="AV575" s="174"/>
      <c r="AW575" s="45"/>
      <c r="AX575" s="174" t="b">
        <f>IF('Refined Compare'!$D$2="All",TRUE,IF(F575='Refined Compare'!$D$2,TRUE,IF(G575='Refined Compare'!$D$2,TRUE,FALSE)))</f>
        <v>0</v>
      </c>
      <c r="AY575" s="174" t="b">
        <f>IF('Refined Compare'!$D$3="All",TRUE,IF(F575='Refined Compare'!$D$3,TRUE,IF(G575='Refined Compare'!$D$3,TRUE,FALSE)))</f>
        <v>1</v>
      </c>
      <c r="AZ575" s="174" t="b">
        <f t="shared" si="151"/>
        <v>0</v>
      </c>
    </row>
    <row r="576" spans="1:52" x14ac:dyDescent="0.35">
      <c r="A576">
        <f t="shared" si="152"/>
        <v>575</v>
      </c>
      <c r="B576" s="18">
        <v>497</v>
      </c>
      <c r="C576" s="61">
        <v>5</v>
      </c>
      <c r="D576" s="118" t="b">
        <v>1</v>
      </c>
      <c r="E576" s="61"/>
      <c r="F576" s="66" t="s">
        <v>806</v>
      </c>
      <c r="G576" s="66" t="s">
        <v>827</v>
      </c>
      <c r="H576" s="38" t="s">
        <v>733</v>
      </c>
      <c r="I576" s="39">
        <f t="shared" si="155"/>
        <v>75</v>
      </c>
      <c r="J576" s="40">
        <f t="shared" si="156"/>
        <v>75</v>
      </c>
      <c r="K576" s="41">
        <f t="shared" si="157"/>
        <v>95</v>
      </c>
      <c r="L576" s="42">
        <f t="shared" si="158"/>
        <v>75</v>
      </c>
      <c r="M576" s="43">
        <f t="shared" si="159"/>
        <v>95</v>
      </c>
      <c r="N576" s="44">
        <f t="shared" si="160"/>
        <v>113</v>
      </c>
      <c r="O576" s="45">
        <f t="shared" si="161"/>
        <v>528</v>
      </c>
      <c r="P576" s="19">
        <f t="shared" si="162"/>
        <v>88</v>
      </c>
      <c r="Q576" s="177">
        <v>75</v>
      </c>
      <c r="R576" s="40">
        <v>75</v>
      </c>
      <c r="S576" s="41">
        <v>95</v>
      </c>
      <c r="T576" s="42">
        <v>75</v>
      </c>
      <c r="U576" s="43">
        <v>95</v>
      </c>
      <c r="V576" s="44">
        <v>113</v>
      </c>
      <c r="W576" s="45">
        <f t="shared" si="153"/>
        <v>528</v>
      </c>
      <c r="X576" s="19">
        <f t="shared" si="154"/>
        <v>88</v>
      </c>
      <c r="Y576" s="3">
        <v>75</v>
      </c>
      <c r="Z576" s="4">
        <v>75</v>
      </c>
      <c r="AA576" s="5">
        <v>95</v>
      </c>
      <c r="AB576" s="6">
        <v>75</v>
      </c>
      <c r="AC576" s="7">
        <v>95</v>
      </c>
      <c r="AD576" s="8">
        <v>113</v>
      </c>
      <c r="AE576" s="1">
        <v>528</v>
      </c>
      <c r="AF576" s="19">
        <v>88</v>
      </c>
      <c r="AG576" s="139">
        <v>75</v>
      </c>
      <c r="AH576" s="140">
        <v>75</v>
      </c>
      <c r="AI576" s="141">
        <v>95</v>
      </c>
      <c r="AJ576" s="142">
        <v>75</v>
      </c>
      <c r="AK576" s="143">
        <v>95</v>
      </c>
      <c r="AL576" s="144">
        <v>113</v>
      </c>
      <c r="AM576" s="138">
        <v>528</v>
      </c>
      <c r="AN576" s="153">
        <v>88</v>
      </c>
      <c r="AV576" s="174"/>
      <c r="AW576" s="45"/>
      <c r="AX576" s="174" t="b">
        <f>IF('Refined Compare'!$D$2="All",TRUE,IF(F576='Refined Compare'!$D$2,TRUE,IF(G576='Refined Compare'!$D$2,TRUE,FALSE)))</f>
        <v>0</v>
      </c>
      <c r="AY576" s="174" t="b">
        <f>IF('Refined Compare'!$D$3="All",TRUE,IF(F576='Refined Compare'!$D$3,TRUE,IF(G576='Refined Compare'!$D$3,TRUE,FALSE)))</f>
        <v>1</v>
      </c>
      <c r="AZ576" s="174" t="b">
        <f t="shared" si="151"/>
        <v>0</v>
      </c>
    </row>
    <row r="577" spans="1:52" x14ac:dyDescent="0.35">
      <c r="A577">
        <f t="shared" si="152"/>
        <v>576</v>
      </c>
      <c r="B577" s="18">
        <v>498</v>
      </c>
      <c r="C577" s="61">
        <v>5</v>
      </c>
      <c r="D577" s="61" t="b">
        <v>0</v>
      </c>
      <c r="E577" s="61"/>
      <c r="F577" s="66" t="s">
        <v>808</v>
      </c>
      <c r="G577" s="66" t="s">
        <v>827</v>
      </c>
      <c r="H577" s="38" t="s">
        <v>193</v>
      </c>
      <c r="I577" s="39">
        <f t="shared" si="155"/>
        <v>65</v>
      </c>
      <c r="J577" s="40">
        <f t="shared" si="156"/>
        <v>63</v>
      </c>
      <c r="K577" s="41">
        <f t="shared" si="157"/>
        <v>45</v>
      </c>
      <c r="L577" s="42">
        <f t="shared" si="158"/>
        <v>45</v>
      </c>
      <c r="M577" s="43">
        <f t="shared" si="159"/>
        <v>45</v>
      </c>
      <c r="N577" s="44">
        <f t="shared" si="160"/>
        <v>45</v>
      </c>
      <c r="O577" s="45">
        <f t="shared" si="161"/>
        <v>308</v>
      </c>
      <c r="P577" s="19">
        <f t="shared" si="162"/>
        <v>51.33</v>
      </c>
      <c r="Q577" s="177">
        <v>65</v>
      </c>
      <c r="R577" s="40">
        <v>63</v>
      </c>
      <c r="S577" s="41">
        <v>45</v>
      </c>
      <c r="T577" s="42">
        <v>45</v>
      </c>
      <c r="U577" s="43">
        <v>45</v>
      </c>
      <c r="V577" s="44">
        <v>45</v>
      </c>
      <c r="W577" s="45">
        <f t="shared" si="153"/>
        <v>308</v>
      </c>
      <c r="X577" s="19">
        <f t="shared" si="154"/>
        <v>51.33</v>
      </c>
      <c r="Y577" s="3">
        <v>65</v>
      </c>
      <c r="Z577" s="4">
        <v>63</v>
      </c>
      <c r="AA577" s="5">
        <v>45</v>
      </c>
      <c r="AB577" s="6">
        <v>45</v>
      </c>
      <c r="AC577" s="7">
        <v>45</v>
      </c>
      <c r="AD577" s="8">
        <v>45</v>
      </c>
      <c r="AE577" s="1">
        <v>308</v>
      </c>
      <c r="AF577" s="19">
        <v>51.33</v>
      </c>
      <c r="AG577" s="139">
        <v>65</v>
      </c>
      <c r="AH577" s="140">
        <v>63</v>
      </c>
      <c r="AI577" s="141">
        <v>45</v>
      </c>
      <c r="AJ577" s="142">
        <v>45</v>
      </c>
      <c r="AK577" s="143">
        <v>45</v>
      </c>
      <c r="AL577" s="144">
        <v>45</v>
      </c>
      <c r="AM577" s="138">
        <v>308</v>
      </c>
      <c r="AN577" s="153">
        <v>51.33</v>
      </c>
      <c r="AV577" s="174"/>
      <c r="AW577" s="45"/>
      <c r="AX577" s="174" t="b">
        <f>IF('Refined Compare'!$D$2="All",TRUE,IF(F577='Refined Compare'!$D$2,TRUE,IF(G577='Refined Compare'!$D$2,TRUE,FALSE)))</f>
        <v>0</v>
      </c>
      <c r="AY577" s="174" t="b">
        <f>IF('Refined Compare'!$D$3="All",TRUE,IF(F577='Refined Compare'!$D$3,TRUE,IF(G577='Refined Compare'!$D$3,TRUE,FALSE)))</f>
        <v>1</v>
      </c>
      <c r="AZ577" s="174" t="b">
        <f t="shared" si="151"/>
        <v>0</v>
      </c>
    </row>
    <row r="578" spans="1:52" x14ac:dyDescent="0.35">
      <c r="A578">
        <f t="shared" si="152"/>
        <v>577</v>
      </c>
      <c r="B578" s="18">
        <v>499</v>
      </c>
      <c r="C578" s="61">
        <v>5</v>
      </c>
      <c r="D578" s="61" t="b">
        <v>0</v>
      </c>
      <c r="E578" s="61"/>
      <c r="F578" s="66" t="s">
        <v>808</v>
      </c>
      <c r="G578" s="66" t="s">
        <v>816</v>
      </c>
      <c r="H578" s="38" t="s">
        <v>284</v>
      </c>
      <c r="I578" s="39">
        <f t="shared" si="155"/>
        <v>90</v>
      </c>
      <c r="J578" s="40">
        <f t="shared" si="156"/>
        <v>93</v>
      </c>
      <c r="K578" s="41">
        <f t="shared" si="157"/>
        <v>55</v>
      </c>
      <c r="L578" s="42">
        <f t="shared" si="158"/>
        <v>70</v>
      </c>
      <c r="M578" s="43">
        <f t="shared" si="159"/>
        <v>55</v>
      </c>
      <c r="N578" s="44">
        <f t="shared" si="160"/>
        <v>55</v>
      </c>
      <c r="O578" s="45">
        <f t="shared" si="161"/>
        <v>418</v>
      </c>
      <c r="P578" s="19">
        <f t="shared" si="162"/>
        <v>69.67</v>
      </c>
      <c r="Q578" s="177">
        <v>90</v>
      </c>
      <c r="R578" s="40">
        <v>93</v>
      </c>
      <c r="S578" s="41">
        <v>55</v>
      </c>
      <c r="T578" s="42">
        <v>70</v>
      </c>
      <c r="U578" s="43">
        <v>55</v>
      </c>
      <c r="V578" s="44">
        <v>55</v>
      </c>
      <c r="W578" s="45">
        <f t="shared" si="153"/>
        <v>418</v>
      </c>
      <c r="X578" s="19">
        <f t="shared" si="154"/>
        <v>69.67</v>
      </c>
      <c r="Y578" s="3">
        <v>90</v>
      </c>
      <c r="Z578" s="4">
        <v>93</v>
      </c>
      <c r="AA578" s="5">
        <v>55</v>
      </c>
      <c r="AB578" s="6">
        <v>70</v>
      </c>
      <c r="AC578" s="7">
        <v>55</v>
      </c>
      <c r="AD578" s="8">
        <v>55</v>
      </c>
      <c r="AE578" s="1">
        <v>418</v>
      </c>
      <c r="AF578" s="19">
        <v>69.67</v>
      </c>
      <c r="AG578" s="139">
        <v>90</v>
      </c>
      <c r="AH578" s="140">
        <v>93</v>
      </c>
      <c r="AI578" s="141">
        <v>55</v>
      </c>
      <c r="AJ578" s="142">
        <v>70</v>
      </c>
      <c r="AK578" s="143">
        <v>55</v>
      </c>
      <c r="AL578" s="144">
        <v>55</v>
      </c>
      <c r="AM578" s="138">
        <v>418</v>
      </c>
      <c r="AN578" s="153">
        <v>69.67</v>
      </c>
      <c r="AV578" s="174"/>
      <c r="AW578" s="45"/>
      <c r="AX578" s="174" t="b">
        <f>IF('Refined Compare'!$D$2="All",TRUE,IF(F578='Refined Compare'!$D$2,TRUE,IF(G578='Refined Compare'!$D$2,TRUE,FALSE)))</f>
        <v>0</v>
      </c>
      <c r="AY578" s="174" t="b">
        <f>IF('Refined Compare'!$D$3="All",TRUE,IF(F578='Refined Compare'!$D$3,TRUE,IF(G578='Refined Compare'!$D$3,TRUE,FALSE)))</f>
        <v>0</v>
      </c>
      <c r="AZ578" s="174" t="b">
        <f t="shared" ref="AZ578:AZ641" si="163">IF(C578&lt;=$AW$2,TRUE,FALSE)</f>
        <v>0</v>
      </c>
    </row>
    <row r="579" spans="1:52" x14ac:dyDescent="0.35">
      <c r="A579">
        <f t="shared" si="152"/>
        <v>578</v>
      </c>
      <c r="B579" s="18">
        <v>500</v>
      </c>
      <c r="C579" s="61">
        <v>5</v>
      </c>
      <c r="D579" s="118" t="b">
        <v>1</v>
      </c>
      <c r="E579" s="61"/>
      <c r="F579" s="66" t="s">
        <v>808</v>
      </c>
      <c r="G579" s="66" t="s">
        <v>816</v>
      </c>
      <c r="H579" s="38" t="s">
        <v>392</v>
      </c>
      <c r="I579" s="39">
        <f t="shared" si="155"/>
        <v>110</v>
      </c>
      <c r="J579" s="40">
        <f t="shared" si="156"/>
        <v>123</v>
      </c>
      <c r="K579" s="41">
        <f t="shared" si="157"/>
        <v>65</v>
      </c>
      <c r="L579" s="42">
        <f t="shared" si="158"/>
        <v>100</v>
      </c>
      <c r="M579" s="43">
        <f t="shared" si="159"/>
        <v>65</v>
      </c>
      <c r="N579" s="44">
        <f t="shared" si="160"/>
        <v>65</v>
      </c>
      <c r="O579" s="45">
        <f t="shared" si="161"/>
        <v>528</v>
      </c>
      <c r="P579" s="19">
        <f t="shared" si="162"/>
        <v>88</v>
      </c>
      <c r="Q579" s="177">
        <v>110</v>
      </c>
      <c r="R579" s="40">
        <v>123</v>
      </c>
      <c r="S579" s="41">
        <v>65</v>
      </c>
      <c r="T579" s="42">
        <v>100</v>
      </c>
      <c r="U579" s="43">
        <v>65</v>
      </c>
      <c r="V579" s="44">
        <v>65</v>
      </c>
      <c r="W579" s="45">
        <f t="shared" si="153"/>
        <v>528</v>
      </c>
      <c r="X579" s="19">
        <f t="shared" si="154"/>
        <v>88</v>
      </c>
      <c r="Y579" s="3">
        <v>110</v>
      </c>
      <c r="Z579" s="4">
        <v>123</v>
      </c>
      <c r="AA579" s="5">
        <v>65</v>
      </c>
      <c r="AB579" s="6">
        <v>100</v>
      </c>
      <c r="AC579" s="7">
        <v>65</v>
      </c>
      <c r="AD579" s="8">
        <v>65</v>
      </c>
      <c r="AE579" s="1">
        <v>528</v>
      </c>
      <c r="AF579" s="19">
        <v>88</v>
      </c>
      <c r="AG579" s="139">
        <v>110</v>
      </c>
      <c r="AH579" s="140">
        <v>123</v>
      </c>
      <c r="AI579" s="141">
        <v>65</v>
      </c>
      <c r="AJ579" s="142">
        <v>100</v>
      </c>
      <c r="AK579" s="143">
        <v>65</v>
      </c>
      <c r="AL579" s="144">
        <v>65</v>
      </c>
      <c r="AM579" s="138">
        <v>528</v>
      </c>
      <c r="AN579" s="153">
        <v>88</v>
      </c>
      <c r="AV579" s="174"/>
      <c r="AW579" s="45"/>
      <c r="AX579" s="174" t="b">
        <f>IF('Refined Compare'!$D$2="All",TRUE,IF(F579='Refined Compare'!$D$2,TRUE,IF(G579='Refined Compare'!$D$2,TRUE,FALSE)))</f>
        <v>0</v>
      </c>
      <c r="AY579" s="174" t="b">
        <f>IF('Refined Compare'!$D$3="All",TRUE,IF(F579='Refined Compare'!$D$3,TRUE,IF(G579='Refined Compare'!$D$3,TRUE,FALSE)))</f>
        <v>0</v>
      </c>
      <c r="AZ579" s="174" t="b">
        <f t="shared" si="163"/>
        <v>0</v>
      </c>
    </row>
    <row r="580" spans="1:52" x14ac:dyDescent="0.35">
      <c r="A580">
        <f t="shared" si="152"/>
        <v>579</v>
      </c>
      <c r="B580" s="18">
        <v>501</v>
      </c>
      <c r="C580" s="61">
        <v>5</v>
      </c>
      <c r="D580" s="61" t="b">
        <v>0</v>
      </c>
      <c r="E580" s="61"/>
      <c r="F580" s="66" t="s">
        <v>810</v>
      </c>
      <c r="G580" s="66" t="s">
        <v>827</v>
      </c>
      <c r="H580" s="38" t="s">
        <v>194</v>
      </c>
      <c r="I580" s="39">
        <f t="shared" si="155"/>
        <v>55</v>
      </c>
      <c r="J580" s="40">
        <f t="shared" si="156"/>
        <v>55</v>
      </c>
      <c r="K580" s="41">
        <f t="shared" si="157"/>
        <v>45</v>
      </c>
      <c r="L580" s="42">
        <f t="shared" si="158"/>
        <v>63</v>
      </c>
      <c r="M580" s="43">
        <f t="shared" si="159"/>
        <v>45</v>
      </c>
      <c r="N580" s="44">
        <f t="shared" si="160"/>
        <v>45</v>
      </c>
      <c r="O580" s="45">
        <f t="shared" si="161"/>
        <v>308</v>
      </c>
      <c r="P580" s="19">
        <f t="shared" si="162"/>
        <v>51.33</v>
      </c>
      <c r="Q580" s="177">
        <v>55</v>
      </c>
      <c r="R580" s="40">
        <v>55</v>
      </c>
      <c r="S580" s="41">
        <v>45</v>
      </c>
      <c r="T580" s="42">
        <v>63</v>
      </c>
      <c r="U580" s="43">
        <v>45</v>
      </c>
      <c r="V580" s="44">
        <v>45</v>
      </c>
      <c r="W580" s="45">
        <f t="shared" si="153"/>
        <v>308</v>
      </c>
      <c r="X580" s="19">
        <f t="shared" si="154"/>
        <v>51.33</v>
      </c>
      <c r="Y580" s="3">
        <v>55</v>
      </c>
      <c r="Z580" s="4">
        <v>55</v>
      </c>
      <c r="AA580" s="5">
        <v>45</v>
      </c>
      <c r="AB580" s="6">
        <v>63</v>
      </c>
      <c r="AC580" s="7">
        <v>45</v>
      </c>
      <c r="AD580" s="8">
        <v>45</v>
      </c>
      <c r="AE580" s="1">
        <v>308</v>
      </c>
      <c r="AF580" s="19">
        <v>51.33</v>
      </c>
      <c r="AG580" s="139">
        <v>55</v>
      </c>
      <c r="AH580" s="140">
        <v>55</v>
      </c>
      <c r="AI580" s="141">
        <v>45</v>
      </c>
      <c r="AJ580" s="142">
        <v>63</v>
      </c>
      <c r="AK580" s="143">
        <v>45</v>
      </c>
      <c r="AL580" s="144">
        <v>45</v>
      </c>
      <c r="AM580" s="138">
        <v>308</v>
      </c>
      <c r="AN580" s="153">
        <v>51.33</v>
      </c>
      <c r="AV580" s="174"/>
      <c r="AW580" s="45"/>
      <c r="AX580" s="174" t="b">
        <f>IF('Refined Compare'!$D$2="All",TRUE,IF(F580='Refined Compare'!$D$2,TRUE,IF(G580='Refined Compare'!$D$2,TRUE,FALSE)))</f>
        <v>0</v>
      </c>
      <c r="AY580" s="174" t="b">
        <f>IF('Refined Compare'!$D$3="All",TRUE,IF(F580='Refined Compare'!$D$3,TRUE,IF(G580='Refined Compare'!$D$3,TRUE,FALSE)))</f>
        <v>1</v>
      </c>
      <c r="AZ580" s="174" t="b">
        <f t="shared" si="163"/>
        <v>0</v>
      </c>
    </row>
    <row r="581" spans="1:52" x14ac:dyDescent="0.35">
      <c r="A581">
        <f t="shared" si="152"/>
        <v>580</v>
      </c>
      <c r="B581" s="18">
        <v>502</v>
      </c>
      <c r="C581" s="61">
        <v>5</v>
      </c>
      <c r="D581" s="61" t="b">
        <v>0</v>
      </c>
      <c r="E581" s="61"/>
      <c r="F581" s="66" t="s">
        <v>810</v>
      </c>
      <c r="G581" s="66" t="s">
        <v>827</v>
      </c>
      <c r="H581" s="38" t="s">
        <v>341</v>
      </c>
      <c r="I581" s="39">
        <f t="shared" si="155"/>
        <v>75</v>
      </c>
      <c r="J581" s="40">
        <f t="shared" si="156"/>
        <v>75</v>
      </c>
      <c r="K581" s="41">
        <f t="shared" si="157"/>
        <v>60</v>
      </c>
      <c r="L581" s="42">
        <f t="shared" si="158"/>
        <v>83</v>
      </c>
      <c r="M581" s="43">
        <f t="shared" si="159"/>
        <v>60</v>
      </c>
      <c r="N581" s="44">
        <f t="shared" si="160"/>
        <v>60</v>
      </c>
      <c r="O581" s="45">
        <f t="shared" si="161"/>
        <v>413</v>
      </c>
      <c r="P581" s="19">
        <f t="shared" si="162"/>
        <v>68.83</v>
      </c>
      <c r="Q581" s="177">
        <v>75</v>
      </c>
      <c r="R581" s="40">
        <v>75</v>
      </c>
      <c r="S581" s="41">
        <v>60</v>
      </c>
      <c r="T581" s="42">
        <v>83</v>
      </c>
      <c r="U581" s="43">
        <v>60</v>
      </c>
      <c r="V581" s="44">
        <v>60</v>
      </c>
      <c r="W581" s="45">
        <f t="shared" si="153"/>
        <v>413</v>
      </c>
      <c r="X581" s="19">
        <f t="shared" si="154"/>
        <v>68.83</v>
      </c>
      <c r="Y581" s="3">
        <v>75</v>
      </c>
      <c r="Z581" s="4">
        <v>75</v>
      </c>
      <c r="AA581" s="5">
        <v>60</v>
      </c>
      <c r="AB581" s="6">
        <v>83</v>
      </c>
      <c r="AC581" s="7">
        <v>60</v>
      </c>
      <c r="AD581" s="8">
        <v>60</v>
      </c>
      <c r="AE581" s="1">
        <v>413</v>
      </c>
      <c r="AF581" s="19">
        <v>68.83</v>
      </c>
      <c r="AG581" s="139">
        <v>75</v>
      </c>
      <c r="AH581" s="140">
        <v>75</v>
      </c>
      <c r="AI581" s="141">
        <v>60</v>
      </c>
      <c r="AJ581" s="142">
        <v>83</v>
      </c>
      <c r="AK581" s="143">
        <v>60</v>
      </c>
      <c r="AL581" s="144">
        <v>60</v>
      </c>
      <c r="AM581" s="138">
        <v>413</v>
      </c>
      <c r="AN581" s="153">
        <v>68.83</v>
      </c>
      <c r="AV581" s="174"/>
      <c r="AW581" s="45"/>
      <c r="AX581" s="174" t="b">
        <f>IF('Refined Compare'!$D$2="All",TRUE,IF(F581='Refined Compare'!$D$2,TRUE,IF(G581='Refined Compare'!$D$2,TRUE,FALSE)))</f>
        <v>0</v>
      </c>
      <c r="AY581" s="174" t="b">
        <f>IF('Refined Compare'!$D$3="All",TRUE,IF(F581='Refined Compare'!$D$3,TRUE,IF(G581='Refined Compare'!$D$3,TRUE,FALSE)))</f>
        <v>1</v>
      </c>
      <c r="AZ581" s="174" t="b">
        <f t="shared" si="163"/>
        <v>0</v>
      </c>
    </row>
    <row r="582" spans="1:52" x14ac:dyDescent="0.35">
      <c r="A582">
        <f t="shared" si="152"/>
        <v>581</v>
      </c>
      <c r="B582" s="18">
        <v>503</v>
      </c>
      <c r="C582" s="61">
        <v>5</v>
      </c>
      <c r="D582" s="118" t="b">
        <v>1</v>
      </c>
      <c r="E582" s="61"/>
      <c r="F582" s="66" t="s">
        <v>810</v>
      </c>
      <c r="G582" s="66" t="s">
        <v>827</v>
      </c>
      <c r="H582" s="38" t="s">
        <v>449</v>
      </c>
      <c r="I582" s="39">
        <f t="shared" si="155"/>
        <v>95</v>
      </c>
      <c r="J582" s="40">
        <f t="shared" si="156"/>
        <v>100</v>
      </c>
      <c r="K582" s="41">
        <f t="shared" si="157"/>
        <v>85</v>
      </c>
      <c r="L582" s="42">
        <f t="shared" si="158"/>
        <v>108</v>
      </c>
      <c r="M582" s="43">
        <f t="shared" si="159"/>
        <v>70</v>
      </c>
      <c r="N582" s="44">
        <f t="shared" si="160"/>
        <v>70</v>
      </c>
      <c r="O582" s="45">
        <f t="shared" si="161"/>
        <v>528</v>
      </c>
      <c r="P582" s="19">
        <f t="shared" si="162"/>
        <v>88</v>
      </c>
      <c r="Q582" s="177">
        <v>95</v>
      </c>
      <c r="R582" s="40">
        <v>100</v>
      </c>
      <c r="S582" s="41">
        <v>85</v>
      </c>
      <c r="T582" s="42">
        <v>108</v>
      </c>
      <c r="U582" s="43">
        <v>70</v>
      </c>
      <c r="V582" s="44">
        <v>70</v>
      </c>
      <c r="W582" s="45">
        <f t="shared" si="153"/>
        <v>528</v>
      </c>
      <c r="X582" s="19">
        <f t="shared" si="154"/>
        <v>88</v>
      </c>
      <c r="Y582" s="3">
        <v>95</v>
      </c>
      <c r="Z582" s="4">
        <v>100</v>
      </c>
      <c r="AA582" s="5">
        <v>85</v>
      </c>
      <c r="AB582" s="6">
        <v>108</v>
      </c>
      <c r="AC582" s="7">
        <v>70</v>
      </c>
      <c r="AD582" s="8">
        <v>70</v>
      </c>
      <c r="AE582" s="1">
        <v>528</v>
      </c>
      <c r="AF582" s="19">
        <v>88</v>
      </c>
      <c r="AG582" s="139">
        <v>95</v>
      </c>
      <c r="AH582" s="140">
        <v>100</v>
      </c>
      <c r="AI582" s="141">
        <v>85</v>
      </c>
      <c r="AJ582" s="142">
        <v>108</v>
      </c>
      <c r="AK582" s="143">
        <v>70</v>
      </c>
      <c r="AL582" s="144">
        <v>70</v>
      </c>
      <c r="AM582" s="138">
        <v>528</v>
      </c>
      <c r="AN582" s="153">
        <v>88</v>
      </c>
      <c r="AV582" s="174"/>
      <c r="AW582" s="45"/>
      <c r="AX582" s="174" t="b">
        <f>IF('Refined Compare'!$D$2="All",TRUE,IF(F582='Refined Compare'!$D$2,TRUE,IF(G582='Refined Compare'!$D$2,TRUE,FALSE)))</f>
        <v>0</v>
      </c>
      <c r="AY582" s="174" t="b">
        <f>IF('Refined Compare'!$D$3="All",TRUE,IF(F582='Refined Compare'!$D$3,TRUE,IF(G582='Refined Compare'!$D$3,TRUE,FALSE)))</f>
        <v>1</v>
      </c>
      <c r="AZ582" s="174" t="b">
        <f t="shared" si="163"/>
        <v>0</v>
      </c>
    </row>
    <row r="583" spans="1:52" x14ac:dyDescent="0.35">
      <c r="A583">
        <f t="shared" si="152"/>
        <v>582</v>
      </c>
      <c r="B583" s="18">
        <v>504</v>
      </c>
      <c r="C583" s="61">
        <v>5</v>
      </c>
      <c r="D583" s="61" t="b">
        <v>0</v>
      </c>
      <c r="E583" s="61"/>
      <c r="F583" s="66" t="s">
        <v>812</v>
      </c>
      <c r="G583" s="66" t="s">
        <v>827</v>
      </c>
      <c r="H583" s="38" t="s">
        <v>159</v>
      </c>
      <c r="I583" s="39">
        <f t="shared" si="155"/>
        <v>45</v>
      </c>
      <c r="J583" s="40">
        <f t="shared" si="156"/>
        <v>55</v>
      </c>
      <c r="K583" s="41">
        <f t="shared" si="157"/>
        <v>39</v>
      </c>
      <c r="L583" s="42">
        <f t="shared" si="158"/>
        <v>35</v>
      </c>
      <c r="M583" s="43">
        <f t="shared" si="159"/>
        <v>39</v>
      </c>
      <c r="N583" s="44">
        <f t="shared" si="160"/>
        <v>42</v>
      </c>
      <c r="O583" s="45">
        <f t="shared" si="161"/>
        <v>255</v>
      </c>
      <c r="P583" s="19">
        <f t="shared" si="162"/>
        <v>42.5</v>
      </c>
      <c r="Q583" s="177">
        <v>45</v>
      </c>
      <c r="R583" s="40">
        <v>55</v>
      </c>
      <c r="S583" s="41">
        <v>39</v>
      </c>
      <c r="T583" s="42">
        <v>35</v>
      </c>
      <c r="U583" s="43">
        <v>39</v>
      </c>
      <c r="V583" s="44">
        <v>42</v>
      </c>
      <c r="W583" s="45">
        <f t="shared" si="153"/>
        <v>255</v>
      </c>
      <c r="X583" s="19">
        <f t="shared" si="154"/>
        <v>42.5</v>
      </c>
      <c r="Y583" s="3">
        <v>45</v>
      </c>
      <c r="Z583" s="4">
        <v>55</v>
      </c>
      <c r="AA583" s="5">
        <v>39</v>
      </c>
      <c r="AB583" s="6">
        <v>35</v>
      </c>
      <c r="AC583" s="7">
        <v>39</v>
      </c>
      <c r="AD583" s="8">
        <v>42</v>
      </c>
      <c r="AE583" s="1">
        <v>255</v>
      </c>
      <c r="AF583" s="19">
        <v>42.5</v>
      </c>
      <c r="AG583" s="139">
        <v>45</v>
      </c>
      <c r="AH583" s="140">
        <v>55</v>
      </c>
      <c r="AI583" s="141">
        <v>39</v>
      </c>
      <c r="AJ583" s="142">
        <v>35</v>
      </c>
      <c r="AK583" s="143">
        <v>39</v>
      </c>
      <c r="AL583" s="144">
        <v>42</v>
      </c>
      <c r="AM583" s="138">
        <v>255</v>
      </c>
      <c r="AN583" s="153">
        <v>42.5</v>
      </c>
      <c r="AV583" s="174"/>
      <c r="AW583" s="45"/>
      <c r="AX583" s="174" t="b">
        <f>IF('Refined Compare'!$D$2="All",TRUE,IF(F583='Refined Compare'!$D$2,TRUE,IF(G583='Refined Compare'!$D$2,TRUE,FALSE)))</f>
        <v>0</v>
      </c>
      <c r="AY583" s="174" t="b">
        <f>IF('Refined Compare'!$D$3="All",TRUE,IF(F583='Refined Compare'!$D$3,TRUE,IF(G583='Refined Compare'!$D$3,TRUE,FALSE)))</f>
        <v>1</v>
      </c>
      <c r="AZ583" s="174" t="b">
        <f t="shared" si="163"/>
        <v>0</v>
      </c>
    </row>
    <row r="584" spans="1:52" x14ac:dyDescent="0.35">
      <c r="A584">
        <f t="shared" si="152"/>
        <v>583</v>
      </c>
      <c r="B584" s="18">
        <v>505</v>
      </c>
      <c r="C584" s="61">
        <v>5</v>
      </c>
      <c r="D584" s="118" t="b">
        <v>1</v>
      </c>
      <c r="E584" s="61"/>
      <c r="F584" s="66" t="s">
        <v>812</v>
      </c>
      <c r="G584" s="66" t="s">
        <v>827</v>
      </c>
      <c r="H584" s="38" t="s">
        <v>490</v>
      </c>
      <c r="I584" s="39">
        <f t="shared" si="155"/>
        <v>60</v>
      </c>
      <c r="J584" s="40">
        <f t="shared" si="156"/>
        <v>85</v>
      </c>
      <c r="K584" s="41">
        <f t="shared" si="157"/>
        <v>69</v>
      </c>
      <c r="L584" s="42">
        <f t="shared" si="158"/>
        <v>60</v>
      </c>
      <c r="M584" s="43">
        <f t="shared" si="159"/>
        <v>69</v>
      </c>
      <c r="N584" s="44">
        <f t="shared" si="160"/>
        <v>77</v>
      </c>
      <c r="O584" s="45">
        <f t="shared" si="161"/>
        <v>420</v>
      </c>
      <c r="P584" s="19">
        <f t="shared" si="162"/>
        <v>70</v>
      </c>
      <c r="Q584" s="177">
        <v>60</v>
      </c>
      <c r="R584" s="40">
        <v>85</v>
      </c>
      <c r="S584" s="41">
        <v>69</v>
      </c>
      <c r="T584" s="42">
        <v>60</v>
      </c>
      <c r="U584" s="43">
        <v>69</v>
      </c>
      <c r="V584" s="44">
        <v>77</v>
      </c>
      <c r="W584" s="45">
        <f t="shared" si="153"/>
        <v>420</v>
      </c>
      <c r="X584" s="19">
        <f t="shared" si="154"/>
        <v>70</v>
      </c>
      <c r="Y584" s="3">
        <v>60</v>
      </c>
      <c r="Z584" s="4">
        <v>85</v>
      </c>
      <c r="AA584" s="5">
        <v>69</v>
      </c>
      <c r="AB584" s="6">
        <v>60</v>
      </c>
      <c r="AC584" s="7">
        <v>69</v>
      </c>
      <c r="AD584" s="8">
        <v>77</v>
      </c>
      <c r="AE584" s="1">
        <v>420</v>
      </c>
      <c r="AF584" s="19">
        <v>70</v>
      </c>
      <c r="AG584" s="139">
        <v>60</v>
      </c>
      <c r="AH584" s="140">
        <v>85</v>
      </c>
      <c r="AI584" s="141">
        <v>69</v>
      </c>
      <c r="AJ584" s="142">
        <v>60</v>
      </c>
      <c r="AK584" s="143">
        <v>69</v>
      </c>
      <c r="AL584" s="144">
        <v>77</v>
      </c>
      <c r="AM584" s="138">
        <v>420</v>
      </c>
      <c r="AN584" s="153">
        <v>70</v>
      </c>
      <c r="AV584" s="174"/>
      <c r="AW584" s="45"/>
      <c r="AX584" s="174" t="b">
        <f>IF('Refined Compare'!$D$2="All",TRUE,IF(F584='Refined Compare'!$D$2,TRUE,IF(G584='Refined Compare'!$D$2,TRUE,FALSE)))</f>
        <v>0</v>
      </c>
      <c r="AY584" s="174" t="b">
        <f>IF('Refined Compare'!$D$3="All",TRUE,IF(F584='Refined Compare'!$D$3,TRUE,IF(G584='Refined Compare'!$D$3,TRUE,FALSE)))</f>
        <v>1</v>
      </c>
      <c r="AZ584" s="174" t="b">
        <f t="shared" si="163"/>
        <v>0</v>
      </c>
    </row>
    <row r="585" spans="1:52" x14ac:dyDescent="0.35">
      <c r="A585">
        <f t="shared" si="152"/>
        <v>584</v>
      </c>
      <c r="B585" s="18">
        <v>506</v>
      </c>
      <c r="C585" s="61">
        <v>5</v>
      </c>
      <c r="D585" s="61" t="b">
        <v>0</v>
      </c>
      <c r="E585" s="61"/>
      <c r="F585" s="66" t="s">
        <v>812</v>
      </c>
      <c r="G585" s="66" t="s">
        <v>827</v>
      </c>
      <c r="H585" s="38" t="s">
        <v>285</v>
      </c>
      <c r="I585" s="39">
        <f t="shared" si="155"/>
        <v>45</v>
      </c>
      <c r="J585" s="40">
        <f t="shared" si="156"/>
        <v>60</v>
      </c>
      <c r="K585" s="41">
        <f t="shared" si="157"/>
        <v>45</v>
      </c>
      <c r="L585" s="42">
        <f t="shared" si="158"/>
        <v>25</v>
      </c>
      <c r="M585" s="43">
        <f t="shared" si="159"/>
        <v>45</v>
      </c>
      <c r="N585" s="44">
        <f t="shared" si="160"/>
        <v>55</v>
      </c>
      <c r="O585" s="45">
        <f t="shared" si="161"/>
        <v>275</v>
      </c>
      <c r="P585" s="19">
        <f t="shared" si="162"/>
        <v>45.83</v>
      </c>
      <c r="Q585" s="177">
        <v>45</v>
      </c>
      <c r="R585" s="40">
        <v>60</v>
      </c>
      <c r="S585" s="41">
        <v>45</v>
      </c>
      <c r="T585" s="42">
        <v>25</v>
      </c>
      <c r="U585" s="43">
        <v>45</v>
      </c>
      <c r="V585" s="44">
        <v>55</v>
      </c>
      <c r="W585" s="45">
        <f t="shared" si="153"/>
        <v>275</v>
      </c>
      <c r="X585" s="19">
        <f t="shared" si="154"/>
        <v>45.83</v>
      </c>
      <c r="Y585" s="3">
        <v>45</v>
      </c>
      <c r="Z585" s="4">
        <v>60</v>
      </c>
      <c r="AA585" s="5">
        <v>45</v>
      </c>
      <c r="AB585" s="6">
        <v>25</v>
      </c>
      <c r="AC585" s="7">
        <v>45</v>
      </c>
      <c r="AD585" s="8">
        <v>55</v>
      </c>
      <c r="AE585" s="1">
        <v>275</v>
      </c>
      <c r="AF585" s="19">
        <v>45.83</v>
      </c>
      <c r="AG585" s="139">
        <v>45</v>
      </c>
      <c r="AH585" s="140">
        <v>60</v>
      </c>
      <c r="AI585" s="141">
        <v>45</v>
      </c>
      <c r="AJ585" s="142">
        <v>25</v>
      </c>
      <c r="AK585" s="143">
        <v>45</v>
      </c>
      <c r="AL585" s="144">
        <v>55</v>
      </c>
      <c r="AM585" s="138">
        <v>275</v>
      </c>
      <c r="AN585" s="153">
        <v>45.83</v>
      </c>
      <c r="AV585" s="174"/>
      <c r="AW585" s="45"/>
      <c r="AX585" s="174" t="b">
        <f>IF('Refined Compare'!$D$2="All",TRUE,IF(F585='Refined Compare'!$D$2,TRUE,IF(G585='Refined Compare'!$D$2,TRUE,FALSE)))</f>
        <v>0</v>
      </c>
      <c r="AY585" s="174" t="b">
        <f>IF('Refined Compare'!$D$3="All",TRUE,IF(F585='Refined Compare'!$D$3,TRUE,IF(G585='Refined Compare'!$D$3,TRUE,FALSE)))</f>
        <v>1</v>
      </c>
      <c r="AZ585" s="174" t="b">
        <f t="shared" si="163"/>
        <v>0</v>
      </c>
    </row>
    <row r="586" spans="1:52" x14ac:dyDescent="0.35">
      <c r="A586">
        <f t="shared" si="152"/>
        <v>585</v>
      </c>
      <c r="B586" s="18">
        <v>507</v>
      </c>
      <c r="C586" s="61">
        <v>5</v>
      </c>
      <c r="D586" s="118" t="b">
        <v>0</v>
      </c>
      <c r="E586" s="61"/>
      <c r="F586" s="66" t="s">
        <v>812</v>
      </c>
      <c r="G586" s="66" t="s">
        <v>827</v>
      </c>
      <c r="H586" s="38" t="s">
        <v>342</v>
      </c>
      <c r="I586" s="39">
        <f t="shared" si="155"/>
        <v>65</v>
      </c>
      <c r="J586" s="40">
        <f t="shared" si="156"/>
        <v>80</v>
      </c>
      <c r="K586" s="41">
        <f t="shared" si="157"/>
        <v>65</v>
      </c>
      <c r="L586" s="42">
        <f t="shared" si="158"/>
        <v>35</v>
      </c>
      <c r="M586" s="43">
        <f t="shared" si="159"/>
        <v>65</v>
      </c>
      <c r="N586" s="44">
        <f t="shared" si="160"/>
        <v>60</v>
      </c>
      <c r="O586" s="45">
        <f t="shared" si="161"/>
        <v>370</v>
      </c>
      <c r="P586" s="19">
        <f t="shared" si="162"/>
        <v>61.67</v>
      </c>
      <c r="Q586" s="177">
        <v>65</v>
      </c>
      <c r="R586" s="40">
        <v>80</v>
      </c>
      <c r="S586" s="41">
        <v>65</v>
      </c>
      <c r="T586" s="42">
        <v>35</v>
      </c>
      <c r="U586" s="43">
        <v>65</v>
      </c>
      <c r="V586" s="44">
        <v>60</v>
      </c>
      <c r="W586" s="45">
        <f t="shared" si="153"/>
        <v>370</v>
      </c>
      <c r="X586" s="19">
        <f t="shared" si="154"/>
        <v>61.67</v>
      </c>
      <c r="Y586" s="3">
        <v>65</v>
      </c>
      <c r="Z586" s="4">
        <v>80</v>
      </c>
      <c r="AA586" s="5">
        <v>65</v>
      </c>
      <c r="AB586" s="6">
        <v>35</v>
      </c>
      <c r="AC586" s="7">
        <v>65</v>
      </c>
      <c r="AD586" s="8">
        <v>60</v>
      </c>
      <c r="AE586" s="1">
        <v>370</v>
      </c>
      <c r="AF586" s="19">
        <v>61.67</v>
      </c>
      <c r="AG586" s="139">
        <v>65</v>
      </c>
      <c r="AH586" s="140">
        <v>80</v>
      </c>
      <c r="AI586" s="141">
        <v>65</v>
      </c>
      <c r="AJ586" s="142">
        <v>35</v>
      </c>
      <c r="AK586" s="143">
        <v>65</v>
      </c>
      <c r="AL586" s="144">
        <v>60</v>
      </c>
      <c r="AM586" s="138">
        <v>370</v>
      </c>
      <c r="AN586" s="153">
        <v>61.67</v>
      </c>
      <c r="AV586" s="174"/>
      <c r="AW586" s="45"/>
      <c r="AX586" s="174" t="b">
        <f>IF('Refined Compare'!$D$2="All",TRUE,IF(F586='Refined Compare'!$D$2,TRUE,IF(G586='Refined Compare'!$D$2,TRUE,FALSE)))</f>
        <v>0</v>
      </c>
      <c r="AY586" s="174" t="b">
        <f>IF('Refined Compare'!$D$3="All",TRUE,IF(F586='Refined Compare'!$D$3,TRUE,IF(G586='Refined Compare'!$D$3,TRUE,FALSE)))</f>
        <v>1</v>
      </c>
      <c r="AZ586" s="174" t="b">
        <f t="shared" si="163"/>
        <v>0</v>
      </c>
    </row>
    <row r="587" spans="1:52" x14ac:dyDescent="0.35">
      <c r="A587">
        <f t="shared" si="152"/>
        <v>586</v>
      </c>
      <c r="B587" s="18">
        <v>508</v>
      </c>
      <c r="C587" s="61">
        <v>5</v>
      </c>
      <c r="D587" s="118" t="b">
        <v>1</v>
      </c>
      <c r="E587" s="61"/>
      <c r="F587" s="66" t="s">
        <v>812</v>
      </c>
      <c r="G587" s="66" t="s">
        <v>827</v>
      </c>
      <c r="H587" s="38" t="s">
        <v>523</v>
      </c>
      <c r="I587" s="39">
        <f t="shared" si="155"/>
        <v>85</v>
      </c>
      <c r="J587" s="40">
        <f t="shared" si="156"/>
        <v>100</v>
      </c>
      <c r="K587" s="41">
        <f t="shared" si="157"/>
        <v>90</v>
      </c>
      <c r="L587" s="42">
        <f t="shared" si="158"/>
        <v>45</v>
      </c>
      <c r="M587" s="43">
        <f t="shared" si="159"/>
        <v>90</v>
      </c>
      <c r="N587" s="44">
        <f t="shared" si="160"/>
        <v>80</v>
      </c>
      <c r="O587" s="45">
        <f t="shared" si="161"/>
        <v>490</v>
      </c>
      <c r="P587" s="19">
        <f t="shared" si="162"/>
        <v>81.67</v>
      </c>
      <c r="Q587" s="177">
        <v>85</v>
      </c>
      <c r="R587" s="40">
        <v>110</v>
      </c>
      <c r="S587" s="41">
        <v>90</v>
      </c>
      <c r="T587" s="42">
        <v>45</v>
      </c>
      <c r="U587" s="43">
        <v>90</v>
      </c>
      <c r="V587" s="44">
        <v>80</v>
      </c>
      <c r="W587" s="45">
        <f t="shared" si="153"/>
        <v>500</v>
      </c>
      <c r="X587" s="19">
        <f t="shared" si="154"/>
        <v>83.33</v>
      </c>
      <c r="Y587" s="3">
        <v>85</v>
      </c>
      <c r="Z587" s="4">
        <v>110</v>
      </c>
      <c r="AA587" s="5">
        <v>90</v>
      </c>
      <c r="AB587" s="6">
        <v>45</v>
      </c>
      <c r="AC587" s="7">
        <v>90</v>
      </c>
      <c r="AD587" s="8">
        <v>80</v>
      </c>
      <c r="AE587" s="1">
        <v>500</v>
      </c>
      <c r="AF587" s="19">
        <v>83.33</v>
      </c>
      <c r="AG587" s="139">
        <v>85</v>
      </c>
      <c r="AH587" s="140">
        <v>100</v>
      </c>
      <c r="AI587" s="141">
        <v>90</v>
      </c>
      <c r="AJ587" s="142">
        <v>45</v>
      </c>
      <c r="AK587" s="143">
        <v>90</v>
      </c>
      <c r="AL587" s="144">
        <v>80</v>
      </c>
      <c r="AM587" s="138">
        <v>490</v>
      </c>
      <c r="AN587" s="153">
        <v>81.67</v>
      </c>
      <c r="AV587" s="174"/>
      <c r="AW587" s="45"/>
      <c r="AX587" s="174" t="b">
        <f>IF('Refined Compare'!$D$2="All",TRUE,IF(F587='Refined Compare'!$D$2,TRUE,IF(G587='Refined Compare'!$D$2,TRUE,FALSE)))</f>
        <v>0</v>
      </c>
      <c r="AY587" s="174" t="b">
        <f>IF('Refined Compare'!$D$3="All",TRUE,IF(F587='Refined Compare'!$D$3,TRUE,IF(G587='Refined Compare'!$D$3,TRUE,FALSE)))</f>
        <v>1</v>
      </c>
      <c r="AZ587" s="174" t="b">
        <f t="shared" si="163"/>
        <v>0</v>
      </c>
    </row>
    <row r="588" spans="1:52" x14ac:dyDescent="0.35">
      <c r="A588">
        <f t="shared" si="152"/>
        <v>587</v>
      </c>
      <c r="B588" s="18">
        <v>509</v>
      </c>
      <c r="C588" s="61">
        <v>5</v>
      </c>
      <c r="D588" s="61" t="b">
        <v>0</v>
      </c>
      <c r="E588" s="61"/>
      <c r="F588" s="66" t="s">
        <v>823</v>
      </c>
      <c r="G588" s="66" t="s">
        <v>827</v>
      </c>
      <c r="H588" s="38" t="s">
        <v>404</v>
      </c>
      <c r="I588" s="39">
        <f t="shared" si="155"/>
        <v>41</v>
      </c>
      <c r="J588" s="40">
        <f t="shared" si="156"/>
        <v>50</v>
      </c>
      <c r="K588" s="41">
        <f t="shared" si="157"/>
        <v>37</v>
      </c>
      <c r="L588" s="42">
        <f t="shared" si="158"/>
        <v>50</v>
      </c>
      <c r="M588" s="43">
        <f t="shared" si="159"/>
        <v>37</v>
      </c>
      <c r="N588" s="44">
        <f t="shared" si="160"/>
        <v>66</v>
      </c>
      <c r="O588" s="45">
        <f t="shared" si="161"/>
        <v>281</v>
      </c>
      <c r="P588" s="19">
        <f t="shared" si="162"/>
        <v>46.83</v>
      </c>
      <c r="Q588" s="177">
        <v>41</v>
      </c>
      <c r="R588" s="40">
        <v>50</v>
      </c>
      <c r="S588" s="41">
        <v>37</v>
      </c>
      <c r="T588" s="42">
        <v>50</v>
      </c>
      <c r="U588" s="43">
        <v>37</v>
      </c>
      <c r="V588" s="44">
        <v>66</v>
      </c>
      <c r="W588" s="45">
        <f t="shared" si="153"/>
        <v>281</v>
      </c>
      <c r="X588" s="19">
        <f t="shared" si="154"/>
        <v>46.83</v>
      </c>
      <c r="Y588" s="3">
        <v>41</v>
      </c>
      <c r="Z588" s="4">
        <v>50</v>
      </c>
      <c r="AA588" s="5">
        <v>37</v>
      </c>
      <c r="AB588" s="6">
        <v>50</v>
      </c>
      <c r="AC588" s="7">
        <v>37</v>
      </c>
      <c r="AD588" s="8">
        <v>66</v>
      </c>
      <c r="AE588" s="1">
        <v>281</v>
      </c>
      <c r="AF588" s="19">
        <v>46.83</v>
      </c>
      <c r="AG588" s="139">
        <v>41</v>
      </c>
      <c r="AH588" s="140">
        <v>50</v>
      </c>
      <c r="AI588" s="141">
        <v>37</v>
      </c>
      <c r="AJ588" s="142">
        <v>50</v>
      </c>
      <c r="AK588" s="143">
        <v>37</v>
      </c>
      <c r="AL588" s="144">
        <v>66</v>
      </c>
      <c r="AM588" s="138">
        <v>281</v>
      </c>
      <c r="AN588" s="153">
        <v>46.83</v>
      </c>
      <c r="AV588" s="174"/>
      <c r="AW588" s="45"/>
      <c r="AX588" s="174" t="b">
        <f>IF('Refined Compare'!$D$2="All",TRUE,IF(F588='Refined Compare'!$D$2,TRUE,IF(G588='Refined Compare'!$D$2,TRUE,FALSE)))</f>
        <v>1</v>
      </c>
      <c r="AY588" s="174" t="b">
        <f>IF('Refined Compare'!$D$3="All",TRUE,IF(F588='Refined Compare'!$D$3,TRUE,IF(G588='Refined Compare'!$D$3,TRUE,FALSE)))</f>
        <v>1</v>
      </c>
      <c r="AZ588" s="174" t="b">
        <f t="shared" si="163"/>
        <v>0</v>
      </c>
    </row>
    <row r="589" spans="1:52" x14ac:dyDescent="0.35">
      <c r="A589">
        <f t="shared" si="152"/>
        <v>588</v>
      </c>
      <c r="B589" s="18">
        <v>510</v>
      </c>
      <c r="C589" s="61">
        <v>5</v>
      </c>
      <c r="D589" s="118" t="b">
        <v>1</v>
      </c>
      <c r="E589" s="61"/>
      <c r="F589" s="66" t="s">
        <v>823</v>
      </c>
      <c r="G589" s="66" t="s">
        <v>827</v>
      </c>
      <c r="H589" s="38" t="s">
        <v>705</v>
      </c>
      <c r="I589" s="39">
        <f t="shared" si="155"/>
        <v>64</v>
      </c>
      <c r="J589" s="40">
        <f t="shared" si="156"/>
        <v>88</v>
      </c>
      <c r="K589" s="41">
        <f t="shared" si="157"/>
        <v>50</v>
      </c>
      <c r="L589" s="42">
        <f t="shared" si="158"/>
        <v>88</v>
      </c>
      <c r="M589" s="43">
        <f t="shared" si="159"/>
        <v>50</v>
      </c>
      <c r="N589" s="44">
        <f t="shared" si="160"/>
        <v>106</v>
      </c>
      <c r="O589" s="45">
        <f t="shared" si="161"/>
        <v>446</v>
      </c>
      <c r="P589" s="19">
        <f t="shared" si="162"/>
        <v>74.33</v>
      </c>
      <c r="Q589" s="177">
        <v>64</v>
      </c>
      <c r="R589" s="40">
        <v>88</v>
      </c>
      <c r="S589" s="41">
        <v>50</v>
      </c>
      <c r="T589" s="42">
        <v>88</v>
      </c>
      <c r="U589" s="43">
        <v>50</v>
      </c>
      <c r="V589" s="44">
        <v>106</v>
      </c>
      <c r="W589" s="45">
        <f t="shared" si="153"/>
        <v>446</v>
      </c>
      <c r="X589" s="19">
        <f t="shared" si="154"/>
        <v>74.33</v>
      </c>
      <c r="Y589" s="3">
        <v>64</v>
      </c>
      <c r="Z589" s="4">
        <v>88</v>
      </c>
      <c r="AA589" s="5">
        <v>50</v>
      </c>
      <c r="AB589" s="6">
        <v>88</v>
      </c>
      <c r="AC589" s="7">
        <v>50</v>
      </c>
      <c r="AD589" s="8">
        <v>106</v>
      </c>
      <c r="AE589" s="1">
        <v>446</v>
      </c>
      <c r="AF589" s="19">
        <v>74.33</v>
      </c>
      <c r="AG589" s="139">
        <v>64</v>
      </c>
      <c r="AH589" s="140">
        <v>88</v>
      </c>
      <c r="AI589" s="141">
        <v>50</v>
      </c>
      <c r="AJ589" s="142">
        <v>88</v>
      </c>
      <c r="AK589" s="143">
        <v>50</v>
      </c>
      <c r="AL589" s="144">
        <v>106</v>
      </c>
      <c r="AM589" s="138">
        <v>446</v>
      </c>
      <c r="AN589" s="153">
        <v>74.33</v>
      </c>
      <c r="AV589" s="174"/>
      <c r="AW589" s="45"/>
      <c r="AX589" s="174" t="b">
        <f>IF('Refined Compare'!$D$2="All",TRUE,IF(F589='Refined Compare'!$D$2,TRUE,IF(G589='Refined Compare'!$D$2,TRUE,FALSE)))</f>
        <v>1</v>
      </c>
      <c r="AY589" s="174" t="b">
        <f>IF('Refined Compare'!$D$3="All",TRUE,IF(F589='Refined Compare'!$D$3,TRUE,IF(G589='Refined Compare'!$D$3,TRUE,FALSE)))</f>
        <v>1</v>
      </c>
      <c r="AZ589" s="174" t="b">
        <f t="shared" si="163"/>
        <v>0</v>
      </c>
    </row>
    <row r="590" spans="1:52" x14ac:dyDescent="0.35">
      <c r="A590">
        <f t="shared" si="152"/>
        <v>589</v>
      </c>
      <c r="B590" s="18">
        <v>511</v>
      </c>
      <c r="C590" s="61">
        <v>5</v>
      </c>
      <c r="D590" s="61" t="b">
        <v>0</v>
      </c>
      <c r="E590" s="61"/>
      <c r="F590" s="66" t="s">
        <v>806</v>
      </c>
      <c r="G590" s="66" t="s">
        <v>827</v>
      </c>
      <c r="H590" s="38" t="s">
        <v>361</v>
      </c>
      <c r="I590" s="39">
        <f t="shared" si="155"/>
        <v>50</v>
      </c>
      <c r="J590" s="40">
        <f t="shared" si="156"/>
        <v>53</v>
      </c>
      <c r="K590" s="41">
        <f t="shared" si="157"/>
        <v>48</v>
      </c>
      <c r="L590" s="42">
        <f t="shared" si="158"/>
        <v>53</v>
      </c>
      <c r="M590" s="43">
        <f t="shared" si="159"/>
        <v>48</v>
      </c>
      <c r="N590" s="44">
        <f t="shared" si="160"/>
        <v>64</v>
      </c>
      <c r="O590" s="45">
        <f t="shared" si="161"/>
        <v>316</v>
      </c>
      <c r="P590" s="19">
        <f t="shared" si="162"/>
        <v>52.67</v>
      </c>
      <c r="Q590" s="177">
        <v>50</v>
      </c>
      <c r="R590" s="40">
        <v>53</v>
      </c>
      <c r="S590" s="41">
        <v>48</v>
      </c>
      <c r="T590" s="42">
        <v>53</v>
      </c>
      <c r="U590" s="43">
        <v>48</v>
      </c>
      <c r="V590" s="44">
        <v>64</v>
      </c>
      <c r="W590" s="45">
        <f t="shared" si="153"/>
        <v>316</v>
      </c>
      <c r="X590" s="19">
        <f t="shared" si="154"/>
        <v>52.67</v>
      </c>
      <c r="Y590" s="3">
        <v>50</v>
      </c>
      <c r="Z590" s="4">
        <v>53</v>
      </c>
      <c r="AA590" s="5">
        <v>48</v>
      </c>
      <c r="AB590" s="6">
        <v>53</v>
      </c>
      <c r="AC590" s="7">
        <v>48</v>
      </c>
      <c r="AD590" s="8">
        <v>64</v>
      </c>
      <c r="AE590" s="1">
        <v>316</v>
      </c>
      <c r="AF590" s="19">
        <v>52.67</v>
      </c>
      <c r="AG590" s="139">
        <v>50</v>
      </c>
      <c r="AH590" s="140">
        <v>53</v>
      </c>
      <c r="AI590" s="141">
        <v>48</v>
      </c>
      <c r="AJ590" s="142">
        <v>53</v>
      </c>
      <c r="AK590" s="143">
        <v>48</v>
      </c>
      <c r="AL590" s="144">
        <v>64</v>
      </c>
      <c r="AM590" s="138">
        <v>316</v>
      </c>
      <c r="AN590" s="153">
        <v>52.67</v>
      </c>
      <c r="AV590" s="174"/>
      <c r="AW590" s="45"/>
      <c r="AX590" s="174" t="b">
        <f>IF('Refined Compare'!$D$2="All",TRUE,IF(F590='Refined Compare'!$D$2,TRUE,IF(G590='Refined Compare'!$D$2,TRUE,FALSE)))</f>
        <v>0</v>
      </c>
      <c r="AY590" s="174" t="b">
        <f>IF('Refined Compare'!$D$3="All",TRUE,IF(F590='Refined Compare'!$D$3,TRUE,IF(G590='Refined Compare'!$D$3,TRUE,FALSE)))</f>
        <v>1</v>
      </c>
      <c r="AZ590" s="174" t="b">
        <f t="shared" si="163"/>
        <v>0</v>
      </c>
    </row>
    <row r="591" spans="1:52" x14ac:dyDescent="0.35">
      <c r="A591">
        <f t="shared" ref="A591:A654" si="164">A590+1</f>
        <v>590</v>
      </c>
      <c r="B591" s="18">
        <v>512</v>
      </c>
      <c r="C591" s="61">
        <v>5</v>
      </c>
      <c r="D591" s="118" t="b">
        <v>1</v>
      </c>
      <c r="E591" s="61"/>
      <c r="F591" s="66" t="s">
        <v>806</v>
      </c>
      <c r="G591" s="66" t="s">
        <v>827</v>
      </c>
      <c r="H591" s="38" t="s">
        <v>684</v>
      </c>
      <c r="I591" s="39">
        <f t="shared" si="155"/>
        <v>75</v>
      </c>
      <c r="J591" s="40">
        <f t="shared" si="156"/>
        <v>98</v>
      </c>
      <c r="K591" s="41">
        <f t="shared" si="157"/>
        <v>63</v>
      </c>
      <c r="L591" s="42">
        <f t="shared" si="158"/>
        <v>98</v>
      </c>
      <c r="M591" s="43">
        <f t="shared" si="159"/>
        <v>63</v>
      </c>
      <c r="N591" s="44">
        <f t="shared" si="160"/>
        <v>101</v>
      </c>
      <c r="O591" s="45">
        <f t="shared" si="161"/>
        <v>498</v>
      </c>
      <c r="P591" s="19">
        <f t="shared" si="162"/>
        <v>83</v>
      </c>
      <c r="Q591" s="177">
        <v>75</v>
      </c>
      <c r="R591" s="40">
        <v>98</v>
      </c>
      <c r="S591" s="41">
        <v>63</v>
      </c>
      <c r="T591" s="42">
        <v>98</v>
      </c>
      <c r="U591" s="43">
        <v>63</v>
      </c>
      <c r="V591" s="44">
        <v>101</v>
      </c>
      <c r="W591" s="45">
        <f t="shared" si="153"/>
        <v>498</v>
      </c>
      <c r="X591" s="19">
        <f t="shared" si="154"/>
        <v>83</v>
      </c>
      <c r="Y591" s="3">
        <v>75</v>
      </c>
      <c r="Z591" s="4">
        <v>98</v>
      </c>
      <c r="AA591" s="5">
        <v>63</v>
      </c>
      <c r="AB591" s="6">
        <v>98</v>
      </c>
      <c r="AC591" s="7">
        <v>63</v>
      </c>
      <c r="AD591" s="8">
        <v>101</v>
      </c>
      <c r="AE591" s="1">
        <v>498</v>
      </c>
      <c r="AF591" s="19">
        <v>83</v>
      </c>
      <c r="AG591" s="139">
        <v>75</v>
      </c>
      <c r="AH591" s="140">
        <v>98</v>
      </c>
      <c r="AI591" s="141">
        <v>63</v>
      </c>
      <c r="AJ591" s="142">
        <v>98</v>
      </c>
      <c r="AK591" s="143">
        <v>63</v>
      </c>
      <c r="AL591" s="144">
        <v>101</v>
      </c>
      <c r="AM591" s="138">
        <v>498</v>
      </c>
      <c r="AN591" s="153">
        <v>83</v>
      </c>
      <c r="AV591" s="174"/>
      <c r="AW591" s="45"/>
      <c r="AX591" s="174" t="b">
        <f>IF('Refined Compare'!$D$2="All",TRUE,IF(F591='Refined Compare'!$D$2,TRUE,IF(G591='Refined Compare'!$D$2,TRUE,FALSE)))</f>
        <v>0</v>
      </c>
      <c r="AY591" s="174" t="b">
        <f>IF('Refined Compare'!$D$3="All",TRUE,IF(F591='Refined Compare'!$D$3,TRUE,IF(G591='Refined Compare'!$D$3,TRUE,FALSE)))</f>
        <v>1</v>
      </c>
      <c r="AZ591" s="174" t="b">
        <f t="shared" si="163"/>
        <v>0</v>
      </c>
    </row>
    <row r="592" spans="1:52" x14ac:dyDescent="0.35">
      <c r="A592">
        <f t="shared" si="164"/>
        <v>591</v>
      </c>
      <c r="B592" s="18">
        <v>513</v>
      </c>
      <c r="C592" s="61">
        <v>5</v>
      </c>
      <c r="D592" s="61" t="b">
        <v>0</v>
      </c>
      <c r="E592" s="61"/>
      <c r="F592" s="66" t="s">
        <v>808</v>
      </c>
      <c r="G592" s="66" t="s">
        <v>827</v>
      </c>
      <c r="H592" s="38" t="s">
        <v>362</v>
      </c>
      <c r="I592" s="39">
        <f t="shared" si="155"/>
        <v>50</v>
      </c>
      <c r="J592" s="40">
        <f t="shared" si="156"/>
        <v>53</v>
      </c>
      <c r="K592" s="41">
        <f t="shared" si="157"/>
        <v>48</v>
      </c>
      <c r="L592" s="42">
        <f t="shared" si="158"/>
        <v>53</v>
      </c>
      <c r="M592" s="43">
        <f t="shared" si="159"/>
        <v>48</v>
      </c>
      <c r="N592" s="44">
        <f t="shared" si="160"/>
        <v>64</v>
      </c>
      <c r="O592" s="45">
        <f t="shared" si="161"/>
        <v>316</v>
      </c>
      <c r="P592" s="19">
        <f t="shared" si="162"/>
        <v>52.67</v>
      </c>
      <c r="Q592" s="177">
        <v>50</v>
      </c>
      <c r="R592" s="40">
        <v>53</v>
      </c>
      <c r="S592" s="41">
        <v>48</v>
      </c>
      <c r="T592" s="42">
        <v>53</v>
      </c>
      <c r="U592" s="43">
        <v>48</v>
      </c>
      <c r="V592" s="44">
        <v>64</v>
      </c>
      <c r="W592" s="45">
        <f t="shared" si="153"/>
        <v>316</v>
      </c>
      <c r="X592" s="19">
        <f t="shared" si="154"/>
        <v>52.67</v>
      </c>
      <c r="Y592" s="3">
        <v>50</v>
      </c>
      <c r="Z592" s="4">
        <v>53</v>
      </c>
      <c r="AA592" s="5">
        <v>48</v>
      </c>
      <c r="AB592" s="6">
        <v>53</v>
      </c>
      <c r="AC592" s="7">
        <v>48</v>
      </c>
      <c r="AD592" s="8">
        <v>64</v>
      </c>
      <c r="AE592" s="1">
        <v>316</v>
      </c>
      <c r="AF592" s="19">
        <v>52.67</v>
      </c>
      <c r="AG592" s="139">
        <v>50</v>
      </c>
      <c r="AH592" s="140">
        <v>53</v>
      </c>
      <c r="AI592" s="141">
        <v>48</v>
      </c>
      <c r="AJ592" s="142">
        <v>53</v>
      </c>
      <c r="AK592" s="143">
        <v>48</v>
      </c>
      <c r="AL592" s="144">
        <v>64</v>
      </c>
      <c r="AM592" s="138">
        <v>316</v>
      </c>
      <c r="AN592" s="153">
        <v>52.67</v>
      </c>
      <c r="AV592" s="174"/>
      <c r="AW592" s="45"/>
      <c r="AX592" s="174" t="b">
        <f>IF('Refined Compare'!$D$2="All",TRUE,IF(F592='Refined Compare'!$D$2,TRUE,IF(G592='Refined Compare'!$D$2,TRUE,FALSE)))</f>
        <v>0</v>
      </c>
      <c r="AY592" s="174" t="b">
        <f>IF('Refined Compare'!$D$3="All",TRUE,IF(F592='Refined Compare'!$D$3,TRUE,IF(G592='Refined Compare'!$D$3,TRUE,FALSE)))</f>
        <v>1</v>
      </c>
      <c r="AZ592" s="174" t="b">
        <f t="shared" si="163"/>
        <v>0</v>
      </c>
    </row>
    <row r="593" spans="1:52" x14ac:dyDescent="0.35">
      <c r="A593">
        <f t="shared" si="164"/>
        <v>592</v>
      </c>
      <c r="B593" s="18">
        <v>514</v>
      </c>
      <c r="C593" s="61">
        <v>5</v>
      </c>
      <c r="D593" s="118" t="b">
        <v>1</v>
      </c>
      <c r="E593" s="61"/>
      <c r="F593" s="66" t="s">
        <v>808</v>
      </c>
      <c r="G593" s="66" t="s">
        <v>827</v>
      </c>
      <c r="H593" s="38" t="s">
        <v>685</v>
      </c>
      <c r="I593" s="39">
        <f t="shared" si="155"/>
        <v>75</v>
      </c>
      <c r="J593" s="40">
        <f t="shared" si="156"/>
        <v>98</v>
      </c>
      <c r="K593" s="41">
        <f t="shared" si="157"/>
        <v>63</v>
      </c>
      <c r="L593" s="42">
        <f t="shared" si="158"/>
        <v>98</v>
      </c>
      <c r="M593" s="43">
        <f t="shared" si="159"/>
        <v>63</v>
      </c>
      <c r="N593" s="44">
        <f t="shared" si="160"/>
        <v>101</v>
      </c>
      <c r="O593" s="45">
        <f t="shared" si="161"/>
        <v>498</v>
      </c>
      <c r="P593" s="19">
        <f t="shared" si="162"/>
        <v>83</v>
      </c>
      <c r="Q593" s="177">
        <v>75</v>
      </c>
      <c r="R593" s="40">
        <v>98</v>
      </c>
      <c r="S593" s="41">
        <v>63</v>
      </c>
      <c r="T593" s="42">
        <v>98</v>
      </c>
      <c r="U593" s="43">
        <v>63</v>
      </c>
      <c r="V593" s="44">
        <v>101</v>
      </c>
      <c r="W593" s="45">
        <f t="shared" si="153"/>
        <v>498</v>
      </c>
      <c r="X593" s="19">
        <f t="shared" si="154"/>
        <v>83</v>
      </c>
      <c r="Y593" s="3">
        <v>75</v>
      </c>
      <c r="Z593" s="4">
        <v>98</v>
      </c>
      <c r="AA593" s="5">
        <v>63</v>
      </c>
      <c r="AB593" s="6">
        <v>98</v>
      </c>
      <c r="AC593" s="7">
        <v>63</v>
      </c>
      <c r="AD593" s="8">
        <v>101</v>
      </c>
      <c r="AE593" s="1">
        <v>498</v>
      </c>
      <c r="AF593" s="19">
        <v>83</v>
      </c>
      <c r="AG593" s="139">
        <v>75</v>
      </c>
      <c r="AH593" s="140">
        <v>98</v>
      </c>
      <c r="AI593" s="141">
        <v>63</v>
      </c>
      <c r="AJ593" s="142">
        <v>98</v>
      </c>
      <c r="AK593" s="143">
        <v>63</v>
      </c>
      <c r="AL593" s="144">
        <v>101</v>
      </c>
      <c r="AM593" s="138">
        <v>498</v>
      </c>
      <c r="AN593" s="153">
        <v>83</v>
      </c>
      <c r="AV593" s="174"/>
      <c r="AW593" s="45"/>
      <c r="AX593" s="174" t="b">
        <f>IF('Refined Compare'!$D$2="All",TRUE,IF(F593='Refined Compare'!$D$2,TRUE,IF(G593='Refined Compare'!$D$2,TRUE,FALSE)))</f>
        <v>0</v>
      </c>
      <c r="AY593" s="174" t="b">
        <f>IF('Refined Compare'!$D$3="All",TRUE,IF(F593='Refined Compare'!$D$3,TRUE,IF(G593='Refined Compare'!$D$3,TRUE,FALSE)))</f>
        <v>1</v>
      </c>
      <c r="AZ593" s="174" t="b">
        <f t="shared" si="163"/>
        <v>0</v>
      </c>
    </row>
    <row r="594" spans="1:52" x14ac:dyDescent="0.35">
      <c r="A594">
        <f t="shared" si="164"/>
        <v>593</v>
      </c>
      <c r="B594" s="18">
        <v>515</v>
      </c>
      <c r="C594" s="61">
        <v>5</v>
      </c>
      <c r="D594" s="61" t="b">
        <v>0</v>
      </c>
      <c r="E594" s="61"/>
      <c r="F594" s="66" t="s">
        <v>810</v>
      </c>
      <c r="G594" s="66" t="s">
        <v>827</v>
      </c>
      <c r="H594" s="38" t="s">
        <v>363</v>
      </c>
      <c r="I594" s="39">
        <f t="shared" si="155"/>
        <v>50</v>
      </c>
      <c r="J594" s="40">
        <f t="shared" si="156"/>
        <v>53</v>
      </c>
      <c r="K594" s="41">
        <f t="shared" si="157"/>
        <v>48</v>
      </c>
      <c r="L594" s="42">
        <f t="shared" si="158"/>
        <v>53</v>
      </c>
      <c r="M594" s="43">
        <f t="shared" si="159"/>
        <v>48</v>
      </c>
      <c r="N594" s="44">
        <f t="shared" si="160"/>
        <v>64</v>
      </c>
      <c r="O594" s="45">
        <f t="shared" si="161"/>
        <v>316</v>
      </c>
      <c r="P594" s="19">
        <f t="shared" si="162"/>
        <v>52.67</v>
      </c>
      <c r="Q594" s="177">
        <v>50</v>
      </c>
      <c r="R594" s="40">
        <v>53</v>
      </c>
      <c r="S594" s="41">
        <v>48</v>
      </c>
      <c r="T594" s="42">
        <v>53</v>
      </c>
      <c r="U594" s="43">
        <v>48</v>
      </c>
      <c r="V594" s="44">
        <v>64</v>
      </c>
      <c r="W594" s="45">
        <f t="shared" si="153"/>
        <v>316</v>
      </c>
      <c r="X594" s="19">
        <f t="shared" si="154"/>
        <v>52.67</v>
      </c>
      <c r="Y594" s="3">
        <v>50</v>
      </c>
      <c r="Z594" s="4">
        <v>53</v>
      </c>
      <c r="AA594" s="5">
        <v>48</v>
      </c>
      <c r="AB594" s="6">
        <v>53</v>
      </c>
      <c r="AC594" s="7">
        <v>48</v>
      </c>
      <c r="AD594" s="8">
        <v>64</v>
      </c>
      <c r="AE594" s="1">
        <v>316</v>
      </c>
      <c r="AF594" s="19">
        <v>52.67</v>
      </c>
      <c r="AG594" s="139">
        <v>50</v>
      </c>
      <c r="AH594" s="140">
        <v>53</v>
      </c>
      <c r="AI594" s="141">
        <v>48</v>
      </c>
      <c r="AJ594" s="142">
        <v>53</v>
      </c>
      <c r="AK594" s="143">
        <v>48</v>
      </c>
      <c r="AL594" s="144">
        <v>64</v>
      </c>
      <c r="AM594" s="138">
        <v>316</v>
      </c>
      <c r="AN594" s="153">
        <v>52.67</v>
      </c>
      <c r="AO594" s="174"/>
      <c r="AP594" s="174"/>
      <c r="AQ594" s="174"/>
      <c r="AR594" s="174"/>
      <c r="AS594" s="174"/>
      <c r="AT594" s="174"/>
      <c r="AV594" s="174"/>
      <c r="AW594" s="45"/>
      <c r="AX594" s="174" t="b">
        <f>IF('Refined Compare'!$D$2="All",TRUE,IF(F594='Refined Compare'!$D$2,TRUE,IF(G594='Refined Compare'!$D$2,TRUE,FALSE)))</f>
        <v>0</v>
      </c>
      <c r="AY594" s="174" t="b">
        <f>IF('Refined Compare'!$D$3="All",TRUE,IF(F594='Refined Compare'!$D$3,TRUE,IF(G594='Refined Compare'!$D$3,TRUE,FALSE)))</f>
        <v>1</v>
      </c>
      <c r="AZ594" s="174" t="b">
        <f t="shared" si="163"/>
        <v>0</v>
      </c>
    </row>
    <row r="595" spans="1:52" x14ac:dyDescent="0.35">
      <c r="A595">
        <f t="shared" si="164"/>
        <v>594</v>
      </c>
      <c r="B595" s="18">
        <v>516</v>
      </c>
      <c r="C595" s="61">
        <v>5</v>
      </c>
      <c r="D595" s="118" t="b">
        <v>1</v>
      </c>
      <c r="E595" s="61"/>
      <c r="F595" s="66" t="s">
        <v>810</v>
      </c>
      <c r="G595" s="66" t="s">
        <v>827</v>
      </c>
      <c r="H595" s="38" t="s">
        <v>686</v>
      </c>
      <c r="I595" s="39">
        <f t="shared" si="155"/>
        <v>75</v>
      </c>
      <c r="J595" s="40">
        <f t="shared" si="156"/>
        <v>98</v>
      </c>
      <c r="K595" s="41">
        <f t="shared" si="157"/>
        <v>63</v>
      </c>
      <c r="L595" s="42">
        <f t="shared" si="158"/>
        <v>98</v>
      </c>
      <c r="M595" s="43">
        <f t="shared" si="159"/>
        <v>63</v>
      </c>
      <c r="N595" s="44">
        <f t="shared" si="160"/>
        <v>101</v>
      </c>
      <c r="O595" s="45">
        <f t="shared" si="161"/>
        <v>498</v>
      </c>
      <c r="P595" s="19">
        <f t="shared" si="162"/>
        <v>83</v>
      </c>
      <c r="Q595" s="177">
        <v>75</v>
      </c>
      <c r="R595" s="40">
        <v>98</v>
      </c>
      <c r="S595" s="41">
        <v>63</v>
      </c>
      <c r="T595" s="42">
        <v>98</v>
      </c>
      <c r="U595" s="43">
        <v>63</v>
      </c>
      <c r="V595" s="44">
        <v>101</v>
      </c>
      <c r="W595" s="45">
        <f t="shared" si="153"/>
        <v>498</v>
      </c>
      <c r="X595" s="19">
        <f t="shared" si="154"/>
        <v>83</v>
      </c>
      <c r="Y595" s="3">
        <v>75</v>
      </c>
      <c r="Z595" s="4">
        <v>98</v>
      </c>
      <c r="AA595" s="5">
        <v>63</v>
      </c>
      <c r="AB595" s="6">
        <v>98</v>
      </c>
      <c r="AC595" s="7">
        <v>63</v>
      </c>
      <c r="AD595" s="8">
        <v>101</v>
      </c>
      <c r="AE595" s="1">
        <v>498</v>
      </c>
      <c r="AF595" s="19">
        <v>83</v>
      </c>
      <c r="AG595" s="139">
        <v>75</v>
      </c>
      <c r="AH595" s="140">
        <v>98</v>
      </c>
      <c r="AI595" s="141">
        <v>63</v>
      </c>
      <c r="AJ595" s="142">
        <v>98</v>
      </c>
      <c r="AK595" s="143">
        <v>63</v>
      </c>
      <c r="AL595" s="144">
        <v>101</v>
      </c>
      <c r="AM595" s="138">
        <v>498</v>
      </c>
      <c r="AN595" s="153">
        <v>83</v>
      </c>
      <c r="AW595" s="45"/>
      <c r="AX595" s="174" t="b">
        <f>IF('Refined Compare'!$D$2="All",TRUE,IF(F595='Refined Compare'!$D$2,TRUE,IF(G595='Refined Compare'!$D$2,TRUE,FALSE)))</f>
        <v>0</v>
      </c>
      <c r="AY595" s="174" t="b">
        <f>IF('Refined Compare'!$D$3="All",TRUE,IF(F595='Refined Compare'!$D$3,TRUE,IF(G595='Refined Compare'!$D$3,TRUE,FALSE)))</f>
        <v>1</v>
      </c>
      <c r="AZ595" s="174" t="b">
        <f t="shared" si="163"/>
        <v>0</v>
      </c>
    </row>
    <row r="596" spans="1:52" x14ac:dyDescent="0.35">
      <c r="A596">
        <f t="shared" si="164"/>
        <v>595</v>
      </c>
      <c r="B596" s="18">
        <v>517</v>
      </c>
      <c r="C596" s="61">
        <v>5</v>
      </c>
      <c r="D596" s="61" t="b">
        <v>0</v>
      </c>
      <c r="E596" s="61"/>
      <c r="F596" s="66" t="s">
        <v>817</v>
      </c>
      <c r="G596" s="66" t="s">
        <v>827</v>
      </c>
      <c r="H596" s="38" t="s">
        <v>34</v>
      </c>
      <c r="I596" s="39">
        <f t="shared" si="155"/>
        <v>76</v>
      </c>
      <c r="J596" s="40">
        <f t="shared" si="156"/>
        <v>25</v>
      </c>
      <c r="K596" s="41">
        <f t="shared" si="157"/>
        <v>45</v>
      </c>
      <c r="L596" s="42">
        <f t="shared" si="158"/>
        <v>67</v>
      </c>
      <c r="M596" s="43">
        <f t="shared" si="159"/>
        <v>55</v>
      </c>
      <c r="N596" s="44">
        <f t="shared" si="160"/>
        <v>24</v>
      </c>
      <c r="O596" s="45">
        <f t="shared" si="161"/>
        <v>292</v>
      </c>
      <c r="P596" s="19">
        <f t="shared" si="162"/>
        <v>48.67</v>
      </c>
      <c r="Q596" s="177">
        <v>76</v>
      </c>
      <c r="R596" s="40">
        <v>25</v>
      </c>
      <c r="S596" s="41">
        <v>45</v>
      </c>
      <c r="T596" s="42">
        <v>67</v>
      </c>
      <c r="U596" s="43">
        <v>55</v>
      </c>
      <c r="V596" s="44">
        <v>24</v>
      </c>
      <c r="W596" s="45">
        <f t="shared" si="153"/>
        <v>292</v>
      </c>
      <c r="X596" s="19">
        <f t="shared" si="154"/>
        <v>48.67</v>
      </c>
      <c r="Y596" s="3">
        <v>76</v>
      </c>
      <c r="Z596" s="4">
        <v>25</v>
      </c>
      <c r="AA596" s="5">
        <v>45</v>
      </c>
      <c r="AB596" s="6">
        <v>67</v>
      </c>
      <c r="AC596" s="7">
        <v>55</v>
      </c>
      <c r="AD596" s="8">
        <v>24</v>
      </c>
      <c r="AE596" s="1">
        <v>292</v>
      </c>
      <c r="AF596" s="19">
        <v>48.67</v>
      </c>
      <c r="AG596" s="139">
        <v>76</v>
      </c>
      <c r="AH596" s="140">
        <v>25</v>
      </c>
      <c r="AI596" s="141">
        <v>45</v>
      </c>
      <c r="AJ596" s="142">
        <v>67</v>
      </c>
      <c r="AK596" s="143">
        <v>55</v>
      </c>
      <c r="AL596" s="144">
        <v>24</v>
      </c>
      <c r="AM596" s="138">
        <v>292</v>
      </c>
      <c r="AN596" s="153">
        <v>48.67</v>
      </c>
      <c r="AW596" s="45"/>
      <c r="AX596" s="174" t="b">
        <f>IF('Refined Compare'!$D$2="All",TRUE,IF(F596='Refined Compare'!$D$2,TRUE,IF(G596='Refined Compare'!$D$2,TRUE,FALSE)))</f>
        <v>0</v>
      </c>
      <c r="AY596" s="174" t="b">
        <f>IF('Refined Compare'!$D$3="All",TRUE,IF(F596='Refined Compare'!$D$3,TRUE,IF(G596='Refined Compare'!$D$3,TRUE,FALSE)))</f>
        <v>1</v>
      </c>
      <c r="AZ596" s="174" t="b">
        <f t="shared" si="163"/>
        <v>0</v>
      </c>
    </row>
    <row r="597" spans="1:52" x14ac:dyDescent="0.35">
      <c r="A597">
        <f t="shared" si="164"/>
        <v>596</v>
      </c>
      <c r="B597" s="18">
        <v>518</v>
      </c>
      <c r="C597" s="61">
        <v>5</v>
      </c>
      <c r="D597" s="118" t="b">
        <v>1</v>
      </c>
      <c r="E597" s="61"/>
      <c r="F597" s="66" t="s">
        <v>817</v>
      </c>
      <c r="G597" s="66" t="s">
        <v>827</v>
      </c>
      <c r="H597" s="38" t="s">
        <v>49</v>
      </c>
      <c r="I597" s="39">
        <f t="shared" si="155"/>
        <v>116</v>
      </c>
      <c r="J597" s="40">
        <f t="shared" si="156"/>
        <v>55</v>
      </c>
      <c r="K597" s="41">
        <f t="shared" si="157"/>
        <v>85</v>
      </c>
      <c r="L597" s="42">
        <f t="shared" si="158"/>
        <v>107</v>
      </c>
      <c r="M597" s="43">
        <f t="shared" si="159"/>
        <v>95</v>
      </c>
      <c r="N597" s="44">
        <f t="shared" si="160"/>
        <v>29</v>
      </c>
      <c r="O597" s="45">
        <f t="shared" si="161"/>
        <v>487</v>
      </c>
      <c r="P597" s="19">
        <f t="shared" si="162"/>
        <v>81.17</v>
      </c>
      <c r="Q597" s="177">
        <v>116</v>
      </c>
      <c r="R597" s="40">
        <v>55</v>
      </c>
      <c r="S597" s="41">
        <v>85</v>
      </c>
      <c r="T597" s="42">
        <v>107</v>
      </c>
      <c r="U597" s="43">
        <v>95</v>
      </c>
      <c r="V597" s="44">
        <v>29</v>
      </c>
      <c r="W597" s="45">
        <f t="shared" ref="W597:W660" si="165">SUM(Q597:V597)</f>
        <v>487</v>
      </c>
      <c r="X597" s="19">
        <f t="shared" ref="X597:X660" si="166">ROUND(AVERAGE(Q597:V597),2)</f>
        <v>81.17</v>
      </c>
      <c r="Y597" s="3">
        <v>116</v>
      </c>
      <c r="Z597" s="4">
        <v>55</v>
      </c>
      <c r="AA597" s="5">
        <v>85</v>
      </c>
      <c r="AB597" s="6">
        <v>107</v>
      </c>
      <c r="AC597" s="7">
        <v>95</v>
      </c>
      <c r="AD597" s="8">
        <v>29</v>
      </c>
      <c r="AE597" s="1">
        <v>487</v>
      </c>
      <c r="AF597" s="19">
        <v>81.17</v>
      </c>
      <c r="AG597" s="139">
        <v>116</v>
      </c>
      <c r="AH597" s="140">
        <v>55</v>
      </c>
      <c r="AI597" s="141">
        <v>85</v>
      </c>
      <c r="AJ597" s="142">
        <v>107</v>
      </c>
      <c r="AK597" s="143">
        <v>95</v>
      </c>
      <c r="AL597" s="144">
        <v>29</v>
      </c>
      <c r="AM597" s="138">
        <v>487</v>
      </c>
      <c r="AN597" s="153">
        <v>81.17</v>
      </c>
      <c r="AW597" s="45"/>
      <c r="AX597" s="174" t="b">
        <f>IF('Refined Compare'!$D$2="All",TRUE,IF(F597='Refined Compare'!$D$2,TRUE,IF(G597='Refined Compare'!$D$2,TRUE,FALSE)))</f>
        <v>0</v>
      </c>
      <c r="AY597" s="174" t="b">
        <f>IF('Refined Compare'!$D$3="All",TRUE,IF(F597='Refined Compare'!$D$3,TRUE,IF(G597='Refined Compare'!$D$3,TRUE,FALSE)))</f>
        <v>1</v>
      </c>
      <c r="AZ597" s="174" t="b">
        <f t="shared" si="163"/>
        <v>0</v>
      </c>
    </row>
    <row r="598" spans="1:52" x14ac:dyDescent="0.35">
      <c r="A598">
        <f t="shared" si="164"/>
        <v>597</v>
      </c>
      <c r="B598" s="18">
        <v>519</v>
      </c>
      <c r="C598" s="61">
        <v>5</v>
      </c>
      <c r="D598" s="61" t="b">
        <v>0</v>
      </c>
      <c r="E598" s="61"/>
      <c r="F598" s="66" t="s">
        <v>812</v>
      </c>
      <c r="G598" s="66" t="s">
        <v>809</v>
      </c>
      <c r="H598" s="38" t="s">
        <v>166</v>
      </c>
      <c r="I598" s="39">
        <f t="shared" ref="I598:I661" si="167">IF($AW$2=7,Q598,IF($AW$2=6,Y598,IF($AW$2=1,AO598,AG598)))</f>
        <v>50</v>
      </c>
      <c r="J598" s="40">
        <f t="shared" ref="J598:J661" si="168">IF($AW$2=7,R598,IF($AW$2=6,Z598,IF($AW$2=1,AP598,AH598)))</f>
        <v>55</v>
      </c>
      <c r="K598" s="41">
        <f t="shared" ref="K598:K661" si="169">IF($AW$2=7,S598,IF($AW$2=6,AA598,IF($AW$2=1,AQ598,AI598)))</f>
        <v>50</v>
      </c>
      <c r="L598" s="42">
        <f t="shared" ref="L598:L661" si="170">IF($AW$2=7,T598,IF($AW$2=6,AB598,IF($AW$2=1,AR598,AJ598)))</f>
        <v>36</v>
      </c>
      <c r="M598" s="43">
        <f t="shared" ref="M598:M661" si="171">IF($AW$2=7,U598,IF($AW$2=6,AC598,IF($AW$2=1,AS598,AK598)))</f>
        <v>30</v>
      </c>
      <c r="N598" s="44">
        <f t="shared" ref="N598:N661" si="172">IF($AW$2=7,V598,IF($AW$2=6,AD598,IF($AW$2=1,AT598,AL598)))</f>
        <v>43</v>
      </c>
      <c r="O598" s="45">
        <f t="shared" ref="O598:O661" si="173">IF($AW$2=7,W598,IF($AW$2=6,AE598,IF($AW$2=1,AU598,AM598)))</f>
        <v>264</v>
      </c>
      <c r="P598" s="19">
        <f t="shared" ref="P598:P661" si="174">IF($AW$2=7,X598,IF($AW$2=6,AF598,IF($AW$2=1,AV598,AN598)))</f>
        <v>44</v>
      </c>
      <c r="Q598" s="177">
        <v>50</v>
      </c>
      <c r="R598" s="40">
        <v>55</v>
      </c>
      <c r="S598" s="41">
        <v>50</v>
      </c>
      <c r="T598" s="42">
        <v>36</v>
      </c>
      <c r="U598" s="43">
        <v>30</v>
      </c>
      <c r="V598" s="44">
        <v>43</v>
      </c>
      <c r="W598" s="45">
        <f t="shared" si="165"/>
        <v>264</v>
      </c>
      <c r="X598" s="19">
        <f t="shared" si="166"/>
        <v>44</v>
      </c>
      <c r="Y598" s="3">
        <v>50</v>
      </c>
      <c r="Z598" s="4">
        <v>55</v>
      </c>
      <c r="AA598" s="5">
        <v>50</v>
      </c>
      <c r="AB598" s="6">
        <v>36</v>
      </c>
      <c r="AC598" s="7">
        <v>30</v>
      </c>
      <c r="AD598" s="8">
        <v>43</v>
      </c>
      <c r="AE598" s="1">
        <v>264</v>
      </c>
      <c r="AF598" s="19">
        <v>44</v>
      </c>
      <c r="AG598" s="139">
        <v>50</v>
      </c>
      <c r="AH598" s="140">
        <v>55</v>
      </c>
      <c r="AI598" s="141">
        <v>50</v>
      </c>
      <c r="AJ598" s="142">
        <v>36</v>
      </c>
      <c r="AK598" s="143">
        <v>30</v>
      </c>
      <c r="AL598" s="144">
        <v>43</v>
      </c>
      <c r="AM598" s="138">
        <v>264</v>
      </c>
      <c r="AN598" s="153">
        <v>44</v>
      </c>
      <c r="AW598" s="45"/>
      <c r="AX598" s="174" t="b">
        <f>IF('Refined Compare'!$D$2="All",TRUE,IF(F598='Refined Compare'!$D$2,TRUE,IF(G598='Refined Compare'!$D$2,TRUE,FALSE)))</f>
        <v>0</v>
      </c>
      <c r="AY598" s="174" t="b">
        <f>IF('Refined Compare'!$D$3="All",TRUE,IF(F598='Refined Compare'!$D$3,TRUE,IF(G598='Refined Compare'!$D$3,TRUE,FALSE)))</f>
        <v>0</v>
      </c>
      <c r="AZ598" s="174" t="b">
        <f t="shared" si="163"/>
        <v>0</v>
      </c>
    </row>
    <row r="599" spans="1:52" x14ac:dyDescent="0.35">
      <c r="A599">
        <f t="shared" si="164"/>
        <v>598</v>
      </c>
      <c r="B599" s="18">
        <v>520</v>
      </c>
      <c r="C599" s="61">
        <v>5</v>
      </c>
      <c r="D599" s="61" t="b">
        <v>0</v>
      </c>
      <c r="E599" s="61"/>
      <c r="F599" s="66" t="s">
        <v>812</v>
      </c>
      <c r="G599" s="66" t="s">
        <v>809</v>
      </c>
      <c r="H599" s="38" t="s">
        <v>393</v>
      </c>
      <c r="I599" s="39">
        <f t="shared" si="167"/>
        <v>62</v>
      </c>
      <c r="J599" s="40">
        <f t="shared" si="168"/>
        <v>77</v>
      </c>
      <c r="K599" s="41">
        <f t="shared" si="169"/>
        <v>62</v>
      </c>
      <c r="L599" s="42">
        <f t="shared" si="170"/>
        <v>50</v>
      </c>
      <c r="M599" s="43">
        <f t="shared" si="171"/>
        <v>42</v>
      </c>
      <c r="N599" s="44">
        <f t="shared" si="172"/>
        <v>65</v>
      </c>
      <c r="O599" s="45">
        <f t="shared" si="173"/>
        <v>358</v>
      </c>
      <c r="P599" s="19">
        <f t="shared" si="174"/>
        <v>59.67</v>
      </c>
      <c r="Q599" s="177">
        <v>62</v>
      </c>
      <c r="R599" s="40">
        <v>77</v>
      </c>
      <c r="S599" s="41">
        <v>62</v>
      </c>
      <c r="T599" s="42">
        <v>50</v>
      </c>
      <c r="U599" s="43">
        <v>42</v>
      </c>
      <c r="V599" s="44">
        <v>65</v>
      </c>
      <c r="W599" s="45">
        <f t="shared" si="165"/>
        <v>358</v>
      </c>
      <c r="X599" s="19">
        <f t="shared" si="166"/>
        <v>59.67</v>
      </c>
      <c r="Y599" s="3">
        <v>62</v>
      </c>
      <c r="Z599" s="4">
        <v>77</v>
      </c>
      <c r="AA599" s="5">
        <v>62</v>
      </c>
      <c r="AB599" s="6">
        <v>50</v>
      </c>
      <c r="AC599" s="7">
        <v>42</v>
      </c>
      <c r="AD599" s="8">
        <v>65</v>
      </c>
      <c r="AE599" s="1">
        <v>358</v>
      </c>
      <c r="AF599" s="19">
        <v>59.67</v>
      </c>
      <c r="AG599" s="139">
        <v>62</v>
      </c>
      <c r="AH599" s="140">
        <v>77</v>
      </c>
      <c r="AI599" s="141">
        <v>62</v>
      </c>
      <c r="AJ599" s="142">
        <v>50</v>
      </c>
      <c r="AK599" s="143">
        <v>42</v>
      </c>
      <c r="AL599" s="144">
        <v>65</v>
      </c>
      <c r="AM599" s="138">
        <v>358</v>
      </c>
      <c r="AN599" s="153">
        <v>59.67</v>
      </c>
      <c r="AW599" s="45"/>
      <c r="AX599" s="174" t="b">
        <f>IF('Refined Compare'!$D$2="All",TRUE,IF(F599='Refined Compare'!$D$2,TRUE,IF(G599='Refined Compare'!$D$2,TRUE,FALSE)))</f>
        <v>0</v>
      </c>
      <c r="AY599" s="174" t="b">
        <f>IF('Refined Compare'!$D$3="All",TRUE,IF(F599='Refined Compare'!$D$3,TRUE,IF(G599='Refined Compare'!$D$3,TRUE,FALSE)))</f>
        <v>0</v>
      </c>
      <c r="AZ599" s="174" t="b">
        <f t="shared" si="163"/>
        <v>0</v>
      </c>
    </row>
    <row r="600" spans="1:52" x14ac:dyDescent="0.35">
      <c r="A600">
        <f t="shared" si="164"/>
        <v>599</v>
      </c>
      <c r="B600" s="18">
        <v>521</v>
      </c>
      <c r="C600" s="61">
        <v>5</v>
      </c>
      <c r="D600" s="118" t="b">
        <v>1</v>
      </c>
      <c r="E600" s="61"/>
      <c r="F600" s="66" t="s">
        <v>812</v>
      </c>
      <c r="G600" s="66" t="s">
        <v>809</v>
      </c>
      <c r="H600" s="38" t="s">
        <v>614</v>
      </c>
      <c r="I600" s="39">
        <f t="shared" si="167"/>
        <v>80</v>
      </c>
      <c r="J600" s="40">
        <f t="shared" si="168"/>
        <v>105</v>
      </c>
      <c r="K600" s="41">
        <f t="shared" si="169"/>
        <v>80</v>
      </c>
      <c r="L600" s="42">
        <f t="shared" si="170"/>
        <v>65</v>
      </c>
      <c r="M600" s="43">
        <f t="shared" si="171"/>
        <v>55</v>
      </c>
      <c r="N600" s="44">
        <f t="shared" si="172"/>
        <v>93</v>
      </c>
      <c r="O600" s="45">
        <f t="shared" si="173"/>
        <v>478</v>
      </c>
      <c r="P600" s="19">
        <f t="shared" si="174"/>
        <v>79.67</v>
      </c>
      <c r="Q600" s="177">
        <v>80</v>
      </c>
      <c r="R600" s="40">
        <v>115</v>
      </c>
      <c r="S600" s="41">
        <v>80</v>
      </c>
      <c r="T600" s="42">
        <v>65</v>
      </c>
      <c r="U600" s="43">
        <v>55</v>
      </c>
      <c r="V600" s="44">
        <v>93</v>
      </c>
      <c r="W600" s="45">
        <f t="shared" si="165"/>
        <v>488</v>
      </c>
      <c r="X600" s="19">
        <f t="shared" si="166"/>
        <v>81.33</v>
      </c>
      <c r="Y600" s="3">
        <v>80</v>
      </c>
      <c r="Z600" s="4">
        <v>115</v>
      </c>
      <c r="AA600" s="5">
        <v>80</v>
      </c>
      <c r="AB600" s="6">
        <v>65</v>
      </c>
      <c r="AC600" s="7">
        <v>55</v>
      </c>
      <c r="AD600" s="8">
        <v>93</v>
      </c>
      <c r="AE600" s="1">
        <v>488</v>
      </c>
      <c r="AF600" s="19">
        <v>81.33</v>
      </c>
      <c r="AG600" s="139">
        <v>80</v>
      </c>
      <c r="AH600" s="140">
        <v>105</v>
      </c>
      <c r="AI600" s="141">
        <v>80</v>
      </c>
      <c r="AJ600" s="142">
        <v>65</v>
      </c>
      <c r="AK600" s="143">
        <v>55</v>
      </c>
      <c r="AL600" s="144">
        <v>93</v>
      </c>
      <c r="AM600" s="138">
        <v>478</v>
      </c>
      <c r="AN600" s="153">
        <v>79.67</v>
      </c>
      <c r="AW600" s="45"/>
      <c r="AX600" s="174" t="b">
        <f>IF('Refined Compare'!$D$2="All",TRUE,IF(F600='Refined Compare'!$D$2,TRUE,IF(G600='Refined Compare'!$D$2,TRUE,FALSE)))</f>
        <v>0</v>
      </c>
      <c r="AY600" s="174" t="b">
        <f>IF('Refined Compare'!$D$3="All",TRUE,IF(F600='Refined Compare'!$D$3,TRUE,IF(G600='Refined Compare'!$D$3,TRUE,FALSE)))</f>
        <v>0</v>
      </c>
      <c r="AZ600" s="174" t="b">
        <f t="shared" si="163"/>
        <v>0</v>
      </c>
    </row>
    <row r="601" spans="1:52" x14ac:dyDescent="0.35">
      <c r="A601">
        <f t="shared" si="164"/>
        <v>600</v>
      </c>
      <c r="B601" s="18">
        <v>522</v>
      </c>
      <c r="C601" s="61">
        <v>5</v>
      </c>
      <c r="D601" s="61" t="b">
        <v>0</v>
      </c>
      <c r="E601" s="61"/>
      <c r="F601" s="66" t="s">
        <v>813</v>
      </c>
      <c r="G601" s="66" t="s">
        <v>827</v>
      </c>
      <c r="H601" s="38" t="s">
        <v>488</v>
      </c>
      <c r="I601" s="39">
        <f t="shared" si="167"/>
        <v>45</v>
      </c>
      <c r="J601" s="40">
        <f t="shared" si="168"/>
        <v>60</v>
      </c>
      <c r="K601" s="41">
        <f t="shared" si="169"/>
        <v>32</v>
      </c>
      <c r="L601" s="42">
        <f t="shared" si="170"/>
        <v>50</v>
      </c>
      <c r="M601" s="43">
        <f t="shared" si="171"/>
        <v>32</v>
      </c>
      <c r="N601" s="44">
        <f t="shared" si="172"/>
        <v>76</v>
      </c>
      <c r="O601" s="45">
        <f t="shared" si="173"/>
        <v>295</v>
      </c>
      <c r="P601" s="19">
        <f t="shared" si="174"/>
        <v>49.17</v>
      </c>
      <c r="Q601" s="177">
        <v>45</v>
      </c>
      <c r="R601" s="40">
        <v>60</v>
      </c>
      <c r="S601" s="41">
        <v>32</v>
      </c>
      <c r="T601" s="42">
        <v>50</v>
      </c>
      <c r="U601" s="43">
        <v>32</v>
      </c>
      <c r="V601" s="44">
        <v>76</v>
      </c>
      <c r="W601" s="45">
        <f t="shared" si="165"/>
        <v>295</v>
      </c>
      <c r="X601" s="19">
        <f t="shared" si="166"/>
        <v>49.17</v>
      </c>
      <c r="Y601" s="3">
        <v>45</v>
      </c>
      <c r="Z601" s="4">
        <v>60</v>
      </c>
      <c r="AA601" s="5">
        <v>32</v>
      </c>
      <c r="AB601" s="6">
        <v>50</v>
      </c>
      <c r="AC601" s="7">
        <v>32</v>
      </c>
      <c r="AD601" s="8">
        <v>76</v>
      </c>
      <c r="AE601" s="1">
        <v>295</v>
      </c>
      <c r="AF601" s="19">
        <v>49.17</v>
      </c>
      <c r="AG601" s="139">
        <v>45</v>
      </c>
      <c r="AH601" s="140">
        <v>60</v>
      </c>
      <c r="AI601" s="141">
        <v>32</v>
      </c>
      <c r="AJ601" s="142">
        <v>50</v>
      </c>
      <c r="AK601" s="143">
        <v>32</v>
      </c>
      <c r="AL601" s="144">
        <v>76</v>
      </c>
      <c r="AM601" s="138">
        <v>295</v>
      </c>
      <c r="AN601" s="153">
        <v>49.17</v>
      </c>
      <c r="AW601" s="45"/>
      <c r="AX601" s="174" t="b">
        <f>IF('Refined Compare'!$D$2="All",TRUE,IF(F601='Refined Compare'!$D$2,TRUE,IF(G601='Refined Compare'!$D$2,TRUE,FALSE)))</f>
        <v>0</v>
      </c>
      <c r="AY601" s="174" t="b">
        <f>IF('Refined Compare'!$D$3="All",TRUE,IF(F601='Refined Compare'!$D$3,TRUE,IF(G601='Refined Compare'!$D$3,TRUE,FALSE)))</f>
        <v>1</v>
      </c>
      <c r="AZ601" s="174" t="b">
        <f t="shared" si="163"/>
        <v>0</v>
      </c>
    </row>
    <row r="602" spans="1:52" x14ac:dyDescent="0.35">
      <c r="A602">
        <f t="shared" si="164"/>
        <v>601</v>
      </c>
      <c r="B602" s="18">
        <v>523</v>
      </c>
      <c r="C602" s="61">
        <v>5</v>
      </c>
      <c r="D602" s="118" t="b">
        <v>1</v>
      </c>
      <c r="E602" s="61"/>
      <c r="F602" s="66" t="s">
        <v>813</v>
      </c>
      <c r="G602" s="66" t="s">
        <v>827</v>
      </c>
      <c r="H602" s="38" t="s">
        <v>746</v>
      </c>
      <c r="I602" s="39">
        <f t="shared" si="167"/>
        <v>75</v>
      </c>
      <c r="J602" s="40">
        <f t="shared" si="168"/>
        <v>100</v>
      </c>
      <c r="K602" s="41">
        <f t="shared" si="169"/>
        <v>63</v>
      </c>
      <c r="L602" s="42">
        <f t="shared" si="170"/>
        <v>80</v>
      </c>
      <c r="M602" s="43">
        <f t="shared" si="171"/>
        <v>63</v>
      </c>
      <c r="N602" s="44">
        <f t="shared" si="172"/>
        <v>116</v>
      </c>
      <c r="O602" s="45">
        <f t="shared" si="173"/>
        <v>497</v>
      </c>
      <c r="P602" s="19">
        <f t="shared" si="174"/>
        <v>82.83</v>
      </c>
      <c r="Q602" s="177">
        <v>75</v>
      </c>
      <c r="R602" s="40">
        <v>100</v>
      </c>
      <c r="S602" s="41">
        <v>63</v>
      </c>
      <c r="T602" s="42">
        <v>80</v>
      </c>
      <c r="U602" s="43">
        <v>63</v>
      </c>
      <c r="V602" s="44">
        <v>116</v>
      </c>
      <c r="W602" s="45">
        <f t="shared" si="165"/>
        <v>497</v>
      </c>
      <c r="X602" s="19">
        <f t="shared" si="166"/>
        <v>82.83</v>
      </c>
      <c r="Y602" s="3">
        <v>75</v>
      </c>
      <c r="Z602" s="4">
        <v>100</v>
      </c>
      <c r="AA602" s="5">
        <v>63</v>
      </c>
      <c r="AB602" s="6">
        <v>80</v>
      </c>
      <c r="AC602" s="7">
        <v>63</v>
      </c>
      <c r="AD602" s="8">
        <v>116</v>
      </c>
      <c r="AE602" s="1">
        <v>497</v>
      </c>
      <c r="AF602" s="19">
        <v>82.83</v>
      </c>
      <c r="AG602" s="139">
        <v>75</v>
      </c>
      <c r="AH602" s="140">
        <v>100</v>
      </c>
      <c r="AI602" s="141">
        <v>63</v>
      </c>
      <c r="AJ602" s="142">
        <v>80</v>
      </c>
      <c r="AK602" s="143">
        <v>63</v>
      </c>
      <c r="AL602" s="144">
        <v>116</v>
      </c>
      <c r="AM602" s="138">
        <v>497</v>
      </c>
      <c r="AN602" s="153">
        <v>82.83</v>
      </c>
      <c r="AW602" s="45"/>
      <c r="AX602" s="174" t="b">
        <f>IF('Refined Compare'!$D$2="All",TRUE,IF(F602='Refined Compare'!$D$2,TRUE,IF(G602='Refined Compare'!$D$2,TRUE,FALSE)))</f>
        <v>0</v>
      </c>
      <c r="AY602" s="174" t="b">
        <f>IF('Refined Compare'!$D$3="All",TRUE,IF(F602='Refined Compare'!$D$3,TRUE,IF(G602='Refined Compare'!$D$3,TRUE,FALSE)))</f>
        <v>1</v>
      </c>
      <c r="AZ602" s="174" t="b">
        <f t="shared" si="163"/>
        <v>0</v>
      </c>
    </row>
    <row r="603" spans="1:52" x14ac:dyDescent="0.35">
      <c r="A603">
        <f t="shared" si="164"/>
        <v>602</v>
      </c>
      <c r="B603" s="18">
        <v>524</v>
      </c>
      <c r="C603" s="61">
        <v>5</v>
      </c>
      <c r="D603" s="61" t="b">
        <v>0</v>
      </c>
      <c r="E603" s="61"/>
      <c r="F603" s="66" t="s">
        <v>818</v>
      </c>
      <c r="G603" s="66" t="s">
        <v>827</v>
      </c>
      <c r="H603" s="38" t="s">
        <v>12</v>
      </c>
      <c r="I603" s="39">
        <f t="shared" si="167"/>
        <v>55</v>
      </c>
      <c r="J603" s="40">
        <f t="shared" si="168"/>
        <v>75</v>
      </c>
      <c r="K603" s="41">
        <f t="shared" si="169"/>
        <v>85</v>
      </c>
      <c r="L603" s="42">
        <f t="shared" si="170"/>
        <v>25</v>
      </c>
      <c r="M603" s="43">
        <f t="shared" si="171"/>
        <v>25</v>
      </c>
      <c r="N603" s="44">
        <f t="shared" si="172"/>
        <v>15</v>
      </c>
      <c r="O603" s="45">
        <f t="shared" si="173"/>
        <v>280</v>
      </c>
      <c r="P603" s="19">
        <f t="shared" si="174"/>
        <v>46.67</v>
      </c>
      <c r="Q603" s="177">
        <v>55</v>
      </c>
      <c r="R603" s="40">
        <v>75</v>
      </c>
      <c r="S603" s="41">
        <v>85</v>
      </c>
      <c r="T603" s="42">
        <v>25</v>
      </c>
      <c r="U603" s="43">
        <v>25</v>
      </c>
      <c r="V603" s="44">
        <v>15</v>
      </c>
      <c r="W603" s="45">
        <f t="shared" si="165"/>
        <v>280</v>
      </c>
      <c r="X603" s="19">
        <f t="shared" si="166"/>
        <v>46.67</v>
      </c>
      <c r="Y603" s="3">
        <v>55</v>
      </c>
      <c r="Z603" s="4">
        <v>75</v>
      </c>
      <c r="AA603" s="5">
        <v>85</v>
      </c>
      <c r="AB603" s="6">
        <v>25</v>
      </c>
      <c r="AC603" s="7">
        <v>25</v>
      </c>
      <c r="AD603" s="8">
        <v>15</v>
      </c>
      <c r="AE603" s="1">
        <v>280</v>
      </c>
      <c r="AF603" s="19">
        <v>46.67</v>
      </c>
      <c r="AG603" s="139">
        <v>55</v>
      </c>
      <c r="AH603" s="140">
        <v>75</v>
      </c>
      <c r="AI603" s="141">
        <v>85</v>
      </c>
      <c r="AJ603" s="142">
        <v>25</v>
      </c>
      <c r="AK603" s="143">
        <v>25</v>
      </c>
      <c r="AL603" s="144">
        <v>15</v>
      </c>
      <c r="AM603" s="138">
        <v>280</v>
      </c>
      <c r="AN603" s="153">
        <v>46.67</v>
      </c>
      <c r="AW603" s="45"/>
      <c r="AX603" s="174" t="b">
        <f>IF('Refined Compare'!$D$2="All",TRUE,IF(F603='Refined Compare'!$D$2,TRUE,IF(G603='Refined Compare'!$D$2,TRUE,FALSE)))</f>
        <v>0</v>
      </c>
      <c r="AY603" s="174" t="b">
        <f>IF('Refined Compare'!$D$3="All",TRUE,IF(F603='Refined Compare'!$D$3,TRUE,IF(G603='Refined Compare'!$D$3,TRUE,FALSE)))</f>
        <v>1</v>
      </c>
      <c r="AZ603" s="174" t="b">
        <f t="shared" si="163"/>
        <v>0</v>
      </c>
    </row>
    <row r="604" spans="1:52" x14ac:dyDescent="0.35">
      <c r="A604">
        <f t="shared" si="164"/>
        <v>603</v>
      </c>
      <c r="B604" s="18">
        <v>525</v>
      </c>
      <c r="C604" s="61">
        <v>5</v>
      </c>
      <c r="D604" s="61" t="b">
        <v>0</v>
      </c>
      <c r="E604" s="61"/>
      <c r="F604" s="66" t="s">
        <v>818</v>
      </c>
      <c r="G604" s="66" t="s">
        <v>827</v>
      </c>
      <c r="H604" s="38" t="s">
        <v>24</v>
      </c>
      <c r="I604" s="39">
        <f t="shared" si="167"/>
        <v>70</v>
      </c>
      <c r="J604" s="40">
        <f t="shared" si="168"/>
        <v>105</v>
      </c>
      <c r="K604" s="41">
        <f t="shared" si="169"/>
        <v>105</v>
      </c>
      <c r="L604" s="42">
        <f t="shared" si="170"/>
        <v>50</v>
      </c>
      <c r="M604" s="43">
        <f t="shared" si="171"/>
        <v>40</v>
      </c>
      <c r="N604" s="44">
        <f t="shared" si="172"/>
        <v>20</v>
      </c>
      <c r="O604" s="45">
        <f t="shared" si="173"/>
        <v>390</v>
      </c>
      <c r="P604" s="19">
        <f t="shared" si="174"/>
        <v>65</v>
      </c>
      <c r="Q604" s="177">
        <v>70</v>
      </c>
      <c r="R604" s="40">
        <v>105</v>
      </c>
      <c r="S604" s="41">
        <v>105</v>
      </c>
      <c r="T604" s="42">
        <v>50</v>
      </c>
      <c r="U604" s="43">
        <v>40</v>
      </c>
      <c r="V604" s="44">
        <v>20</v>
      </c>
      <c r="W604" s="45">
        <f t="shared" si="165"/>
        <v>390</v>
      </c>
      <c r="X604" s="19">
        <f t="shared" si="166"/>
        <v>65</v>
      </c>
      <c r="Y604" s="3">
        <v>70</v>
      </c>
      <c r="Z604" s="4">
        <v>105</v>
      </c>
      <c r="AA604" s="5">
        <v>105</v>
      </c>
      <c r="AB604" s="6">
        <v>50</v>
      </c>
      <c r="AC604" s="7">
        <v>40</v>
      </c>
      <c r="AD604" s="8">
        <v>20</v>
      </c>
      <c r="AE604" s="1">
        <v>390</v>
      </c>
      <c r="AF604" s="19">
        <v>65</v>
      </c>
      <c r="AG604" s="139">
        <v>70</v>
      </c>
      <c r="AH604" s="140">
        <v>105</v>
      </c>
      <c r="AI604" s="141">
        <v>105</v>
      </c>
      <c r="AJ604" s="142">
        <v>50</v>
      </c>
      <c r="AK604" s="143">
        <v>40</v>
      </c>
      <c r="AL604" s="144">
        <v>20</v>
      </c>
      <c r="AM604" s="138">
        <v>390</v>
      </c>
      <c r="AN604" s="153">
        <v>65</v>
      </c>
      <c r="AW604" s="45"/>
      <c r="AX604" s="174" t="b">
        <f>IF('Refined Compare'!$D$2="All",TRUE,IF(F604='Refined Compare'!$D$2,TRUE,IF(G604='Refined Compare'!$D$2,TRUE,FALSE)))</f>
        <v>0</v>
      </c>
      <c r="AY604" s="174" t="b">
        <f>IF('Refined Compare'!$D$3="All",TRUE,IF(F604='Refined Compare'!$D$3,TRUE,IF(G604='Refined Compare'!$D$3,TRUE,FALSE)))</f>
        <v>1</v>
      </c>
      <c r="AZ604" s="174" t="b">
        <f t="shared" si="163"/>
        <v>0</v>
      </c>
    </row>
    <row r="605" spans="1:52" x14ac:dyDescent="0.35">
      <c r="A605">
        <f t="shared" si="164"/>
        <v>604</v>
      </c>
      <c r="B605" s="18">
        <v>526</v>
      </c>
      <c r="C605" s="61">
        <v>5</v>
      </c>
      <c r="D605" s="118" t="b">
        <v>1</v>
      </c>
      <c r="E605" s="61"/>
      <c r="F605" s="66" t="s">
        <v>818</v>
      </c>
      <c r="G605" s="66" t="s">
        <v>827</v>
      </c>
      <c r="H605" s="38" t="s">
        <v>43</v>
      </c>
      <c r="I605" s="39">
        <f t="shared" si="167"/>
        <v>85</v>
      </c>
      <c r="J605" s="40">
        <f t="shared" si="168"/>
        <v>135</v>
      </c>
      <c r="K605" s="41">
        <f t="shared" si="169"/>
        <v>130</v>
      </c>
      <c r="L605" s="42">
        <f t="shared" si="170"/>
        <v>60</v>
      </c>
      <c r="M605" s="43">
        <f t="shared" si="171"/>
        <v>70</v>
      </c>
      <c r="N605" s="44">
        <f t="shared" si="172"/>
        <v>25</v>
      </c>
      <c r="O605" s="45">
        <f t="shared" si="173"/>
        <v>505</v>
      </c>
      <c r="P605" s="19">
        <f t="shared" si="174"/>
        <v>84.17</v>
      </c>
      <c r="Q605" s="177">
        <v>85</v>
      </c>
      <c r="R605" s="40">
        <v>135</v>
      </c>
      <c r="S605" s="41">
        <v>130</v>
      </c>
      <c r="T605" s="42">
        <v>60</v>
      </c>
      <c r="U605" s="43">
        <v>80</v>
      </c>
      <c r="V605" s="44">
        <v>25</v>
      </c>
      <c r="W605" s="45">
        <f t="shared" si="165"/>
        <v>515</v>
      </c>
      <c r="X605" s="19">
        <f t="shared" si="166"/>
        <v>85.83</v>
      </c>
      <c r="Y605" s="3">
        <v>85</v>
      </c>
      <c r="Z605" s="4">
        <v>135</v>
      </c>
      <c r="AA605" s="5">
        <v>130</v>
      </c>
      <c r="AB605" s="6">
        <v>60</v>
      </c>
      <c r="AC605" s="7">
        <v>80</v>
      </c>
      <c r="AD605" s="8">
        <v>25</v>
      </c>
      <c r="AE605" s="1">
        <v>515</v>
      </c>
      <c r="AF605" s="19">
        <v>85.83</v>
      </c>
      <c r="AG605" s="139">
        <v>85</v>
      </c>
      <c r="AH605" s="140">
        <v>135</v>
      </c>
      <c r="AI605" s="141">
        <v>130</v>
      </c>
      <c r="AJ605" s="142">
        <v>60</v>
      </c>
      <c r="AK605" s="143">
        <v>70</v>
      </c>
      <c r="AL605" s="144">
        <v>25</v>
      </c>
      <c r="AM605" s="138">
        <v>505</v>
      </c>
      <c r="AN605" s="153">
        <v>84.17</v>
      </c>
      <c r="AW605" s="45"/>
      <c r="AX605" s="174" t="b">
        <f>IF('Refined Compare'!$D$2="All",TRUE,IF(F605='Refined Compare'!$D$2,TRUE,IF(G605='Refined Compare'!$D$2,TRUE,FALSE)))</f>
        <v>0</v>
      </c>
      <c r="AY605" s="174" t="b">
        <f>IF('Refined Compare'!$D$3="All",TRUE,IF(F605='Refined Compare'!$D$3,TRUE,IF(G605='Refined Compare'!$D$3,TRUE,FALSE)))</f>
        <v>1</v>
      </c>
      <c r="AZ605" s="174" t="b">
        <f t="shared" si="163"/>
        <v>0</v>
      </c>
    </row>
    <row r="606" spans="1:52" x14ac:dyDescent="0.35">
      <c r="A606">
        <f t="shared" si="164"/>
        <v>605</v>
      </c>
      <c r="B606" s="18">
        <v>527</v>
      </c>
      <c r="C606" s="61">
        <v>5</v>
      </c>
      <c r="D606" s="61" t="b">
        <v>0</v>
      </c>
      <c r="E606" s="61"/>
      <c r="F606" s="66" t="s">
        <v>817</v>
      </c>
      <c r="G606" s="66" t="s">
        <v>809</v>
      </c>
      <c r="H606" s="38" t="s">
        <v>462</v>
      </c>
      <c r="I606" s="39">
        <f t="shared" si="167"/>
        <v>55</v>
      </c>
      <c r="J606" s="40">
        <f t="shared" si="168"/>
        <v>45</v>
      </c>
      <c r="K606" s="41">
        <f t="shared" si="169"/>
        <v>43</v>
      </c>
      <c r="L606" s="42">
        <f t="shared" si="170"/>
        <v>55</v>
      </c>
      <c r="M606" s="43">
        <f t="shared" si="171"/>
        <v>43</v>
      </c>
      <c r="N606" s="44">
        <f t="shared" si="172"/>
        <v>72</v>
      </c>
      <c r="O606" s="45">
        <f t="shared" si="173"/>
        <v>313</v>
      </c>
      <c r="P606" s="19">
        <f t="shared" si="174"/>
        <v>52.17</v>
      </c>
      <c r="Q606" s="177">
        <v>65</v>
      </c>
      <c r="R606" s="40">
        <v>45</v>
      </c>
      <c r="S606" s="41">
        <v>43</v>
      </c>
      <c r="T606" s="42">
        <v>55</v>
      </c>
      <c r="U606" s="43">
        <v>43</v>
      </c>
      <c r="V606" s="44">
        <v>72</v>
      </c>
      <c r="W606" s="45">
        <f t="shared" si="165"/>
        <v>323</v>
      </c>
      <c r="X606" s="19">
        <f t="shared" si="166"/>
        <v>53.83</v>
      </c>
      <c r="Y606" s="3">
        <v>55</v>
      </c>
      <c r="Z606" s="4">
        <v>45</v>
      </c>
      <c r="AA606" s="5">
        <v>43</v>
      </c>
      <c r="AB606" s="6">
        <v>55</v>
      </c>
      <c r="AC606" s="7">
        <v>43</v>
      </c>
      <c r="AD606" s="8">
        <v>72</v>
      </c>
      <c r="AE606" s="1">
        <v>313</v>
      </c>
      <c r="AF606" s="19">
        <v>52.17</v>
      </c>
      <c r="AG606" s="139">
        <v>55</v>
      </c>
      <c r="AH606" s="140">
        <v>45</v>
      </c>
      <c r="AI606" s="141">
        <v>43</v>
      </c>
      <c r="AJ606" s="142">
        <v>55</v>
      </c>
      <c r="AK606" s="143">
        <v>43</v>
      </c>
      <c r="AL606" s="144">
        <v>72</v>
      </c>
      <c r="AM606" s="138">
        <v>313</v>
      </c>
      <c r="AN606" s="153">
        <v>52.17</v>
      </c>
      <c r="AW606" s="45"/>
      <c r="AX606" s="174" t="b">
        <f>IF('Refined Compare'!$D$2="All",TRUE,IF(F606='Refined Compare'!$D$2,TRUE,IF(G606='Refined Compare'!$D$2,TRUE,FALSE)))</f>
        <v>0</v>
      </c>
      <c r="AY606" s="174" t="b">
        <f>IF('Refined Compare'!$D$3="All",TRUE,IF(F606='Refined Compare'!$D$3,TRUE,IF(G606='Refined Compare'!$D$3,TRUE,FALSE)))</f>
        <v>0</v>
      </c>
      <c r="AZ606" s="174" t="b">
        <f t="shared" si="163"/>
        <v>0</v>
      </c>
    </row>
    <row r="607" spans="1:52" x14ac:dyDescent="0.35">
      <c r="A607">
        <f t="shared" si="164"/>
        <v>606</v>
      </c>
      <c r="B607" s="18">
        <v>528</v>
      </c>
      <c r="C607" s="61">
        <v>5</v>
      </c>
      <c r="D607" s="118" t="b">
        <v>1</v>
      </c>
      <c r="E607" s="61"/>
      <c r="F607" s="66" t="s">
        <v>817</v>
      </c>
      <c r="G607" s="66" t="s">
        <v>809</v>
      </c>
      <c r="H607" s="38" t="s">
        <v>734</v>
      </c>
      <c r="I607" s="39">
        <f t="shared" si="167"/>
        <v>67</v>
      </c>
      <c r="J607" s="40">
        <f t="shared" si="168"/>
        <v>57</v>
      </c>
      <c r="K607" s="41">
        <f t="shared" si="169"/>
        <v>55</v>
      </c>
      <c r="L607" s="42">
        <f t="shared" si="170"/>
        <v>77</v>
      </c>
      <c r="M607" s="43">
        <f t="shared" si="171"/>
        <v>55</v>
      </c>
      <c r="N607" s="44">
        <f t="shared" si="172"/>
        <v>114</v>
      </c>
      <c r="O607" s="45">
        <f t="shared" si="173"/>
        <v>425</v>
      </c>
      <c r="P607" s="19">
        <f t="shared" si="174"/>
        <v>70.83</v>
      </c>
      <c r="Q607" s="177">
        <v>67</v>
      </c>
      <c r="R607" s="40">
        <v>57</v>
      </c>
      <c r="S607" s="41">
        <v>55</v>
      </c>
      <c r="T607" s="42">
        <v>77</v>
      </c>
      <c r="U607" s="43">
        <v>55</v>
      </c>
      <c r="V607" s="44">
        <v>114</v>
      </c>
      <c r="W607" s="45">
        <f t="shared" si="165"/>
        <v>425</v>
      </c>
      <c r="X607" s="19">
        <f t="shared" si="166"/>
        <v>70.83</v>
      </c>
      <c r="Y607" s="3">
        <v>67</v>
      </c>
      <c r="Z607" s="4">
        <v>57</v>
      </c>
      <c r="AA607" s="5">
        <v>55</v>
      </c>
      <c r="AB607" s="6">
        <v>77</v>
      </c>
      <c r="AC607" s="7">
        <v>55</v>
      </c>
      <c r="AD607" s="8">
        <v>114</v>
      </c>
      <c r="AE607" s="1">
        <v>425</v>
      </c>
      <c r="AF607" s="19">
        <v>70.83</v>
      </c>
      <c r="AG607" s="139">
        <v>67</v>
      </c>
      <c r="AH607" s="140">
        <v>57</v>
      </c>
      <c r="AI607" s="141">
        <v>55</v>
      </c>
      <c r="AJ607" s="142">
        <v>77</v>
      </c>
      <c r="AK607" s="143">
        <v>55</v>
      </c>
      <c r="AL607" s="144">
        <v>114</v>
      </c>
      <c r="AM607" s="138">
        <v>425</v>
      </c>
      <c r="AN607" s="153">
        <v>70.83</v>
      </c>
      <c r="AW607" s="45"/>
      <c r="AX607" s="174" t="b">
        <f>IF('Refined Compare'!$D$2="All",TRUE,IF(F607='Refined Compare'!$D$2,TRUE,IF(G607='Refined Compare'!$D$2,TRUE,FALSE)))</f>
        <v>0</v>
      </c>
      <c r="AY607" s="174" t="b">
        <f>IF('Refined Compare'!$D$3="All",TRUE,IF(F607='Refined Compare'!$D$3,TRUE,IF(G607='Refined Compare'!$D$3,TRUE,FALSE)))</f>
        <v>0</v>
      </c>
      <c r="AZ607" s="174" t="b">
        <f t="shared" si="163"/>
        <v>0</v>
      </c>
    </row>
    <row r="608" spans="1:52" x14ac:dyDescent="0.35">
      <c r="A608">
        <f t="shared" si="164"/>
        <v>607</v>
      </c>
      <c r="B608" s="18">
        <v>529</v>
      </c>
      <c r="C608" s="61">
        <v>5</v>
      </c>
      <c r="D608" s="61" t="b">
        <v>0</v>
      </c>
      <c r="E608" s="61"/>
      <c r="F608" s="66" t="s">
        <v>814</v>
      </c>
      <c r="G608" s="66" t="s">
        <v>827</v>
      </c>
      <c r="H608" s="38" t="s">
        <v>412</v>
      </c>
      <c r="I608" s="39">
        <f t="shared" si="167"/>
        <v>60</v>
      </c>
      <c r="J608" s="40">
        <f t="shared" si="168"/>
        <v>85</v>
      </c>
      <c r="K608" s="41">
        <f t="shared" si="169"/>
        <v>40</v>
      </c>
      <c r="L608" s="42">
        <f t="shared" si="170"/>
        <v>30</v>
      </c>
      <c r="M608" s="43">
        <f t="shared" si="171"/>
        <v>45</v>
      </c>
      <c r="N608" s="44">
        <f t="shared" si="172"/>
        <v>68</v>
      </c>
      <c r="O608" s="45">
        <f t="shared" si="173"/>
        <v>328</v>
      </c>
      <c r="P608" s="19">
        <f t="shared" si="174"/>
        <v>54.67</v>
      </c>
      <c r="Q608" s="177">
        <v>60</v>
      </c>
      <c r="R608" s="40">
        <v>85</v>
      </c>
      <c r="S608" s="41">
        <v>40</v>
      </c>
      <c r="T608" s="42">
        <v>30</v>
      </c>
      <c r="U608" s="43">
        <v>45</v>
      </c>
      <c r="V608" s="44">
        <v>68</v>
      </c>
      <c r="W608" s="45">
        <f t="shared" si="165"/>
        <v>328</v>
      </c>
      <c r="X608" s="19">
        <f t="shared" si="166"/>
        <v>54.67</v>
      </c>
      <c r="Y608" s="3">
        <v>60</v>
      </c>
      <c r="Z608" s="4">
        <v>85</v>
      </c>
      <c r="AA608" s="5">
        <v>40</v>
      </c>
      <c r="AB608" s="6">
        <v>30</v>
      </c>
      <c r="AC608" s="7">
        <v>45</v>
      </c>
      <c r="AD608" s="8">
        <v>68</v>
      </c>
      <c r="AE608" s="1">
        <v>328</v>
      </c>
      <c r="AF608" s="19">
        <v>54.67</v>
      </c>
      <c r="AG608" s="139">
        <v>60</v>
      </c>
      <c r="AH608" s="140">
        <v>85</v>
      </c>
      <c r="AI608" s="141">
        <v>40</v>
      </c>
      <c r="AJ608" s="142">
        <v>30</v>
      </c>
      <c r="AK608" s="143">
        <v>45</v>
      </c>
      <c r="AL608" s="144">
        <v>68</v>
      </c>
      <c r="AM608" s="138">
        <v>328</v>
      </c>
      <c r="AN608" s="153">
        <v>54.67</v>
      </c>
      <c r="AW608" s="45"/>
      <c r="AX608" s="174" t="b">
        <f>IF('Refined Compare'!$D$2="All",TRUE,IF(F608='Refined Compare'!$D$2,TRUE,IF(G608='Refined Compare'!$D$2,TRUE,FALSE)))</f>
        <v>0</v>
      </c>
      <c r="AY608" s="174" t="b">
        <f>IF('Refined Compare'!$D$3="All",TRUE,IF(F608='Refined Compare'!$D$3,TRUE,IF(G608='Refined Compare'!$D$3,TRUE,FALSE)))</f>
        <v>1</v>
      </c>
      <c r="AZ608" s="174" t="b">
        <f t="shared" si="163"/>
        <v>0</v>
      </c>
    </row>
    <row r="609" spans="1:52" x14ac:dyDescent="0.35">
      <c r="A609">
        <f t="shared" si="164"/>
        <v>608</v>
      </c>
      <c r="B609" s="18">
        <v>530</v>
      </c>
      <c r="C609" s="61">
        <v>5</v>
      </c>
      <c r="D609" s="118" t="b">
        <v>1</v>
      </c>
      <c r="E609" s="61"/>
      <c r="F609" s="66" t="s">
        <v>814</v>
      </c>
      <c r="G609" s="66" t="s">
        <v>819</v>
      </c>
      <c r="H609" s="38" t="s">
        <v>572</v>
      </c>
      <c r="I609" s="39">
        <f t="shared" si="167"/>
        <v>110</v>
      </c>
      <c r="J609" s="40">
        <f t="shared" si="168"/>
        <v>135</v>
      </c>
      <c r="K609" s="41">
        <f t="shared" si="169"/>
        <v>60</v>
      </c>
      <c r="L609" s="42">
        <f t="shared" si="170"/>
        <v>50</v>
      </c>
      <c r="M609" s="43">
        <f t="shared" si="171"/>
        <v>65</v>
      </c>
      <c r="N609" s="44">
        <f t="shared" si="172"/>
        <v>88</v>
      </c>
      <c r="O609" s="45">
        <f t="shared" si="173"/>
        <v>508</v>
      </c>
      <c r="P609" s="19">
        <f t="shared" si="174"/>
        <v>84.67</v>
      </c>
      <c r="Q609" s="177">
        <v>110</v>
      </c>
      <c r="R609" s="40">
        <v>135</v>
      </c>
      <c r="S609" s="41">
        <v>60</v>
      </c>
      <c r="T609" s="42">
        <v>50</v>
      </c>
      <c r="U609" s="43">
        <v>65</v>
      </c>
      <c r="V609" s="44">
        <v>88</v>
      </c>
      <c r="W609" s="45">
        <f t="shared" si="165"/>
        <v>508</v>
      </c>
      <c r="X609" s="19">
        <f t="shared" si="166"/>
        <v>84.67</v>
      </c>
      <c r="Y609" s="3">
        <v>110</v>
      </c>
      <c r="Z609" s="4">
        <v>135</v>
      </c>
      <c r="AA609" s="5">
        <v>60</v>
      </c>
      <c r="AB609" s="6">
        <v>50</v>
      </c>
      <c r="AC609" s="7">
        <v>65</v>
      </c>
      <c r="AD609" s="8">
        <v>88</v>
      </c>
      <c r="AE609" s="1">
        <v>508</v>
      </c>
      <c r="AF609" s="19">
        <v>84.67</v>
      </c>
      <c r="AG609" s="139">
        <v>110</v>
      </c>
      <c r="AH609" s="140">
        <v>135</v>
      </c>
      <c r="AI609" s="141">
        <v>60</v>
      </c>
      <c r="AJ609" s="142">
        <v>50</v>
      </c>
      <c r="AK609" s="143">
        <v>65</v>
      </c>
      <c r="AL609" s="144">
        <v>88</v>
      </c>
      <c r="AM609" s="138">
        <v>508</v>
      </c>
      <c r="AN609" s="153">
        <v>84.67</v>
      </c>
      <c r="AW609" s="45"/>
      <c r="AX609" s="174" t="b">
        <f>IF('Refined Compare'!$D$2="All",TRUE,IF(F609='Refined Compare'!$D$2,TRUE,IF(G609='Refined Compare'!$D$2,TRUE,FALSE)))</f>
        <v>0</v>
      </c>
      <c r="AY609" s="174" t="b">
        <f>IF('Refined Compare'!$D$3="All",TRUE,IF(F609='Refined Compare'!$D$3,TRUE,IF(G609='Refined Compare'!$D$3,TRUE,FALSE)))</f>
        <v>0</v>
      </c>
      <c r="AZ609" s="174" t="b">
        <f t="shared" si="163"/>
        <v>0</v>
      </c>
    </row>
    <row r="610" spans="1:52" x14ac:dyDescent="0.35">
      <c r="A610">
        <f t="shared" si="164"/>
        <v>609</v>
      </c>
      <c r="B610" s="18">
        <v>531</v>
      </c>
      <c r="C610" s="61">
        <v>5</v>
      </c>
      <c r="D610" s="61" t="b">
        <f>IF($AW$2&lt;6,TRUE,FALSE)</f>
        <v>1</v>
      </c>
      <c r="E610" s="61"/>
      <c r="F610" s="66" t="s">
        <v>812</v>
      </c>
      <c r="G610" s="66" t="s">
        <v>827</v>
      </c>
      <c r="H610" s="38" t="s">
        <v>248</v>
      </c>
      <c r="I610" s="39">
        <f t="shared" si="167"/>
        <v>103</v>
      </c>
      <c r="J610" s="40">
        <f t="shared" si="168"/>
        <v>60</v>
      </c>
      <c r="K610" s="41">
        <f t="shared" si="169"/>
        <v>86</v>
      </c>
      <c r="L610" s="42">
        <f t="shared" si="170"/>
        <v>60</v>
      </c>
      <c r="M610" s="43">
        <f t="shared" si="171"/>
        <v>86</v>
      </c>
      <c r="N610" s="44">
        <f t="shared" si="172"/>
        <v>50</v>
      </c>
      <c r="O610" s="45">
        <f t="shared" si="173"/>
        <v>445</v>
      </c>
      <c r="P610" s="19">
        <f t="shared" si="174"/>
        <v>74.17</v>
      </c>
      <c r="Q610" s="177">
        <v>103</v>
      </c>
      <c r="R610" s="40">
        <v>60</v>
      </c>
      <c r="S610" s="41">
        <v>86</v>
      </c>
      <c r="T610" s="42">
        <v>60</v>
      </c>
      <c r="U610" s="43">
        <v>86</v>
      </c>
      <c r="V610" s="44">
        <v>50</v>
      </c>
      <c r="W610" s="45">
        <f t="shared" si="165"/>
        <v>445</v>
      </c>
      <c r="X610" s="19">
        <f t="shared" si="166"/>
        <v>74.17</v>
      </c>
      <c r="Y610" s="3">
        <v>103</v>
      </c>
      <c r="Z610" s="4">
        <v>60</v>
      </c>
      <c r="AA610" s="5">
        <v>86</v>
      </c>
      <c r="AB610" s="6">
        <v>60</v>
      </c>
      <c r="AC610" s="7">
        <v>86</v>
      </c>
      <c r="AD610" s="8">
        <v>50</v>
      </c>
      <c r="AE610" s="1">
        <v>445</v>
      </c>
      <c r="AF610" s="19">
        <v>74.17</v>
      </c>
      <c r="AG610" s="139">
        <v>103</v>
      </c>
      <c r="AH610" s="140">
        <v>60</v>
      </c>
      <c r="AI610" s="141">
        <v>86</v>
      </c>
      <c r="AJ610" s="142">
        <v>60</v>
      </c>
      <c r="AK610" s="143">
        <v>86</v>
      </c>
      <c r="AL610" s="144">
        <v>50</v>
      </c>
      <c r="AM610" s="138">
        <v>445</v>
      </c>
      <c r="AN610" s="153">
        <v>74.17</v>
      </c>
      <c r="AW610" s="45"/>
      <c r="AX610" s="174" t="b">
        <f>IF('Refined Compare'!$D$2="All",TRUE,IF(F610='Refined Compare'!$D$2,TRUE,IF(G610='Refined Compare'!$D$2,TRUE,FALSE)))</f>
        <v>0</v>
      </c>
      <c r="AY610" s="174" t="b">
        <f>IF('Refined Compare'!$D$3="All",TRUE,IF(F610='Refined Compare'!$D$3,TRUE,IF(G610='Refined Compare'!$D$3,TRUE,FALSE)))</f>
        <v>1</v>
      </c>
      <c r="AZ610" s="174" t="b">
        <f t="shared" si="163"/>
        <v>0</v>
      </c>
    </row>
    <row r="611" spans="1:52" x14ac:dyDescent="0.35">
      <c r="A611">
        <f t="shared" si="164"/>
        <v>610</v>
      </c>
      <c r="B611" s="62">
        <v>531</v>
      </c>
      <c r="C611" s="61">
        <v>6</v>
      </c>
      <c r="D611" s="118" t="b">
        <f>IF(AZ611,TRUE,FALSE)</f>
        <v>0</v>
      </c>
      <c r="E611" s="61" t="s">
        <v>801</v>
      </c>
      <c r="F611" s="66" t="s">
        <v>812</v>
      </c>
      <c r="G611" s="66" t="s">
        <v>815</v>
      </c>
      <c r="H611" s="38" t="s">
        <v>249</v>
      </c>
      <c r="I611" s="39">
        <f t="shared" si="167"/>
        <v>0</v>
      </c>
      <c r="J611" s="40">
        <f t="shared" si="168"/>
        <v>0</v>
      </c>
      <c r="K611" s="41">
        <f t="shared" si="169"/>
        <v>0</v>
      </c>
      <c r="L611" s="42">
        <f t="shared" si="170"/>
        <v>0</v>
      </c>
      <c r="M611" s="43">
        <f t="shared" si="171"/>
        <v>0</v>
      </c>
      <c r="N611" s="44">
        <f t="shared" si="172"/>
        <v>0</v>
      </c>
      <c r="O611" s="45">
        <f t="shared" si="173"/>
        <v>0</v>
      </c>
      <c r="P611" s="19">
        <f t="shared" si="174"/>
        <v>0</v>
      </c>
      <c r="Q611" s="177">
        <v>103</v>
      </c>
      <c r="R611" s="40">
        <v>60</v>
      </c>
      <c r="S611" s="41">
        <v>126</v>
      </c>
      <c r="T611" s="42">
        <v>80</v>
      </c>
      <c r="U611" s="43">
        <v>126</v>
      </c>
      <c r="V611" s="44">
        <v>50</v>
      </c>
      <c r="W611" s="45">
        <f t="shared" si="165"/>
        <v>545</v>
      </c>
      <c r="X611" s="19">
        <f t="shared" si="166"/>
        <v>90.83</v>
      </c>
      <c r="Y611" s="3">
        <v>103</v>
      </c>
      <c r="Z611" s="4">
        <v>60</v>
      </c>
      <c r="AA611" s="5">
        <v>126</v>
      </c>
      <c r="AB611" s="6">
        <v>80</v>
      </c>
      <c r="AC611" s="7">
        <v>126</v>
      </c>
      <c r="AD611" s="8">
        <v>50</v>
      </c>
      <c r="AE611" s="1">
        <v>545</v>
      </c>
      <c r="AF611" s="19">
        <v>90.83</v>
      </c>
      <c r="AN611" s="172"/>
      <c r="AV611" s="174"/>
      <c r="AW611" s="45"/>
      <c r="AX611" s="174" t="b">
        <f>IF('Refined Compare'!$D$2="All",TRUE,IF(F611='Refined Compare'!$D$2,TRUE,IF(G611='Refined Compare'!$D$2,TRUE,FALSE)))</f>
        <v>0</v>
      </c>
      <c r="AY611" s="174" t="b">
        <f>IF('Refined Compare'!$D$3="All",TRUE,IF(F611='Refined Compare'!$D$3,TRUE,IF(G611='Refined Compare'!$D$3,TRUE,FALSE)))</f>
        <v>0</v>
      </c>
      <c r="AZ611" s="174" t="b">
        <f t="shared" si="163"/>
        <v>0</v>
      </c>
    </row>
    <row r="612" spans="1:52" x14ac:dyDescent="0.35">
      <c r="A612">
        <f t="shared" si="164"/>
        <v>611</v>
      </c>
      <c r="B612" s="18">
        <v>532</v>
      </c>
      <c r="C612" s="61">
        <v>5</v>
      </c>
      <c r="D612" s="61" t="b">
        <v>0</v>
      </c>
      <c r="E612" s="61"/>
      <c r="F612" s="66" t="s">
        <v>816</v>
      </c>
      <c r="G612" s="66" t="s">
        <v>827</v>
      </c>
      <c r="H612" s="38" t="s">
        <v>113</v>
      </c>
      <c r="I612" s="39">
        <f t="shared" si="167"/>
        <v>75</v>
      </c>
      <c r="J612" s="40">
        <f t="shared" si="168"/>
        <v>80</v>
      </c>
      <c r="K612" s="41">
        <f t="shared" si="169"/>
        <v>55</v>
      </c>
      <c r="L612" s="42">
        <f t="shared" si="170"/>
        <v>25</v>
      </c>
      <c r="M612" s="43">
        <f t="shared" si="171"/>
        <v>35</v>
      </c>
      <c r="N612" s="44">
        <f t="shared" si="172"/>
        <v>35</v>
      </c>
      <c r="O612" s="45">
        <f t="shared" si="173"/>
        <v>305</v>
      </c>
      <c r="P612" s="19">
        <f t="shared" si="174"/>
        <v>50.83</v>
      </c>
      <c r="Q612" s="177">
        <v>75</v>
      </c>
      <c r="R612" s="40">
        <v>80</v>
      </c>
      <c r="S612" s="41">
        <v>55</v>
      </c>
      <c r="T612" s="42">
        <v>25</v>
      </c>
      <c r="U612" s="43">
        <v>35</v>
      </c>
      <c r="V612" s="44">
        <v>35</v>
      </c>
      <c r="W612" s="45">
        <f t="shared" si="165"/>
        <v>305</v>
      </c>
      <c r="X612" s="19">
        <f t="shared" si="166"/>
        <v>50.83</v>
      </c>
      <c r="Y612" s="3">
        <v>75</v>
      </c>
      <c r="Z612" s="4">
        <v>80</v>
      </c>
      <c r="AA612" s="5">
        <v>55</v>
      </c>
      <c r="AB612" s="6">
        <v>25</v>
      </c>
      <c r="AC612" s="7">
        <v>35</v>
      </c>
      <c r="AD612" s="8">
        <v>35</v>
      </c>
      <c r="AE612" s="1">
        <v>305</v>
      </c>
      <c r="AF612" s="19">
        <v>50.83</v>
      </c>
      <c r="AG612" s="139">
        <v>75</v>
      </c>
      <c r="AH612" s="140">
        <v>80</v>
      </c>
      <c r="AI612" s="141">
        <v>55</v>
      </c>
      <c r="AJ612" s="142">
        <v>25</v>
      </c>
      <c r="AK612" s="143">
        <v>35</v>
      </c>
      <c r="AL612" s="144">
        <v>35</v>
      </c>
      <c r="AM612" s="138">
        <v>305</v>
      </c>
      <c r="AN612" s="153">
        <v>50.83</v>
      </c>
      <c r="AW612" s="45"/>
      <c r="AX612" s="174" t="b">
        <f>IF('Refined Compare'!$D$2="All",TRUE,IF(F612='Refined Compare'!$D$2,TRUE,IF(G612='Refined Compare'!$D$2,TRUE,FALSE)))</f>
        <v>0</v>
      </c>
      <c r="AY612" s="174" t="b">
        <f>IF('Refined Compare'!$D$3="All",TRUE,IF(F612='Refined Compare'!$D$3,TRUE,IF(G612='Refined Compare'!$D$3,TRUE,FALSE)))</f>
        <v>1</v>
      </c>
      <c r="AZ612" s="174" t="b">
        <f t="shared" si="163"/>
        <v>0</v>
      </c>
    </row>
    <row r="613" spans="1:52" x14ac:dyDescent="0.35">
      <c r="A613">
        <f t="shared" si="164"/>
        <v>612</v>
      </c>
      <c r="B613" s="18">
        <v>533</v>
      </c>
      <c r="C613" s="61">
        <v>5</v>
      </c>
      <c r="D613" s="61" t="b">
        <v>0</v>
      </c>
      <c r="E613" s="61"/>
      <c r="F613" s="66" t="s">
        <v>816</v>
      </c>
      <c r="G613" s="66" t="s">
        <v>827</v>
      </c>
      <c r="H613" s="38" t="s">
        <v>149</v>
      </c>
      <c r="I613" s="39">
        <f t="shared" si="167"/>
        <v>85</v>
      </c>
      <c r="J613" s="40">
        <f t="shared" si="168"/>
        <v>105</v>
      </c>
      <c r="K613" s="41">
        <f t="shared" si="169"/>
        <v>85</v>
      </c>
      <c r="L613" s="42">
        <f t="shared" si="170"/>
        <v>40</v>
      </c>
      <c r="M613" s="43">
        <f t="shared" si="171"/>
        <v>50</v>
      </c>
      <c r="N613" s="44">
        <f t="shared" si="172"/>
        <v>40</v>
      </c>
      <c r="O613" s="45">
        <f t="shared" si="173"/>
        <v>405</v>
      </c>
      <c r="P613" s="19">
        <f t="shared" si="174"/>
        <v>67.5</v>
      </c>
      <c r="Q613" s="177">
        <v>85</v>
      </c>
      <c r="R613" s="40">
        <v>105</v>
      </c>
      <c r="S613" s="41">
        <v>85</v>
      </c>
      <c r="T613" s="42">
        <v>40</v>
      </c>
      <c r="U613" s="43">
        <v>50</v>
      </c>
      <c r="V613" s="44">
        <v>40</v>
      </c>
      <c r="W613" s="45">
        <f t="shared" si="165"/>
        <v>405</v>
      </c>
      <c r="X613" s="19">
        <f t="shared" si="166"/>
        <v>67.5</v>
      </c>
      <c r="Y613" s="3">
        <v>85</v>
      </c>
      <c r="Z613" s="4">
        <v>105</v>
      </c>
      <c r="AA613" s="5">
        <v>85</v>
      </c>
      <c r="AB613" s="6">
        <v>40</v>
      </c>
      <c r="AC613" s="7">
        <v>50</v>
      </c>
      <c r="AD613" s="8">
        <v>40</v>
      </c>
      <c r="AE613" s="1">
        <v>405</v>
      </c>
      <c r="AF613" s="19">
        <v>67.5</v>
      </c>
      <c r="AG613" s="139">
        <v>85</v>
      </c>
      <c r="AH613" s="140">
        <v>105</v>
      </c>
      <c r="AI613" s="141">
        <v>85</v>
      </c>
      <c r="AJ613" s="142">
        <v>40</v>
      </c>
      <c r="AK613" s="143">
        <v>50</v>
      </c>
      <c r="AL613" s="144">
        <v>40</v>
      </c>
      <c r="AM613" s="138">
        <v>405</v>
      </c>
      <c r="AN613" s="153">
        <v>67.5</v>
      </c>
      <c r="AW613" s="45"/>
      <c r="AX613" s="174" t="b">
        <f>IF('Refined Compare'!$D$2="All",TRUE,IF(F613='Refined Compare'!$D$2,TRUE,IF(G613='Refined Compare'!$D$2,TRUE,FALSE)))</f>
        <v>0</v>
      </c>
      <c r="AY613" s="174" t="b">
        <f>IF('Refined Compare'!$D$3="All",TRUE,IF(F613='Refined Compare'!$D$3,TRUE,IF(G613='Refined Compare'!$D$3,TRUE,FALSE)))</f>
        <v>1</v>
      </c>
      <c r="AZ613" s="174" t="b">
        <f t="shared" si="163"/>
        <v>0</v>
      </c>
    </row>
    <row r="614" spans="1:52" x14ac:dyDescent="0.35">
      <c r="A614">
        <f t="shared" si="164"/>
        <v>613</v>
      </c>
      <c r="B614" s="18">
        <v>534</v>
      </c>
      <c r="C614" s="61">
        <v>5</v>
      </c>
      <c r="D614" s="118" t="b">
        <v>1</v>
      </c>
      <c r="E614" s="61"/>
      <c r="F614" s="66" t="s">
        <v>816</v>
      </c>
      <c r="G614" s="66" t="s">
        <v>827</v>
      </c>
      <c r="H614" s="38" t="s">
        <v>195</v>
      </c>
      <c r="I614" s="39">
        <f t="shared" si="167"/>
        <v>105</v>
      </c>
      <c r="J614" s="40">
        <f t="shared" si="168"/>
        <v>140</v>
      </c>
      <c r="K614" s="41">
        <f t="shared" si="169"/>
        <v>95</v>
      </c>
      <c r="L614" s="42">
        <f t="shared" si="170"/>
        <v>55</v>
      </c>
      <c r="M614" s="43">
        <f t="shared" si="171"/>
        <v>65</v>
      </c>
      <c r="N614" s="44">
        <f t="shared" si="172"/>
        <v>45</v>
      </c>
      <c r="O614" s="45">
        <f t="shared" si="173"/>
        <v>505</v>
      </c>
      <c r="P614" s="19">
        <f t="shared" si="174"/>
        <v>84.17</v>
      </c>
      <c r="Q614" s="177">
        <v>105</v>
      </c>
      <c r="R614" s="40">
        <v>140</v>
      </c>
      <c r="S614" s="41">
        <v>95</v>
      </c>
      <c r="T614" s="42">
        <v>55</v>
      </c>
      <c r="U614" s="43">
        <v>65</v>
      </c>
      <c r="V614" s="44">
        <v>45</v>
      </c>
      <c r="W614" s="45">
        <f t="shared" si="165"/>
        <v>505</v>
      </c>
      <c r="X614" s="19">
        <f t="shared" si="166"/>
        <v>84.17</v>
      </c>
      <c r="Y614" s="3">
        <v>105</v>
      </c>
      <c r="Z614" s="4">
        <v>140</v>
      </c>
      <c r="AA614" s="5">
        <v>95</v>
      </c>
      <c r="AB614" s="6">
        <v>55</v>
      </c>
      <c r="AC614" s="7">
        <v>65</v>
      </c>
      <c r="AD614" s="8">
        <v>45</v>
      </c>
      <c r="AE614" s="1">
        <v>505</v>
      </c>
      <c r="AF614" s="19">
        <v>84.17</v>
      </c>
      <c r="AG614" s="139">
        <v>105</v>
      </c>
      <c r="AH614" s="140">
        <v>140</v>
      </c>
      <c r="AI614" s="141">
        <v>95</v>
      </c>
      <c r="AJ614" s="142">
        <v>55</v>
      </c>
      <c r="AK614" s="143">
        <v>65</v>
      </c>
      <c r="AL614" s="144">
        <v>45</v>
      </c>
      <c r="AM614" s="138">
        <v>505</v>
      </c>
      <c r="AN614" s="153">
        <v>84.17</v>
      </c>
      <c r="AW614" s="45"/>
      <c r="AX614" s="174" t="b">
        <f>IF('Refined Compare'!$D$2="All",TRUE,IF(F614='Refined Compare'!$D$2,TRUE,IF(G614='Refined Compare'!$D$2,TRUE,FALSE)))</f>
        <v>0</v>
      </c>
      <c r="AY614" s="174" t="b">
        <f>IF('Refined Compare'!$D$3="All",TRUE,IF(F614='Refined Compare'!$D$3,TRUE,IF(G614='Refined Compare'!$D$3,TRUE,FALSE)))</f>
        <v>1</v>
      </c>
      <c r="AZ614" s="174" t="b">
        <f t="shared" si="163"/>
        <v>0</v>
      </c>
    </row>
    <row r="615" spans="1:52" x14ac:dyDescent="0.35">
      <c r="A615">
        <f t="shared" si="164"/>
        <v>614</v>
      </c>
      <c r="B615" s="18">
        <v>535</v>
      </c>
      <c r="C615" s="61">
        <v>5</v>
      </c>
      <c r="D615" s="61" t="b">
        <v>0</v>
      </c>
      <c r="E615" s="61"/>
      <c r="F615" s="66" t="s">
        <v>810</v>
      </c>
      <c r="G615" s="66" t="s">
        <v>827</v>
      </c>
      <c r="H615" s="38" t="s">
        <v>364</v>
      </c>
      <c r="I615" s="39">
        <f t="shared" si="167"/>
        <v>50</v>
      </c>
      <c r="J615" s="40">
        <f t="shared" si="168"/>
        <v>50</v>
      </c>
      <c r="K615" s="41">
        <f t="shared" si="169"/>
        <v>40</v>
      </c>
      <c r="L615" s="42">
        <f t="shared" si="170"/>
        <v>50</v>
      </c>
      <c r="M615" s="43">
        <f t="shared" si="171"/>
        <v>40</v>
      </c>
      <c r="N615" s="44">
        <f t="shared" si="172"/>
        <v>64</v>
      </c>
      <c r="O615" s="45">
        <f t="shared" si="173"/>
        <v>294</v>
      </c>
      <c r="P615" s="19">
        <f t="shared" si="174"/>
        <v>49</v>
      </c>
      <c r="Q615" s="177">
        <v>50</v>
      </c>
      <c r="R615" s="40">
        <v>50</v>
      </c>
      <c r="S615" s="41">
        <v>40</v>
      </c>
      <c r="T615" s="42">
        <v>50</v>
      </c>
      <c r="U615" s="43">
        <v>40</v>
      </c>
      <c r="V615" s="44">
        <v>64</v>
      </c>
      <c r="W615" s="45">
        <f t="shared" si="165"/>
        <v>294</v>
      </c>
      <c r="X615" s="19">
        <f t="shared" si="166"/>
        <v>49</v>
      </c>
      <c r="Y615" s="3">
        <v>50</v>
      </c>
      <c r="Z615" s="4">
        <v>50</v>
      </c>
      <c r="AA615" s="5">
        <v>40</v>
      </c>
      <c r="AB615" s="6">
        <v>50</v>
      </c>
      <c r="AC615" s="7">
        <v>40</v>
      </c>
      <c r="AD615" s="8">
        <v>64</v>
      </c>
      <c r="AE615" s="1">
        <v>294</v>
      </c>
      <c r="AF615" s="19">
        <v>49</v>
      </c>
      <c r="AG615" s="139">
        <v>50</v>
      </c>
      <c r="AH615" s="140">
        <v>50</v>
      </c>
      <c r="AI615" s="141">
        <v>40</v>
      </c>
      <c r="AJ615" s="142">
        <v>50</v>
      </c>
      <c r="AK615" s="143">
        <v>40</v>
      </c>
      <c r="AL615" s="144">
        <v>64</v>
      </c>
      <c r="AM615" s="138">
        <v>294</v>
      </c>
      <c r="AN615" s="153">
        <v>49</v>
      </c>
      <c r="AW615" s="45"/>
      <c r="AX615" s="174" t="b">
        <f>IF('Refined Compare'!$D$2="All",TRUE,IF(F615='Refined Compare'!$D$2,TRUE,IF(G615='Refined Compare'!$D$2,TRUE,FALSE)))</f>
        <v>0</v>
      </c>
      <c r="AY615" s="174" t="b">
        <f>IF('Refined Compare'!$D$3="All",TRUE,IF(F615='Refined Compare'!$D$3,TRUE,IF(G615='Refined Compare'!$D$3,TRUE,FALSE)))</f>
        <v>1</v>
      </c>
      <c r="AZ615" s="174" t="b">
        <f t="shared" si="163"/>
        <v>0</v>
      </c>
    </row>
    <row r="616" spans="1:52" x14ac:dyDescent="0.35">
      <c r="A616">
        <f t="shared" si="164"/>
        <v>615</v>
      </c>
      <c r="B616" s="18">
        <v>536</v>
      </c>
      <c r="C616" s="61">
        <v>5</v>
      </c>
      <c r="D616" s="61" t="b">
        <v>0</v>
      </c>
      <c r="E616" s="61"/>
      <c r="F616" s="66" t="s">
        <v>810</v>
      </c>
      <c r="G616" s="66" t="s">
        <v>814</v>
      </c>
      <c r="H616" s="38" t="s">
        <v>416</v>
      </c>
      <c r="I616" s="39">
        <f t="shared" si="167"/>
        <v>75</v>
      </c>
      <c r="J616" s="40">
        <f t="shared" si="168"/>
        <v>65</v>
      </c>
      <c r="K616" s="41">
        <f t="shared" si="169"/>
        <v>55</v>
      </c>
      <c r="L616" s="42">
        <f t="shared" si="170"/>
        <v>65</v>
      </c>
      <c r="M616" s="43">
        <f t="shared" si="171"/>
        <v>55</v>
      </c>
      <c r="N616" s="44">
        <f t="shared" si="172"/>
        <v>69</v>
      </c>
      <c r="O616" s="45">
        <f t="shared" si="173"/>
        <v>384</v>
      </c>
      <c r="P616" s="19">
        <f t="shared" si="174"/>
        <v>64</v>
      </c>
      <c r="Q616" s="177">
        <v>75</v>
      </c>
      <c r="R616" s="40">
        <v>65</v>
      </c>
      <c r="S616" s="41">
        <v>55</v>
      </c>
      <c r="T616" s="42">
        <v>65</v>
      </c>
      <c r="U616" s="43">
        <v>55</v>
      </c>
      <c r="V616" s="44">
        <v>69</v>
      </c>
      <c r="W616" s="45">
        <f t="shared" si="165"/>
        <v>384</v>
      </c>
      <c r="X616" s="19">
        <f t="shared" si="166"/>
        <v>64</v>
      </c>
      <c r="Y616" s="3">
        <v>75</v>
      </c>
      <c r="Z616" s="4">
        <v>65</v>
      </c>
      <c r="AA616" s="5">
        <v>55</v>
      </c>
      <c r="AB616" s="6">
        <v>65</v>
      </c>
      <c r="AC616" s="7">
        <v>55</v>
      </c>
      <c r="AD616" s="8">
        <v>69</v>
      </c>
      <c r="AE616" s="1">
        <v>384</v>
      </c>
      <c r="AF616" s="19">
        <v>64</v>
      </c>
      <c r="AG616" s="139">
        <v>75</v>
      </c>
      <c r="AH616" s="140">
        <v>65</v>
      </c>
      <c r="AI616" s="141">
        <v>55</v>
      </c>
      <c r="AJ616" s="142">
        <v>65</v>
      </c>
      <c r="AK616" s="143">
        <v>55</v>
      </c>
      <c r="AL616" s="144">
        <v>69</v>
      </c>
      <c r="AM616" s="138">
        <v>384</v>
      </c>
      <c r="AN616" s="153">
        <v>64</v>
      </c>
      <c r="AW616" s="45"/>
      <c r="AX616" s="174" t="b">
        <f>IF('Refined Compare'!$D$2="All",TRUE,IF(F616='Refined Compare'!$D$2,TRUE,IF(G616='Refined Compare'!$D$2,TRUE,FALSE)))</f>
        <v>0</v>
      </c>
      <c r="AY616" s="174" t="b">
        <f>IF('Refined Compare'!$D$3="All",TRUE,IF(F616='Refined Compare'!$D$3,TRUE,IF(G616='Refined Compare'!$D$3,TRUE,FALSE)))</f>
        <v>0</v>
      </c>
      <c r="AZ616" s="174" t="b">
        <f t="shared" si="163"/>
        <v>0</v>
      </c>
    </row>
    <row r="617" spans="1:52" x14ac:dyDescent="0.35">
      <c r="A617">
        <f t="shared" si="164"/>
        <v>616</v>
      </c>
      <c r="B617" s="18">
        <v>537</v>
      </c>
      <c r="C617" s="61">
        <v>5</v>
      </c>
      <c r="D617" s="118" t="b">
        <v>1</v>
      </c>
      <c r="E617" s="61"/>
      <c r="F617" s="66" t="s">
        <v>810</v>
      </c>
      <c r="G617" s="66" t="s">
        <v>814</v>
      </c>
      <c r="H617" s="38" t="s">
        <v>468</v>
      </c>
      <c r="I617" s="39">
        <f t="shared" si="167"/>
        <v>105</v>
      </c>
      <c r="J617" s="40">
        <f t="shared" si="168"/>
        <v>85</v>
      </c>
      <c r="K617" s="41">
        <f t="shared" si="169"/>
        <v>75</v>
      </c>
      <c r="L617" s="42">
        <f t="shared" si="170"/>
        <v>85</v>
      </c>
      <c r="M617" s="43">
        <f t="shared" si="171"/>
        <v>75</v>
      </c>
      <c r="N617" s="44">
        <f t="shared" si="172"/>
        <v>74</v>
      </c>
      <c r="O617" s="45">
        <f t="shared" si="173"/>
        <v>499</v>
      </c>
      <c r="P617" s="19">
        <f t="shared" si="174"/>
        <v>83.17</v>
      </c>
      <c r="Q617" s="177">
        <v>105</v>
      </c>
      <c r="R617" s="40">
        <v>95</v>
      </c>
      <c r="S617" s="41">
        <v>75</v>
      </c>
      <c r="T617" s="42">
        <v>85</v>
      </c>
      <c r="U617" s="43">
        <v>75</v>
      </c>
      <c r="V617" s="44">
        <v>74</v>
      </c>
      <c r="W617" s="45">
        <f t="shared" si="165"/>
        <v>509</v>
      </c>
      <c r="X617" s="19">
        <f t="shared" si="166"/>
        <v>84.83</v>
      </c>
      <c r="Y617" s="3">
        <v>105</v>
      </c>
      <c r="Z617" s="4">
        <v>95</v>
      </c>
      <c r="AA617" s="5">
        <v>75</v>
      </c>
      <c r="AB617" s="6">
        <v>85</v>
      </c>
      <c r="AC617" s="7">
        <v>75</v>
      </c>
      <c r="AD617" s="8">
        <v>74</v>
      </c>
      <c r="AE617" s="1">
        <v>509</v>
      </c>
      <c r="AF617" s="19">
        <v>84.83</v>
      </c>
      <c r="AG617" s="139">
        <v>105</v>
      </c>
      <c r="AH617" s="140">
        <v>85</v>
      </c>
      <c r="AI617" s="141">
        <v>75</v>
      </c>
      <c r="AJ617" s="142">
        <v>85</v>
      </c>
      <c r="AK617" s="143">
        <v>75</v>
      </c>
      <c r="AL617" s="144">
        <v>74</v>
      </c>
      <c r="AM617" s="138">
        <v>499</v>
      </c>
      <c r="AN617" s="153">
        <v>83.17</v>
      </c>
      <c r="AW617" s="45"/>
      <c r="AX617" s="174" t="b">
        <f>IF('Refined Compare'!$D$2="All",TRUE,IF(F617='Refined Compare'!$D$2,TRUE,IF(G617='Refined Compare'!$D$2,TRUE,FALSE)))</f>
        <v>0</v>
      </c>
      <c r="AY617" s="174" t="b">
        <f>IF('Refined Compare'!$D$3="All",TRUE,IF(F617='Refined Compare'!$D$3,TRUE,IF(G617='Refined Compare'!$D$3,TRUE,FALSE)))</f>
        <v>0</v>
      </c>
      <c r="AZ617" s="174" t="b">
        <f t="shared" si="163"/>
        <v>0</v>
      </c>
    </row>
    <row r="618" spans="1:52" x14ac:dyDescent="0.35">
      <c r="A618">
        <f t="shared" si="164"/>
        <v>617</v>
      </c>
      <c r="B618" s="18">
        <v>538</v>
      </c>
      <c r="C618" s="61">
        <v>5</v>
      </c>
      <c r="D618" s="118" t="b">
        <v>1</v>
      </c>
      <c r="E618" s="61"/>
      <c r="F618" s="66" t="s">
        <v>816</v>
      </c>
      <c r="G618" s="66" t="s">
        <v>827</v>
      </c>
      <c r="H618" s="38" t="s">
        <v>196</v>
      </c>
      <c r="I618" s="39">
        <f t="shared" si="167"/>
        <v>120</v>
      </c>
      <c r="J618" s="40">
        <f t="shared" si="168"/>
        <v>100</v>
      </c>
      <c r="K618" s="41">
        <f t="shared" si="169"/>
        <v>85</v>
      </c>
      <c r="L618" s="42">
        <f t="shared" si="170"/>
        <v>30</v>
      </c>
      <c r="M618" s="43">
        <f t="shared" si="171"/>
        <v>85</v>
      </c>
      <c r="N618" s="44">
        <f t="shared" si="172"/>
        <v>45</v>
      </c>
      <c r="O618" s="45">
        <f t="shared" si="173"/>
        <v>465</v>
      </c>
      <c r="P618" s="19">
        <f t="shared" si="174"/>
        <v>77.5</v>
      </c>
      <c r="Q618" s="177">
        <v>120</v>
      </c>
      <c r="R618" s="40">
        <v>100</v>
      </c>
      <c r="S618" s="41">
        <v>85</v>
      </c>
      <c r="T618" s="42">
        <v>30</v>
      </c>
      <c r="U618" s="43">
        <v>85</v>
      </c>
      <c r="V618" s="44">
        <v>45</v>
      </c>
      <c r="W618" s="45">
        <f t="shared" si="165"/>
        <v>465</v>
      </c>
      <c r="X618" s="19">
        <f t="shared" si="166"/>
        <v>77.5</v>
      </c>
      <c r="Y618" s="3">
        <v>120</v>
      </c>
      <c r="Z618" s="4">
        <v>100</v>
      </c>
      <c r="AA618" s="5">
        <v>85</v>
      </c>
      <c r="AB618" s="6">
        <v>30</v>
      </c>
      <c r="AC618" s="7">
        <v>85</v>
      </c>
      <c r="AD618" s="8">
        <v>45</v>
      </c>
      <c r="AE618" s="1">
        <v>465</v>
      </c>
      <c r="AF618" s="19">
        <v>77.5</v>
      </c>
      <c r="AG618" s="139">
        <v>120</v>
      </c>
      <c r="AH618" s="140">
        <v>100</v>
      </c>
      <c r="AI618" s="141">
        <v>85</v>
      </c>
      <c r="AJ618" s="142">
        <v>30</v>
      </c>
      <c r="AK618" s="143">
        <v>85</v>
      </c>
      <c r="AL618" s="144">
        <v>45</v>
      </c>
      <c r="AM618" s="138">
        <v>465</v>
      </c>
      <c r="AN618" s="153">
        <v>77.5</v>
      </c>
      <c r="AW618" s="45"/>
      <c r="AX618" s="174" t="b">
        <f>IF('Refined Compare'!$D$2="All",TRUE,IF(F618='Refined Compare'!$D$2,TRUE,IF(G618='Refined Compare'!$D$2,TRUE,FALSE)))</f>
        <v>0</v>
      </c>
      <c r="AY618" s="174" t="b">
        <f>IF('Refined Compare'!$D$3="All",TRUE,IF(F618='Refined Compare'!$D$3,TRUE,IF(G618='Refined Compare'!$D$3,TRUE,FALSE)))</f>
        <v>1</v>
      </c>
      <c r="AZ618" s="174" t="b">
        <f t="shared" si="163"/>
        <v>0</v>
      </c>
    </row>
    <row r="619" spans="1:52" x14ac:dyDescent="0.35">
      <c r="A619">
        <f t="shared" si="164"/>
        <v>618</v>
      </c>
      <c r="B619" s="18">
        <v>539</v>
      </c>
      <c r="C619" s="61">
        <v>5</v>
      </c>
      <c r="D619" s="118" t="b">
        <v>1</v>
      </c>
      <c r="E619" s="61"/>
      <c r="F619" s="66" t="s">
        <v>816</v>
      </c>
      <c r="G619" s="66" t="s">
        <v>827</v>
      </c>
      <c r="H619" s="38" t="s">
        <v>565</v>
      </c>
      <c r="I619" s="39">
        <f t="shared" si="167"/>
        <v>75</v>
      </c>
      <c r="J619" s="40">
        <f t="shared" si="168"/>
        <v>125</v>
      </c>
      <c r="K619" s="41">
        <f t="shared" si="169"/>
        <v>75</v>
      </c>
      <c r="L619" s="42">
        <f t="shared" si="170"/>
        <v>30</v>
      </c>
      <c r="M619" s="43">
        <f t="shared" si="171"/>
        <v>75</v>
      </c>
      <c r="N619" s="44">
        <f t="shared" si="172"/>
        <v>85</v>
      </c>
      <c r="O619" s="45">
        <f t="shared" si="173"/>
        <v>465</v>
      </c>
      <c r="P619" s="19">
        <f t="shared" si="174"/>
        <v>77.5</v>
      </c>
      <c r="Q619" s="177">
        <v>75</v>
      </c>
      <c r="R619" s="40">
        <v>125</v>
      </c>
      <c r="S619" s="41">
        <v>75</v>
      </c>
      <c r="T619" s="42">
        <v>30</v>
      </c>
      <c r="U619" s="43">
        <v>75</v>
      </c>
      <c r="V619" s="44">
        <v>85</v>
      </c>
      <c r="W619" s="45">
        <f t="shared" si="165"/>
        <v>465</v>
      </c>
      <c r="X619" s="19">
        <f t="shared" si="166"/>
        <v>77.5</v>
      </c>
      <c r="Y619" s="3">
        <v>75</v>
      </c>
      <c r="Z619" s="4">
        <v>125</v>
      </c>
      <c r="AA619" s="5">
        <v>75</v>
      </c>
      <c r="AB619" s="6">
        <v>30</v>
      </c>
      <c r="AC619" s="7">
        <v>75</v>
      </c>
      <c r="AD619" s="8">
        <v>85</v>
      </c>
      <c r="AE619" s="1">
        <v>465</v>
      </c>
      <c r="AF619" s="19">
        <v>77.5</v>
      </c>
      <c r="AG619" s="139">
        <v>75</v>
      </c>
      <c r="AH619" s="140">
        <v>125</v>
      </c>
      <c r="AI619" s="141">
        <v>75</v>
      </c>
      <c r="AJ619" s="142">
        <v>30</v>
      </c>
      <c r="AK619" s="143">
        <v>75</v>
      </c>
      <c r="AL619" s="144">
        <v>85</v>
      </c>
      <c r="AM619" s="138">
        <v>465</v>
      </c>
      <c r="AN619" s="153">
        <v>77.5</v>
      </c>
      <c r="AW619" s="45"/>
      <c r="AX619" s="174" t="b">
        <f>IF('Refined Compare'!$D$2="All",TRUE,IF(F619='Refined Compare'!$D$2,TRUE,IF(G619='Refined Compare'!$D$2,TRUE,FALSE)))</f>
        <v>0</v>
      </c>
      <c r="AY619" s="174" t="b">
        <f>IF('Refined Compare'!$D$3="All",TRUE,IF(F619='Refined Compare'!$D$3,TRUE,IF(G619='Refined Compare'!$D$3,TRUE,FALSE)))</f>
        <v>1</v>
      </c>
      <c r="AZ619" s="174" t="b">
        <f t="shared" si="163"/>
        <v>0</v>
      </c>
    </row>
    <row r="620" spans="1:52" x14ac:dyDescent="0.35">
      <c r="A620">
        <f t="shared" si="164"/>
        <v>619</v>
      </c>
      <c r="B620" s="18">
        <v>540</v>
      </c>
      <c r="C620" s="61">
        <v>5</v>
      </c>
      <c r="D620" s="61" t="b">
        <v>0</v>
      </c>
      <c r="E620" s="61"/>
      <c r="F620" s="66" t="s">
        <v>811</v>
      </c>
      <c r="G620" s="66" t="s">
        <v>806</v>
      </c>
      <c r="H620" s="38" t="s">
        <v>160</v>
      </c>
      <c r="I620" s="39">
        <f t="shared" si="167"/>
        <v>45</v>
      </c>
      <c r="J620" s="40">
        <f t="shared" si="168"/>
        <v>53</v>
      </c>
      <c r="K620" s="41">
        <f t="shared" si="169"/>
        <v>70</v>
      </c>
      <c r="L620" s="42">
        <f t="shared" si="170"/>
        <v>40</v>
      </c>
      <c r="M620" s="43">
        <f t="shared" si="171"/>
        <v>60</v>
      </c>
      <c r="N620" s="44">
        <f t="shared" si="172"/>
        <v>42</v>
      </c>
      <c r="O620" s="45">
        <f t="shared" si="173"/>
        <v>310</v>
      </c>
      <c r="P620" s="19">
        <f t="shared" si="174"/>
        <v>51.67</v>
      </c>
      <c r="Q620" s="177">
        <v>45</v>
      </c>
      <c r="R620" s="40">
        <v>53</v>
      </c>
      <c r="S620" s="41">
        <v>70</v>
      </c>
      <c r="T620" s="42">
        <v>40</v>
      </c>
      <c r="U620" s="43">
        <v>60</v>
      </c>
      <c r="V620" s="44">
        <v>42</v>
      </c>
      <c r="W620" s="45">
        <f t="shared" si="165"/>
        <v>310</v>
      </c>
      <c r="X620" s="19">
        <f t="shared" si="166"/>
        <v>51.67</v>
      </c>
      <c r="Y620" s="3">
        <v>45</v>
      </c>
      <c r="Z620" s="4">
        <v>53</v>
      </c>
      <c r="AA620" s="5">
        <v>70</v>
      </c>
      <c r="AB620" s="6">
        <v>40</v>
      </c>
      <c r="AC620" s="7">
        <v>60</v>
      </c>
      <c r="AD620" s="8">
        <v>42</v>
      </c>
      <c r="AE620" s="1">
        <v>310</v>
      </c>
      <c r="AF620" s="19">
        <v>51.67</v>
      </c>
      <c r="AG620" s="139">
        <v>45</v>
      </c>
      <c r="AH620" s="140">
        <v>53</v>
      </c>
      <c r="AI620" s="141">
        <v>70</v>
      </c>
      <c r="AJ620" s="142">
        <v>40</v>
      </c>
      <c r="AK620" s="143">
        <v>60</v>
      </c>
      <c r="AL620" s="144">
        <v>42</v>
      </c>
      <c r="AM620" s="138">
        <v>310</v>
      </c>
      <c r="AN620" s="153">
        <v>51.67</v>
      </c>
      <c r="AW620" s="45"/>
      <c r="AX620" s="174" t="b">
        <f>IF('Refined Compare'!$D$2="All",TRUE,IF(F620='Refined Compare'!$D$2,TRUE,IF(G620='Refined Compare'!$D$2,TRUE,FALSE)))</f>
        <v>0</v>
      </c>
      <c r="AY620" s="174" t="b">
        <f>IF('Refined Compare'!$D$3="All",TRUE,IF(F620='Refined Compare'!$D$3,TRUE,IF(G620='Refined Compare'!$D$3,TRUE,FALSE)))</f>
        <v>0</v>
      </c>
      <c r="AZ620" s="174" t="b">
        <f t="shared" si="163"/>
        <v>0</v>
      </c>
    </row>
    <row r="621" spans="1:52" x14ac:dyDescent="0.35">
      <c r="A621">
        <f t="shared" si="164"/>
        <v>620</v>
      </c>
      <c r="B621" s="18">
        <v>541</v>
      </c>
      <c r="C621" s="61">
        <v>5</v>
      </c>
      <c r="D621" s="61" t="b">
        <v>0</v>
      </c>
      <c r="E621" s="61"/>
      <c r="F621" s="66" t="s">
        <v>811</v>
      </c>
      <c r="G621" s="66" t="s">
        <v>806</v>
      </c>
      <c r="H621" s="38" t="s">
        <v>161</v>
      </c>
      <c r="I621" s="39">
        <f t="shared" si="167"/>
        <v>55</v>
      </c>
      <c r="J621" s="40">
        <f t="shared" si="168"/>
        <v>63</v>
      </c>
      <c r="K621" s="41">
        <f t="shared" si="169"/>
        <v>90</v>
      </c>
      <c r="L621" s="42">
        <f t="shared" si="170"/>
        <v>50</v>
      </c>
      <c r="M621" s="43">
        <f t="shared" si="171"/>
        <v>80</v>
      </c>
      <c r="N621" s="44">
        <f t="shared" si="172"/>
        <v>42</v>
      </c>
      <c r="O621" s="45">
        <f t="shared" si="173"/>
        <v>380</v>
      </c>
      <c r="P621" s="19">
        <f t="shared" si="174"/>
        <v>63.33</v>
      </c>
      <c r="Q621" s="177">
        <v>55</v>
      </c>
      <c r="R621" s="40">
        <v>63</v>
      </c>
      <c r="S621" s="41">
        <v>90</v>
      </c>
      <c r="T621" s="42">
        <v>50</v>
      </c>
      <c r="U621" s="43">
        <v>80</v>
      </c>
      <c r="V621" s="44">
        <v>42</v>
      </c>
      <c r="W621" s="45">
        <f t="shared" si="165"/>
        <v>380</v>
      </c>
      <c r="X621" s="19">
        <f t="shared" si="166"/>
        <v>63.33</v>
      </c>
      <c r="Y621" s="3">
        <v>55</v>
      </c>
      <c r="Z621" s="4">
        <v>63</v>
      </c>
      <c r="AA621" s="5">
        <v>90</v>
      </c>
      <c r="AB621" s="6">
        <v>50</v>
      </c>
      <c r="AC621" s="7">
        <v>80</v>
      </c>
      <c r="AD621" s="8">
        <v>42</v>
      </c>
      <c r="AE621" s="1">
        <v>380</v>
      </c>
      <c r="AF621" s="19">
        <v>63.33</v>
      </c>
      <c r="AG621" s="139">
        <v>55</v>
      </c>
      <c r="AH621" s="140">
        <v>63</v>
      </c>
      <c r="AI621" s="141">
        <v>90</v>
      </c>
      <c r="AJ621" s="142">
        <v>50</v>
      </c>
      <c r="AK621" s="143">
        <v>80</v>
      </c>
      <c r="AL621" s="144">
        <v>42</v>
      </c>
      <c r="AM621" s="138">
        <v>380</v>
      </c>
      <c r="AN621" s="153">
        <v>63.33</v>
      </c>
      <c r="AW621" s="45"/>
      <c r="AX621" s="174" t="b">
        <f>IF('Refined Compare'!$D$2="All",TRUE,IF(F621='Refined Compare'!$D$2,TRUE,IF(G621='Refined Compare'!$D$2,TRUE,FALSE)))</f>
        <v>0</v>
      </c>
      <c r="AY621" s="174" t="b">
        <f>IF('Refined Compare'!$D$3="All",TRUE,IF(F621='Refined Compare'!$D$3,TRUE,IF(G621='Refined Compare'!$D$3,TRUE,FALSE)))</f>
        <v>0</v>
      </c>
      <c r="AZ621" s="174" t="b">
        <f t="shared" si="163"/>
        <v>0</v>
      </c>
    </row>
    <row r="622" spans="1:52" x14ac:dyDescent="0.35">
      <c r="A622">
        <f t="shared" si="164"/>
        <v>621</v>
      </c>
      <c r="B622" s="18">
        <v>542</v>
      </c>
      <c r="C622" s="61">
        <v>5</v>
      </c>
      <c r="D622" s="118" t="b">
        <v>1</v>
      </c>
      <c r="E622" s="61"/>
      <c r="F622" s="66" t="s">
        <v>811</v>
      </c>
      <c r="G622" s="66" t="s">
        <v>806</v>
      </c>
      <c r="H622" s="38" t="s">
        <v>611</v>
      </c>
      <c r="I622" s="39">
        <f t="shared" si="167"/>
        <v>75</v>
      </c>
      <c r="J622" s="40">
        <f t="shared" si="168"/>
        <v>103</v>
      </c>
      <c r="K622" s="41">
        <f t="shared" si="169"/>
        <v>80</v>
      </c>
      <c r="L622" s="42">
        <f t="shared" si="170"/>
        <v>70</v>
      </c>
      <c r="M622" s="43">
        <f t="shared" si="171"/>
        <v>70</v>
      </c>
      <c r="N622" s="44">
        <f t="shared" si="172"/>
        <v>92</v>
      </c>
      <c r="O622" s="45">
        <f t="shared" si="173"/>
        <v>490</v>
      </c>
      <c r="P622" s="19">
        <f t="shared" si="174"/>
        <v>81.67</v>
      </c>
      <c r="Q622" s="177">
        <v>75</v>
      </c>
      <c r="R622" s="40">
        <v>103</v>
      </c>
      <c r="S622" s="41">
        <v>80</v>
      </c>
      <c r="T622" s="42">
        <v>70</v>
      </c>
      <c r="U622" s="43">
        <v>80</v>
      </c>
      <c r="V622" s="44">
        <v>92</v>
      </c>
      <c r="W622" s="45">
        <f t="shared" si="165"/>
        <v>500</v>
      </c>
      <c r="X622" s="19">
        <f t="shared" si="166"/>
        <v>83.33</v>
      </c>
      <c r="Y622" s="3">
        <v>75</v>
      </c>
      <c r="Z622" s="4">
        <v>103</v>
      </c>
      <c r="AA622" s="5">
        <v>80</v>
      </c>
      <c r="AB622" s="6">
        <v>70</v>
      </c>
      <c r="AC622" s="7">
        <v>80</v>
      </c>
      <c r="AD622" s="8">
        <v>92</v>
      </c>
      <c r="AE622" s="1">
        <v>500</v>
      </c>
      <c r="AF622" s="19">
        <v>83.33</v>
      </c>
      <c r="AG622" s="139">
        <v>75</v>
      </c>
      <c r="AH622" s="140">
        <v>103</v>
      </c>
      <c r="AI622" s="141">
        <v>80</v>
      </c>
      <c r="AJ622" s="142">
        <v>70</v>
      </c>
      <c r="AK622" s="143">
        <v>70</v>
      </c>
      <c r="AL622" s="144">
        <v>92</v>
      </c>
      <c r="AM622" s="138">
        <v>490</v>
      </c>
      <c r="AN622" s="153">
        <v>81.67</v>
      </c>
      <c r="AW622" s="45"/>
      <c r="AX622" s="174" t="b">
        <f>IF('Refined Compare'!$D$2="All",TRUE,IF(F622='Refined Compare'!$D$2,TRUE,IF(G622='Refined Compare'!$D$2,TRUE,FALSE)))</f>
        <v>0</v>
      </c>
      <c r="AY622" s="174" t="b">
        <f>IF('Refined Compare'!$D$3="All",TRUE,IF(F622='Refined Compare'!$D$3,TRUE,IF(G622='Refined Compare'!$D$3,TRUE,FALSE)))</f>
        <v>0</v>
      </c>
      <c r="AZ622" s="174" t="b">
        <f t="shared" si="163"/>
        <v>0</v>
      </c>
    </row>
    <row r="623" spans="1:52" x14ac:dyDescent="0.35">
      <c r="A623">
        <f t="shared" si="164"/>
        <v>622</v>
      </c>
      <c r="B623" s="18">
        <v>543</v>
      </c>
      <c r="C623" s="61">
        <v>5</v>
      </c>
      <c r="D623" s="61" t="b">
        <v>0</v>
      </c>
      <c r="E623" s="61"/>
      <c r="F623" s="66" t="s">
        <v>811</v>
      </c>
      <c r="G623" s="66" t="s">
        <v>807</v>
      </c>
      <c r="H623" s="38" t="s">
        <v>298</v>
      </c>
      <c r="I623" s="39">
        <f t="shared" si="167"/>
        <v>30</v>
      </c>
      <c r="J623" s="40">
        <f t="shared" si="168"/>
        <v>45</v>
      </c>
      <c r="K623" s="41">
        <f t="shared" si="169"/>
        <v>59</v>
      </c>
      <c r="L623" s="42">
        <f t="shared" si="170"/>
        <v>30</v>
      </c>
      <c r="M623" s="43">
        <f t="shared" si="171"/>
        <v>39</v>
      </c>
      <c r="N623" s="44">
        <f t="shared" si="172"/>
        <v>57</v>
      </c>
      <c r="O623" s="45">
        <f t="shared" si="173"/>
        <v>260</v>
      </c>
      <c r="P623" s="19">
        <f t="shared" si="174"/>
        <v>43.33</v>
      </c>
      <c r="Q623" s="177">
        <v>30</v>
      </c>
      <c r="R623" s="40">
        <v>45</v>
      </c>
      <c r="S623" s="41">
        <v>59</v>
      </c>
      <c r="T623" s="42">
        <v>30</v>
      </c>
      <c r="U623" s="43">
        <v>39</v>
      </c>
      <c r="V623" s="44">
        <v>57</v>
      </c>
      <c r="W623" s="45">
        <f t="shared" si="165"/>
        <v>260</v>
      </c>
      <c r="X623" s="19">
        <f t="shared" si="166"/>
        <v>43.33</v>
      </c>
      <c r="Y623" s="3">
        <v>30</v>
      </c>
      <c r="Z623" s="4">
        <v>45</v>
      </c>
      <c r="AA623" s="5">
        <v>59</v>
      </c>
      <c r="AB623" s="6">
        <v>30</v>
      </c>
      <c r="AC623" s="7">
        <v>39</v>
      </c>
      <c r="AD623" s="8">
        <v>57</v>
      </c>
      <c r="AE623" s="1">
        <v>260</v>
      </c>
      <c r="AF623" s="19">
        <v>43.33</v>
      </c>
      <c r="AG623" s="139">
        <v>30</v>
      </c>
      <c r="AH623" s="140">
        <v>45</v>
      </c>
      <c r="AI623" s="141">
        <v>59</v>
      </c>
      <c r="AJ623" s="142">
        <v>30</v>
      </c>
      <c r="AK623" s="143">
        <v>39</v>
      </c>
      <c r="AL623" s="144">
        <v>57</v>
      </c>
      <c r="AM623" s="138">
        <v>260</v>
      </c>
      <c r="AN623" s="153">
        <v>43.33</v>
      </c>
      <c r="AW623" s="45"/>
      <c r="AX623" s="174" t="b">
        <f>IF('Refined Compare'!$D$2="All",TRUE,IF(F623='Refined Compare'!$D$2,TRUE,IF(G623='Refined Compare'!$D$2,TRUE,FALSE)))</f>
        <v>0</v>
      </c>
      <c r="AY623" s="174" t="b">
        <f>IF('Refined Compare'!$D$3="All",TRUE,IF(F623='Refined Compare'!$D$3,TRUE,IF(G623='Refined Compare'!$D$3,TRUE,FALSE)))</f>
        <v>0</v>
      </c>
      <c r="AZ623" s="174" t="b">
        <f t="shared" si="163"/>
        <v>0</v>
      </c>
    </row>
    <row r="624" spans="1:52" x14ac:dyDescent="0.35">
      <c r="A624">
        <f t="shared" si="164"/>
        <v>623</v>
      </c>
      <c r="B624" s="18">
        <v>544</v>
      </c>
      <c r="C624" s="61">
        <v>5</v>
      </c>
      <c r="D624" s="61" t="b">
        <v>0</v>
      </c>
      <c r="E624" s="61"/>
      <c r="F624" s="66" t="s">
        <v>811</v>
      </c>
      <c r="G624" s="66" t="s">
        <v>807</v>
      </c>
      <c r="H624" s="38" t="s">
        <v>203</v>
      </c>
      <c r="I624" s="39">
        <f t="shared" si="167"/>
        <v>40</v>
      </c>
      <c r="J624" s="40">
        <f t="shared" si="168"/>
        <v>55</v>
      </c>
      <c r="K624" s="41">
        <f t="shared" si="169"/>
        <v>99</v>
      </c>
      <c r="L624" s="42">
        <f t="shared" si="170"/>
        <v>40</v>
      </c>
      <c r="M624" s="43">
        <f t="shared" si="171"/>
        <v>79</v>
      </c>
      <c r="N624" s="44">
        <f t="shared" si="172"/>
        <v>47</v>
      </c>
      <c r="O624" s="45">
        <f t="shared" si="173"/>
        <v>360</v>
      </c>
      <c r="P624" s="19">
        <f t="shared" si="174"/>
        <v>60</v>
      </c>
      <c r="Q624" s="177">
        <v>40</v>
      </c>
      <c r="R624" s="40">
        <v>55</v>
      </c>
      <c r="S624" s="41">
        <v>99</v>
      </c>
      <c r="T624" s="42">
        <v>40</v>
      </c>
      <c r="U624" s="43">
        <v>79</v>
      </c>
      <c r="V624" s="44">
        <v>47</v>
      </c>
      <c r="W624" s="45">
        <f t="shared" si="165"/>
        <v>360</v>
      </c>
      <c r="X624" s="19">
        <f t="shared" si="166"/>
        <v>60</v>
      </c>
      <c r="Y624" s="3">
        <v>40</v>
      </c>
      <c r="Z624" s="4">
        <v>55</v>
      </c>
      <c r="AA624" s="5">
        <v>99</v>
      </c>
      <c r="AB624" s="6">
        <v>40</v>
      </c>
      <c r="AC624" s="7">
        <v>79</v>
      </c>
      <c r="AD624" s="8">
        <v>47</v>
      </c>
      <c r="AE624" s="1">
        <v>360</v>
      </c>
      <c r="AF624" s="19">
        <v>60</v>
      </c>
      <c r="AG624" s="139">
        <v>40</v>
      </c>
      <c r="AH624" s="140">
        <v>55</v>
      </c>
      <c r="AI624" s="141">
        <v>99</v>
      </c>
      <c r="AJ624" s="142">
        <v>40</v>
      </c>
      <c r="AK624" s="143">
        <v>79</v>
      </c>
      <c r="AL624" s="144">
        <v>47</v>
      </c>
      <c r="AM624" s="138">
        <v>360</v>
      </c>
      <c r="AN624" s="153">
        <v>60</v>
      </c>
      <c r="AW624" s="45"/>
      <c r="AX624" s="174" t="b">
        <f>IF('Refined Compare'!$D$2="All",TRUE,IF(F624='Refined Compare'!$D$2,TRUE,IF(G624='Refined Compare'!$D$2,TRUE,FALSE)))</f>
        <v>0</v>
      </c>
      <c r="AY624" s="174" t="b">
        <f>IF('Refined Compare'!$D$3="All",TRUE,IF(F624='Refined Compare'!$D$3,TRUE,IF(G624='Refined Compare'!$D$3,TRUE,FALSE)))</f>
        <v>0</v>
      </c>
      <c r="AZ624" s="174" t="b">
        <f t="shared" si="163"/>
        <v>0</v>
      </c>
    </row>
    <row r="625" spans="1:52" x14ac:dyDescent="0.35">
      <c r="A625">
        <f t="shared" si="164"/>
        <v>624</v>
      </c>
      <c r="B625" s="18">
        <v>545</v>
      </c>
      <c r="C625" s="61">
        <v>5</v>
      </c>
      <c r="D625" s="118" t="b">
        <v>1</v>
      </c>
      <c r="E625" s="61"/>
      <c r="F625" s="66" t="s">
        <v>811</v>
      </c>
      <c r="G625" s="66" t="s">
        <v>807</v>
      </c>
      <c r="H625" s="38" t="s">
        <v>732</v>
      </c>
      <c r="I625" s="39">
        <f t="shared" si="167"/>
        <v>60</v>
      </c>
      <c r="J625" s="40">
        <f t="shared" si="168"/>
        <v>90</v>
      </c>
      <c r="K625" s="41">
        <f t="shared" si="169"/>
        <v>89</v>
      </c>
      <c r="L625" s="42">
        <f t="shared" si="170"/>
        <v>55</v>
      </c>
      <c r="M625" s="43">
        <f t="shared" si="171"/>
        <v>69</v>
      </c>
      <c r="N625" s="44">
        <f t="shared" si="172"/>
        <v>112</v>
      </c>
      <c r="O625" s="45">
        <f t="shared" si="173"/>
        <v>475</v>
      </c>
      <c r="P625" s="19">
        <f t="shared" si="174"/>
        <v>79.17</v>
      </c>
      <c r="Q625" s="177">
        <v>60</v>
      </c>
      <c r="R625" s="40">
        <v>100</v>
      </c>
      <c r="S625" s="41">
        <v>89</v>
      </c>
      <c r="T625" s="42">
        <v>55</v>
      </c>
      <c r="U625" s="43">
        <v>69</v>
      </c>
      <c r="V625" s="44">
        <v>112</v>
      </c>
      <c r="W625" s="45">
        <f t="shared" si="165"/>
        <v>485</v>
      </c>
      <c r="X625" s="19">
        <f t="shared" si="166"/>
        <v>80.83</v>
      </c>
      <c r="Y625" s="3">
        <v>60</v>
      </c>
      <c r="Z625" s="4">
        <v>100</v>
      </c>
      <c r="AA625" s="5">
        <v>89</v>
      </c>
      <c r="AB625" s="6">
        <v>55</v>
      </c>
      <c r="AC625" s="7">
        <v>69</v>
      </c>
      <c r="AD625" s="8">
        <v>112</v>
      </c>
      <c r="AE625" s="1">
        <v>485</v>
      </c>
      <c r="AF625" s="19">
        <v>80.83</v>
      </c>
      <c r="AG625" s="139">
        <v>60</v>
      </c>
      <c r="AH625" s="140">
        <v>90</v>
      </c>
      <c r="AI625" s="141">
        <v>89</v>
      </c>
      <c r="AJ625" s="142">
        <v>55</v>
      </c>
      <c r="AK625" s="143">
        <v>69</v>
      </c>
      <c r="AL625" s="144">
        <v>112</v>
      </c>
      <c r="AM625" s="138">
        <v>475</v>
      </c>
      <c r="AN625" s="153">
        <v>79.17</v>
      </c>
      <c r="AW625" s="45"/>
      <c r="AX625" s="174" t="b">
        <f>IF('Refined Compare'!$D$2="All",TRUE,IF(F625='Refined Compare'!$D$2,TRUE,IF(G625='Refined Compare'!$D$2,TRUE,FALSE)))</f>
        <v>0</v>
      </c>
      <c r="AY625" s="174" t="b">
        <f>IF('Refined Compare'!$D$3="All",TRUE,IF(F625='Refined Compare'!$D$3,TRUE,IF(G625='Refined Compare'!$D$3,TRUE,FALSE)))</f>
        <v>0</v>
      </c>
      <c r="AZ625" s="174" t="b">
        <f t="shared" si="163"/>
        <v>0</v>
      </c>
    </row>
    <row r="626" spans="1:52" x14ac:dyDescent="0.35">
      <c r="A626">
        <f t="shared" si="164"/>
        <v>625</v>
      </c>
      <c r="B626" s="18">
        <v>546</v>
      </c>
      <c r="C626" s="61">
        <v>5</v>
      </c>
      <c r="D626" s="61" t="b">
        <v>0</v>
      </c>
      <c r="E626" s="61"/>
      <c r="F626" s="66" t="s">
        <v>806</v>
      </c>
      <c r="G626" s="66" t="str">
        <f>IF($AW$2&lt;6,"Single type","Fairy")</f>
        <v>Single type</v>
      </c>
      <c r="H626" s="38" t="s">
        <v>405</v>
      </c>
      <c r="I626" s="39">
        <f t="shared" si="167"/>
        <v>40</v>
      </c>
      <c r="J626" s="40">
        <f t="shared" si="168"/>
        <v>27</v>
      </c>
      <c r="K626" s="41">
        <f t="shared" si="169"/>
        <v>60</v>
      </c>
      <c r="L626" s="42">
        <f t="shared" si="170"/>
        <v>37</v>
      </c>
      <c r="M626" s="43">
        <f t="shared" si="171"/>
        <v>50</v>
      </c>
      <c r="N626" s="44">
        <f t="shared" si="172"/>
        <v>66</v>
      </c>
      <c r="O626" s="45">
        <f t="shared" si="173"/>
        <v>280</v>
      </c>
      <c r="P626" s="19">
        <f t="shared" si="174"/>
        <v>46.67</v>
      </c>
      <c r="Q626" s="177">
        <v>40</v>
      </c>
      <c r="R626" s="40">
        <v>27</v>
      </c>
      <c r="S626" s="41">
        <v>60</v>
      </c>
      <c r="T626" s="42">
        <v>37</v>
      </c>
      <c r="U626" s="43">
        <v>50</v>
      </c>
      <c r="V626" s="44">
        <v>66</v>
      </c>
      <c r="W626" s="45">
        <f t="shared" si="165"/>
        <v>280</v>
      </c>
      <c r="X626" s="19">
        <f t="shared" si="166"/>
        <v>46.67</v>
      </c>
      <c r="Y626" s="3">
        <v>40</v>
      </c>
      <c r="Z626" s="4">
        <v>27</v>
      </c>
      <c r="AA626" s="5">
        <v>60</v>
      </c>
      <c r="AB626" s="6">
        <v>37</v>
      </c>
      <c r="AC626" s="7">
        <v>50</v>
      </c>
      <c r="AD626" s="8">
        <v>66</v>
      </c>
      <c r="AE626" s="1">
        <v>280</v>
      </c>
      <c r="AF626" s="19">
        <v>46.67</v>
      </c>
      <c r="AG626" s="139">
        <v>40</v>
      </c>
      <c r="AH626" s="140">
        <v>27</v>
      </c>
      <c r="AI626" s="141">
        <v>60</v>
      </c>
      <c r="AJ626" s="142">
        <v>37</v>
      </c>
      <c r="AK626" s="143">
        <v>50</v>
      </c>
      <c r="AL626" s="144">
        <v>66</v>
      </c>
      <c r="AM626" s="138">
        <v>280</v>
      </c>
      <c r="AN626" s="153">
        <v>46.67</v>
      </c>
      <c r="AW626" s="45"/>
      <c r="AX626" s="174" t="b">
        <f>IF('Refined Compare'!$D$2="All",TRUE,IF(F626='Refined Compare'!$D$2,TRUE,IF(G626='Refined Compare'!$D$2,TRUE,FALSE)))</f>
        <v>0</v>
      </c>
      <c r="AY626" s="174" t="b">
        <f>IF('Refined Compare'!$D$3="All",TRUE,IF(F626='Refined Compare'!$D$3,TRUE,IF(G626='Refined Compare'!$D$3,TRUE,FALSE)))</f>
        <v>1</v>
      </c>
      <c r="AZ626" s="174" t="b">
        <f t="shared" si="163"/>
        <v>0</v>
      </c>
    </row>
    <row r="627" spans="1:52" x14ac:dyDescent="0.35">
      <c r="A627">
        <f t="shared" si="164"/>
        <v>626</v>
      </c>
      <c r="B627" s="18">
        <v>547</v>
      </c>
      <c r="C627" s="61">
        <v>5</v>
      </c>
      <c r="D627" s="118" t="b">
        <v>1</v>
      </c>
      <c r="E627" s="61"/>
      <c r="F627" s="66" t="s">
        <v>806</v>
      </c>
      <c r="G627" s="66" t="str">
        <f>IF($AW$2&lt;6,"Single type","Fairy")</f>
        <v>Single type</v>
      </c>
      <c r="H627" s="38" t="s">
        <v>747</v>
      </c>
      <c r="I627" s="39">
        <f t="shared" si="167"/>
        <v>60</v>
      </c>
      <c r="J627" s="40">
        <f t="shared" si="168"/>
        <v>67</v>
      </c>
      <c r="K627" s="41">
        <f t="shared" si="169"/>
        <v>85</v>
      </c>
      <c r="L627" s="42">
        <f t="shared" si="170"/>
        <v>77</v>
      </c>
      <c r="M627" s="43">
        <f t="shared" si="171"/>
        <v>75</v>
      </c>
      <c r="N627" s="44">
        <f t="shared" si="172"/>
        <v>116</v>
      </c>
      <c r="O627" s="45">
        <f t="shared" si="173"/>
        <v>480</v>
      </c>
      <c r="P627" s="19">
        <f t="shared" si="174"/>
        <v>80</v>
      </c>
      <c r="Q627" s="177">
        <v>60</v>
      </c>
      <c r="R627" s="40">
        <v>67</v>
      </c>
      <c r="S627" s="41">
        <v>85</v>
      </c>
      <c r="T627" s="42">
        <v>77</v>
      </c>
      <c r="U627" s="43">
        <v>75</v>
      </c>
      <c r="V627" s="44">
        <v>116</v>
      </c>
      <c r="W627" s="45">
        <f t="shared" si="165"/>
        <v>480</v>
      </c>
      <c r="X627" s="19">
        <f t="shared" si="166"/>
        <v>80</v>
      </c>
      <c r="Y627" s="3">
        <v>60</v>
      </c>
      <c r="Z627" s="4">
        <v>67</v>
      </c>
      <c r="AA627" s="5">
        <v>85</v>
      </c>
      <c r="AB627" s="6">
        <v>77</v>
      </c>
      <c r="AC627" s="7">
        <v>75</v>
      </c>
      <c r="AD627" s="8">
        <v>116</v>
      </c>
      <c r="AE627" s="1">
        <v>480</v>
      </c>
      <c r="AF627" s="19">
        <v>80</v>
      </c>
      <c r="AG627" s="139">
        <v>60</v>
      </c>
      <c r="AH627" s="140">
        <v>67</v>
      </c>
      <c r="AI627" s="141">
        <v>85</v>
      </c>
      <c r="AJ627" s="142">
        <v>77</v>
      </c>
      <c r="AK627" s="143">
        <v>75</v>
      </c>
      <c r="AL627" s="144">
        <v>116</v>
      </c>
      <c r="AM627" s="138">
        <v>480</v>
      </c>
      <c r="AN627" s="153">
        <v>80</v>
      </c>
      <c r="AW627" s="45"/>
      <c r="AX627" s="174" t="b">
        <f>IF('Refined Compare'!$D$2="All",TRUE,IF(F627='Refined Compare'!$D$2,TRUE,IF(G627='Refined Compare'!$D$2,TRUE,FALSE)))</f>
        <v>0</v>
      </c>
      <c r="AY627" s="174" t="b">
        <f>IF('Refined Compare'!$D$3="All",TRUE,IF(F627='Refined Compare'!$D$3,TRUE,IF(G627='Refined Compare'!$D$3,TRUE,FALSE)))</f>
        <v>1</v>
      </c>
      <c r="AZ627" s="174" t="b">
        <f t="shared" si="163"/>
        <v>0</v>
      </c>
    </row>
    <row r="628" spans="1:52" x14ac:dyDescent="0.35">
      <c r="A628">
        <f t="shared" si="164"/>
        <v>627</v>
      </c>
      <c r="B628" s="18">
        <v>548</v>
      </c>
      <c r="C628" s="61">
        <v>5</v>
      </c>
      <c r="D628" s="61" t="b">
        <v>0</v>
      </c>
      <c r="E628" s="61"/>
      <c r="F628" s="66" t="s">
        <v>806</v>
      </c>
      <c r="G628" s="66" t="s">
        <v>827</v>
      </c>
      <c r="H628" s="38" t="s">
        <v>77</v>
      </c>
      <c r="I628" s="39">
        <f t="shared" si="167"/>
        <v>45</v>
      </c>
      <c r="J628" s="40">
        <f t="shared" si="168"/>
        <v>35</v>
      </c>
      <c r="K628" s="41">
        <f t="shared" si="169"/>
        <v>50</v>
      </c>
      <c r="L628" s="42">
        <f t="shared" si="170"/>
        <v>70</v>
      </c>
      <c r="M628" s="43">
        <f t="shared" si="171"/>
        <v>50</v>
      </c>
      <c r="N628" s="44">
        <f t="shared" si="172"/>
        <v>30</v>
      </c>
      <c r="O628" s="45">
        <f t="shared" si="173"/>
        <v>280</v>
      </c>
      <c r="P628" s="19">
        <f t="shared" si="174"/>
        <v>46.67</v>
      </c>
      <c r="Q628" s="177">
        <v>45</v>
      </c>
      <c r="R628" s="40">
        <v>35</v>
      </c>
      <c r="S628" s="41">
        <v>50</v>
      </c>
      <c r="T628" s="42">
        <v>70</v>
      </c>
      <c r="U628" s="43">
        <v>50</v>
      </c>
      <c r="V628" s="44">
        <v>30</v>
      </c>
      <c r="W628" s="45">
        <f t="shared" si="165"/>
        <v>280</v>
      </c>
      <c r="X628" s="19">
        <f t="shared" si="166"/>
        <v>46.67</v>
      </c>
      <c r="Y628" s="3">
        <v>45</v>
      </c>
      <c r="Z628" s="4">
        <v>35</v>
      </c>
      <c r="AA628" s="5">
        <v>50</v>
      </c>
      <c r="AB628" s="6">
        <v>70</v>
      </c>
      <c r="AC628" s="7">
        <v>50</v>
      </c>
      <c r="AD628" s="8">
        <v>30</v>
      </c>
      <c r="AE628" s="1">
        <v>280</v>
      </c>
      <c r="AF628" s="19">
        <v>46.67</v>
      </c>
      <c r="AG628" s="139">
        <v>45</v>
      </c>
      <c r="AH628" s="140">
        <v>35</v>
      </c>
      <c r="AI628" s="141">
        <v>50</v>
      </c>
      <c r="AJ628" s="142">
        <v>70</v>
      </c>
      <c r="AK628" s="143">
        <v>50</v>
      </c>
      <c r="AL628" s="144">
        <v>30</v>
      </c>
      <c r="AM628" s="138">
        <v>280</v>
      </c>
      <c r="AN628" s="153">
        <v>46.67</v>
      </c>
      <c r="AW628" s="45"/>
      <c r="AX628" s="174" t="b">
        <f>IF('Refined Compare'!$D$2="All",TRUE,IF(F628='Refined Compare'!$D$2,TRUE,IF(G628='Refined Compare'!$D$2,TRUE,FALSE)))</f>
        <v>0</v>
      </c>
      <c r="AY628" s="174" t="b">
        <f>IF('Refined Compare'!$D$3="All",TRUE,IF(F628='Refined Compare'!$D$3,TRUE,IF(G628='Refined Compare'!$D$3,TRUE,FALSE)))</f>
        <v>1</v>
      </c>
      <c r="AZ628" s="174" t="b">
        <f t="shared" si="163"/>
        <v>0</v>
      </c>
    </row>
    <row r="629" spans="1:52" x14ac:dyDescent="0.35">
      <c r="A629">
        <f t="shared" si="164"/>
        <v>628</v>
      </c>
      <c r="B629" s="18">
        <v>549</v>
      </c>
      <c r="C629" s="61">
        <v>5</v>
      </c>
      <c r="D629" s="118" t="b">
        <v>1</v>
      </c>
      <c r="E629" s="61"/>
      <c r="F629" s="66" t="s">
        <v>806</v>
      </c>
      <c r="G629" s="66" t="s">
        <v>827</v>
      </c>
      <c r="H629" s="38" t="s">
        <v>600</v>
      </c>
      <c r="I629" s="39">
        <f t="shared" si="167"/>
        <v>70</v>
      </c>
      <c r="J629" s="40">
        <f t="shared" si="168"/>
        <v>60</v>
      </c>
      <c r="K629" s="41">
        <f t="shared" si="169"/>
        <v>75</v>
      </c>
      <c r="L629" s="42">
        <f t="shared" si="170"/>
        <v>110</v>
      </c>
      <c r="M629" s="43">
        <f t="shared" si="171"/>
        <v>75</v>
      </c>
      <c r="N629" s="44">
        <f t="shared" si="172"/>
        <v>90</v>
      </c>
      <c r="O629" s="45">
        <f t="shared" si="173"/>
        <v>480</v>
      </c>
      <c r="P629" s="19">
        <f t="shared" si="174"/>
        <v>80</v>
      </c>
      <c r="Q629" s="177">
        <v>70</v>
      </c>
      <c r="R629" s="40">
        <v>60</v>
      </c>
      <c r="S629" s="41">
        <v>75</v>
      </c>
      <c r="T629" s="42">
        <v>110</v>
      </c>
      <c r="U629" s="43">
        <v>75</v>
      </c>
      <c r="V629" s="44">
        <v>90</v>
      </c>
      <c r="W629" s="45">
        <f t="shared" si="165"/>
        <v>480</v>
      </c>
      <c r="X629" s="19">
        <f t="shared" si="166"/>
        <v>80</v>
      </c>
      <c r="Y629" s="3">
        <v>70</v>
      </c>
      <c r="Z629" s="4">
        <v>60</v>
      </c>
      <c r="AA629" s="5">
        <v>75</v>
      </c>
      <c r="AB629" s="6">
        <v>110</v>
      </c>
      <c r="AC629" s="7">
        <v>75</v>
      </c>
      <c r="AD629" s="8">
        <v>90</v>
      </c>
      <c r="AE629" s="1">
        <v>480</v>
      </c>
      <c r="AF629" s="19">
        <v>80</v>
      </c>
      <c r="AG629" s="139">
        <v>70</v>
      </c>
      <c r="AH629" s="140">
        <v>60</v>
      </c>
      <c r="AI629" s="141">
        <v>75</v>
      </c>
      <c r="AJ629" s="142">
        <v>110</v>
      </c>
      <c r="AK629" s="143">
        <v>75</v>
      </c>
      <c r="AL629" s="144">
        <v>90</v>
      </c>
      <c r="AM629" s="138">
        <v>480</v>
      </c>
      <c r="AN629" s="153">
        <v>80</v>
      </c>
      <c r="AW629" s="45"/>
      <c r="AX629" s="174" t="b">
        <f>IF('Refined Compare'!$D$2="All",TRUE,IF(F629='Refined Compare'!$D$2,TRUE,IF(G629='Refined Compare'!$D$2,TRUE,FALSE)))</f>
        <v>0</v>
      </c>
      <c r="AY629" s="174" t="b">
        <f>IF('Refined Compare'!$D$3="All",TRUE,IF(F629='Refined Compare'!$D$3,TRUE,IF(G629='Refined Compare'!$D$3,TRUE,FALSE)))</f>
        <v>1</v>
      </c>
      <c r="AZ629" s="174" t="b">
        <f t="shared" si="163"/>
        <v>0</v>
      </c>
    </row>
    <row r="630" spans="1:52" x14ac:dyDescent="0.35">
      <c r="A630">
        <f t="shared" si="164"/>
        <v>629</v>
      </c>
      <c r="B630" s="18">
        <v>550</v>
      </c>
      <c r="C630" s="61">
        <v>5</v>
      </c>
      <c r="D630" s="61" t="b">
        <v>0</v>
      </c>
      <c r="E630" s="61"/>
      <c r="F630" s="66" t="s">
        <v>810</v>
      </c>
      <c r="G630" s="66" t="s">
        <v>827</v>
      </c>
      <c r="H630" s="38" t="s">
        <v>646</v>
      </c>
      <c r="I630" s="39">
        <f t="shared" si="167"/>
        <v>70</v>
      </c>
      <c r="J630" s="40">
        <f t="shared" si="168"/>
        <v>92</v>
      </c>
      <c r="K630" s="41">
        <f t="shared" si="169"/>
        <v>65</v>
      </c>
      <c r="L630" s="42">
        <f t="shared" si="170"/>
        <v>80</v>
      </c>
      <c r="M630" s="43">
        <f t="shared" si="171"/>
        <v>55</v>
      </c>
      <c r="N630" s="44">
        <f t="shared" si="172"/>
        <v>98</v>
      </c>
      <c r="O630" s="45">
        <f t="shared" si="173"/>
        <v>460</v>
      </c>
      <c r="P630" s="19">
        <f t="shared" si="174"/>
        <v>76.67</v>
      </c>
      <c r="Q630" s="177">
        <v>70</v>
      </c>
      <c r="R630" s="40">
        <v>92</v>
      </c>
      <c r="S630" s="41">
        <v>65</v>
      </c>
      <c r="T630" s="42">
        <v>80</v>
      </c>
      <c r="U630" s="43">
        <v>55</v>
      </c>
      <c r="V630" s="44">
        <v>98</v>
      </c>
      <c r="W630" s="45">
        <f t="shared" si="165"/>
        <v>460</v>
      </c>
      <c r="X630" s="19">
        <f t="shared" si="166"/>
        <v>76.67</v>
      </c>
      <c r="Y630" s="3">
        <v>70</v>
      </c>
      <c r="Z630" s="4">
        <v>92</v>
      </c>
      <c r="AA630" s="5">
        <v>65</v>
      </c>
      <c r="AB630" s="6">
        <v>80</v>
      </c>
      <c r="AC630" s="7">
        <v>55</v>
      </c>
      <c r="AD630" s="8">
        <v>98</v>
      </c>
      <c r="AE630" s="1">
        <v>460</v>
      </c>
      <c r="AF630" s="19">
        <v>76.67</v>
      </c>
      <c r="AG630" s="139">
        <v>70</v>
      </c>
      <c r="AH630" s="140">
        <v>92</v>
      </c>
      <c r="AI630" s="141">
        <v>65</v>
      </c>
      <c r="AJ630" s="142">
        <v>80</v>
      </c>
      <c r="AK630" s="143">
        <v>55</v>
      </c>
      <c r="AL630" s="144">
        <v>98</v>
      </c>
      <c r="AM630" s="138">
        <v>460</v>
      </c>
      <c r="AN630" s="153">
        <v>76.67</v>
      </c>
      <c r="AW630" s="45"/>
      <c r="AX630" s="174" t="b">
        <f>IF('Refined Compare'!$D$2="All",TRUE,IF(F630='Refined Compare'!$D$2,TRUE,IF(G630='Refined Compare'!$D$2,TRUE,FALSE)))</f>
        <v>0</v>
      </c>
      <c r="AY630" s="174" t="b">
        <f>IF('Refined Compare'!$D$3="All",TRUE,IF(F630='Refined Compare'!$D$3,TRUE,IF(G630='Refined Compare'!$D$3,TRUE,FALSE)))</f>
        <v>1</v>
      </c>
      <c r="AZ630" s="174" t="b">
        <f t="shared" si="163"/>
        <v>0</v>
      </c>
    </row>
    <row r="631" spans="1:52" x14ac:dyDescent="0.35">
      <c r="A631">
        <f t="shared" si="164"/>
        <v>630</v>
      </c>
      <c r="B631" s="18">
        <v>551</v>
      </c>
      <c r="C631" s="61">
        <v>5</v>
      </c>
      <c r="D631" s="61" t="b">
        <v>0</v>
      </c>
      <c r="E631" s="61"/>
      <c r="F631" s="66" t="s">
        <v>814</v>
      </c>
      <c r="G631" s="66" t="s">
        <v>823</v>
      </c>
      <c r="H631" s="38" t="s">
        <v>394</v>
      </c>
      <c r="I631" s="39">
        <f t="shared" si="167"/>
        <v>50</v>
      </c>
      <c r="J631" s="40">
        <f t="shared" si="168"/>
        <v>72</v>
      </c>
      <c r="K631" s="41">
        <f t="shared" si="169"/>
        <v>35</v>
      </c>
      <c r="L631" s="42">
        <f t="shared" si="170"/>
        <v>35</v>
      </c>
      <c r="M631" s="43">
        <f t="shared" si="171"/>
        <v>35</v>
      </c>
      <c r="N631" s="44">
        <f t="shared" si="172"/>
        <v>65</v>
      </c>
      <c r="O631" s="45">
        <f t="shared" si="173"/>
        <v>292</v>
      </c>
      <c r="P631" s="19">
        <f t="shared" si="174"/>
        <v>48.67</v>
      </c>
      <c r="Q631" s="177">
        <v>50</v>
      </c>
      <c r="R631" s="40">
        <v>72</v>
      </c>
      <c r="S631" s="41">
        <v>35</v>
      </c>
      <c r="T631" s="42">
        <v>35</v>
      </c>
      <c r="U631" s="43">
        <v>35</v>
      </c>
      <c r="V631" s="44">
        <v>65</v>
      </c>
      <c r="W631" s="45">
        <f t="shared" si="165"/>
        <v>292</v>
      </c>
      <c r="X631" s="19">
        <f t="shared" si="166"/>
        <v>48.67</v>
      </c>
      <c r="Y631" s="3">
        <v>50</v>
      </c>
      <c r="Z631" s="4">
        <v>72</v>
      </c>
      <c r="AA631" s="5">
        <v>35</v>
      </c>
      <c r="AB631" s="6">
        <v>35</v>
      </c>
      <c r="AC631" s="7">
        <v>35</v>
      </c>
      <c r="AD631" s="8">
        <v>65</v>
      </c>
      <c r="AE631" s="1">
        <v>292</v>
      </c>
      <c r="AF631" s="19">
        <v>48.67</v>
      </c>
      <c r="AG631" s="139">
        <v>50</v>
      </c>
      <c r="AH631" s="140">
        <v>72</v>
      </c>
      <c r="AI631" s="141">
        <v>35</v>
      </c>
      <c r="AJ631" s="142">
        <v>35</v>
      </c>
      <c r="AK631" s="143">
        <v>35</v>
      </c>
      <c r="AL631" s="144">
        <v>65</v>
      </c>
      <c r="AM631" s="138">
        <v>292</v>
      </c>
      <c r="AN631" s="153">
        <v>48.67</v>
      </c>
      <c r="AW631" s="45"/>
      <c r="AX631" s="174" t="b">
        <f>IF('Refined Compare'!$D$2="All",TRUE,IF(F631='Refined Compare'!$D$2,TRUE,IF(G631='Refined Compare'!$D$2,TRUE,FALSE)))</f>
        <v>1</v>
      </c>
      <c r="AY631" s="174" t="b">
        <f>IF('Refined Compare'!$D$3="All",TRUE,IF(F631='Refined Compare'!$D$3,TRUE,IF(G631='Refined Compare'!$D$3,TRUE,FALSE)))</f>
        <v>0</v>
      </c>
      <c r="AZ631" s="174" t="b">
        <f t="shared" si="163"/>
        <v>0</v>
      </c>
    </row>
    <row r="632" spans="1:52" x14ac:dyDescent="0.35">
      <c r="A632">
        <f t="shared" si="164"/>
        <v>631</v>
      </c>
      <c r="B632" s="18">
        <v>552</v>
      </c>
      <c r="C632" s="61">
        <v>5</v>
      </c>
      <c r="D632" s="61" t="b">
        <v>0</v>
      </c>
      <c r="E632" s="61"/>
      <c r="F632" s="66" t="s">
        <v>814</v>
      </c>
      <c r="G632" s="66" t="s">
        <v>823</v>
      </c>
      <c r="H632" s="38" t="s">
        <v>469</v>
      </c>
      <c r="I632" s="39">
        <f t="shared" si="167"/>
        <v>60</v>
      </c>
      <c r="J632" s="40">
        <f t="shared" si="168"/>
        <v>82</v>
      </c>
      <c r="K632" s="41">
        <f t="shared" si="169"/>
        <v>45</v>
      </c>
      <c r="L632" s="42">
        <f t="shared" si="170"/>
        <v>45</v>
      </c>
      <c r="M632" s="43">
        <f t="shared" si="171"/>
        <v>45</v>
      </c>
      <c r="N632" s="44">
        <f t="shared" si="172"/>
        <v>74</v>
      </c>
      <c r="O632" s="45">
        <f t="shared" si="173"/>
        <v>351</v>
      </c>
      <c r="P632" s="19">
        <f t="shared" si="174"/>
        <v>58.5</v>
      </c>
      <c r="Q632" s="177">
        <v>60</v>
      </c>
      <c r="R632" s="40">
        <v>82</v>
      </c>
      <c r="S632" s="41">
        <v>45</v>
      </c>
      <c r="T632" s="42">
        <v>45</v>
      </c>
      <c r="U632" s="43">
        <v>45</v>
      </c>
      <c r="V632" s="44">
        <v>74</v>
      </c>
      <c r="W632" s="45">
        <f t="shared" si="165"/>
        <v>351</v>
      </c>
      <c r="X632" s="19">
        <f t="shared" si="166"/>
        <v>58.5</v>
      </c>
      <c r="Y632" s="3">
        <v>60</v>
      </c>
      <c r="Z632" s="4">
        <v>82</v>
      </c>
      <c r="AA632" s="5">
        <v>45</v>
      </c>
      <c r="AB632" s="6">
        <v>45</v>
      </c>
      <c r="AC632" s="7">
        <v>45</v>
      </c>
      <c r="AD632" s="8">
        <v>74</v>
      </c>
      <c r="AE632" s="1">
        <v>351</v>
      </c>
      <c r="AF632" s="19">
        <v>58.5</v>
      </c>
      <c r="AG632" s="139">
        <v>60</v>
      </c>
      <c r="AH632" s="140">
        <v>82</v>
      </c>
      <c r="AI632" s="141">
        <v>45</v>
      </c>
      <c r="AJ632" s="142">
        <v>45</v>
      </c>
      <c r="AK632" s="143">
        <v>45</v>
      </c>
      <c r="AL632" s="144">
        <v>74</v>
      </c>
      <c r="AM632" s="138">
        <v>351</v>
      </c>
      <c r="AN632" s="153">
        <v>58.5</v>
      </c>
      <c r="AW632" s="45"/>
      <c r="AX632" s="174" t="b">
        <f>IF('Refined Compare'!$D$2="All",TRUE,IF(F632='Refined Compare'!$D$2,TRUE,IF(G632='Refined Compare'!$D$2,TRUE,FALSE)))</f>
        <v>1</v>
      </c>
      <c r="AY632" s="174" t="b">
        <f>IF('Refined Compare'!$D$3="All",TRUE,IF(F632='Refined Compare'!$D$3,TRUE,IF(G632='Refined Compare'!$D$3,TRUE,FALSE)))</f>
        <v>0</v>
      </c>
      <c r="AZ632" s="174" t="b">
        <f t="shared" si="163"/>
        <v>0</v>
      </c>
    </row>
    <row r="633" spans="1:52" x14ac:dyDescent="0.35">
      <c r="A633">
        <f t="shared" si="164"/>
        <v>632</v>
      </c>
      <c r="B633" s="18">
        <v>553</v>
      </c>
      <c r="C633" s="61">
        <v>5</v>
      </c>
      <c r="D633" s="118" t="b">
        <v>1</v>
      </c>
      <c r="E633" s="61"/>
      <c r="F633" s="66" t="s">
        <v>814</v>
      </c>
      <c r="G633" s="66" t="s">
        <v>823</v>
      </c>
      <c r="H633" s="38" t="s">
        <v>612</v>
      </c>
      <c r="I633" s="39">
        <f t="shared" si="167"/>
        <v>95</v>
      </c>
      <c r="J633" s="40">
        <f t="shared" si="168"/>
        <v>117</v>
      </c>
      <c r="K633" s="41">
        <f t="shared" si="169"/>
        <v>70</v>
      </c>
      <c r="L633" s="42">
        <f t="shared" si="170"/>
        <v>65</v>
      </c>
      <c r="M633" s="43">
        <f t="shared" si="171"/>
        <v>70</v>
      </c>
      <c r="N633" s="44">
        <f t="shared" si="172"/>
        <v>92</v>
      </c>
      <c r="O633" s="45">
        <f t="shared" si="173"/>
        <v>509</v>
      </c>
      <c r="P633" s="19">
        <f t="shared" si="174"/>
        <v>84.83</v>
      </c>
      <c r="Q633" s="177">
        <v>95</v>
      </c>
      <c r="R633" s="40">
        <v>117</v>
      </c>
      <c r="S633" s="41">
        <v>80</v>
      </c>
      <c r="T633" s="42">
        <v>65</v>
      </c>
      <c r="U633" s="43">
        <v>70</v>
      </c>
      <c r="V633" s="44">
        <v>92</v>
      </c>
      <c r="W633" s="45">
        <f t="shared" si="165"/>
        <v>519</v>
      </c>
      <c r="X633" s="19">
        <f t="shared" si="166"/>
        <v>86.5</v>
      </c>
      <c r="Y633" s="3">
        <v>95</v>
      </c>
      <c r="Z633" s="4">
        <v>117</v>
      </c>
      <c r="AA633" s="5">
        <v>80</v>
      </c>
      <c r="AB633" s="6">
        <v>65</v>
      </c>
      <c r="AC633" s="7">
        <v>70</v>
      </c>
      <c r="AD633" s="8">
        <v>92</v>
      </c>
      <c r="AE633" s="1">
        <v>519</v>
      </c>
      <c r="AF633" s="19">
        <v>86.5</v>
      </c>
      <c r="AG633" s="139">
        <v>95</v>
      </c>
      <c r="AH633" s="140">
        <v>117</v>
      </c>
      <c r="AI633" s="141">
        <v>70</v>
      </c>
      <c r="AJ633" s="142">
        <v>65</v>
      </c>
      <c r="AK633" s="143">
        <v>70</v>
      </c>
      <c r="AL633" s="144">
        <v>92</v>
      </c>
      <c r="AM633" s="138">
        <v>509</v>
      </c>
      <c r="AN633" s="153">
        <v>84.83</v>
      </c>
      <c r="AW633" s="45"/>
      <c r="AX633" s="174" t="b">
        <f>IF('Refined Compare'!$D$2="All",TRUE,IF(F633='Refined Compare'!$D$2,TRUE,IF(G633='Refined Compare'!$D$2,TRUE,FALSE)))</f>
        <v>1</v>
      </c>
      <c r="AY633" s="174" t="b">
        <f>IF('Refined Compare'!$D$3="All",TRUE,IF(F633='Refined Compare'!$D$3,TRUE,IF(G633='Refined Compare'!$D$3,TRUE,FALSE)))</f>
        <v>0</v>
      </c>
      <c r="AZ633" s="174" t="b">
        <f t="shared" si="163"/>
        <v>0</v>
      </c>
    </row>
    <row r="634" spans="1:52" x14ac:dyDescent="0.35">
      <c r="A634">
        <f t="shared" si="164"/>
        <v>633</v>
      </c>
      <c r="B634" s="18">
        <v>554</v>
      </c>
      <c r="C634" s="61">
        <v>5</v>
      </c>
      <c r="D634" s="61" t="b">
        <v>0</v>
      </c>
      <c r="E634" s="61"/>
      <c r="F634" s="66" t="s">
        <v>808</v>
      </c>
      <c r="G634" s="66" t="s">
        <v>827</v>
      </c>
      <c r="H634" s="38" t="s">
        <v>250</v>
      </c>
      <c r="I634" s="39">
        <f t="shared" si="167"/>
        <v>70</v>
      </c>
      <c r="J634" s="40">
        <f t="shared" si="168"/>
        <v>90</v>
      </c>
      <c r="K634" s="41">
        <f t="shared" si="169"/>
        <v>45</v>
      </c>
      <c r="L634" s="42">
        <f t="shared" si="170"/>
        <v>15</v>
      </c>
      <c r="M634" s="43">
        <f t="shared" si="171"/>
        <v>45</v>
      </c>
      <c r="N634" s="44">
        <f t="shared" si="172"/>
        <v>50</v>
      </c>
      <c r="O634" s="45">
        <f t="shared" si="173"/>
        <v>315</v>
      </c>
      <c r="P634" s="19">
        <f t="shared" si="174"/>
        <v>52.5</v>
      </c>
      <c r="Q634" s="177">
        <v>70</v>
      </c>
      <c r="R634" s="40">
        <v>90</v>
      </c>
      <c r="S634" s="41">
        <v>45</v>
      </c>
      <c r="T634" s="42">
        <v>15</v>
      </c>
      <c r="U634" s="43">
        <v>45</v>
      </c>
      <c r="V634" s="44">
        <v>50</v>
      </c>
      <c r="W634" s="45">
        <f t="shared" si="165"/>
        <v>315</v>
      </c>
      <c r="X634" s="19">
        <f t="shared" si="166"/>
        <v>52.5</v>
      </c>
      <c r="Y634" s="3">
        <v>70</v>
      </c>
      <c r="Z634" s="4">
        <v>90</v>
      </c>
      <c r="AA634" s="5">
        <v>45</v>
      </c>
      <c r="AB634" s="6">
        <v>15</v>
      </c>
      <c r="AC634" s="7">
        <v>45</v>
      </c>
      <c r="AD634" s="8">
        <v>50</v>
      </c>
      <c r="AE634" s="1">
        <v>315</v>
      </c>
      <c r="AF634" s="19">
        <v>52.5</v>
      </c>
      <c r="AG634" s="139">
        <v>70</v>
      </c>
      <c r="AH634" s="140">
        <v>90</v>
      </c>
      <c r="AI634" s="141">
        <v>45</v>
      </c>
      <c r="AJ634" s="142">
        <v>15</v>
      </c>
      <c r="AK634" s="143">
        <v>45</v>
      </c>
      <c r="AL634" s="144">
        <v>50</v>
      </c>
      <c r="AM634" s="138">
        <v>315</v>
      </c>
      <c r="AN634" s="153">
        <v>52.5</v>
      </c>
      <c r="AW634" s="45"/>
      <c r="AX634" s="174" t="b">
        <f>IF('Refined Compare'!$D$2="All",TRUE,IF(F634='Refined Compare'!$D$2,TRUE,IF(G634='Refined Compare'!$D$2,TRUE,FALSE)))</f>
        <v>0</v>
      </c>
      <c r="AY634" s="174" t="b">
        <f>IF('Refined Compare'!$D$3="All",TRUE,IF(F634='Refined Compare'!$D$3,TRUE,IF(G634='Refined Compare'!$D$3,TRUE,FALSE)))</f>
        <v>1</v>
      </c>
      <c r="AZ634" s="174" t="b">
        <f t="shared" si="163"/>
        <v>0</v>
      </c>
    </row>
    <row r="635" spans="1:52" x14ac:dyDescent="0.35">
      <c r="A635">
        <f t="shared" si="164"/>
        <v>634</v>
      </c>
      <c r="B635" s="18">
        <v>555</v>
      </c>
      <c r="C635" s="61">
        <v>5</v>
      </c>
      <c r="D635" s="118" t="b">
        <v>1</v>
      </c>
      <c r="E635" s="61"/>
      <c r="F635" s="66" t="s">
        <v>808</v>
      </c>
      <c r="G635" s="66" t="s">
        <v>817</v>
      </c>
      <c r="H635" s="38" t="s">
        <v>286</v>
      </c>
      <c r="I635" s="39">
        <f t="shared" si="167"/>
        <v>105</v>
      </c>
      <c r="J635" s="40">
        <f t="shared" si="168"/>
        <v>30</v>
      </c>
      <c r="K635" s="41">
        <f t="shared" si="169"/>
        <v>105</v>
      </c>
      <c r="L635" s="42">
        <f t="shared" si="170"/>
        <v>140</v>
      </c>
      <c r="M635" s="43">
        <f t="shared" si="171"/>
        <v>105</v>
      </c>
      <c r="N635" s="44">
        <f t="shared" si="172"/>
        <v>55</v>
      </c>
      <c r="O635" s="45">
        <f t="shared" si="173"/>
        <v>540</v>
      </c>
      <c r="P635" s="19">
        <f t="shared" si="174"/>
        <v>90</v>
      </c>
      <c r="Q635" s="177">
        <v>105</v>
      </c>
      <c r="R635" s="40">
        <v>30</v>
      </c>
      <c r="S635" s="41">
        <v>105</v>
      </c>
      <c r="T635" s="42">
        <v>140</v>
      </c>
      <c r="U635" s="43">
        <v>105</v>
      </c>
      <c r="V635" s="44">
        <v>55</v>
      </c>
      <c r="W635" s="45">
        <f t="shared" si="165"/>
        <v>540</v>
      </c>
      <c r="X635" s="19">
        <f t="shared" si="166"/>
        <v>90</v>
      </c>
      <c r="Y635" s="3">
        <v>105</v>
      </c>
      <c r="Z635" s="4">
        <v>30</v>
      </c>
      <c r="AA635" s="5">
        <v>105</v>
      </c>
      <c r="AB635" s="6">
        <v>140</v>
      </c>
      <c r="AC635" s="7">
        <v>105</v>
      </c>
      <c r="AD635" s="8">
        <v>55</v>
      </c>
      <c r="AE635" s="1">
        <v>540</v>
      </c>
      <c r="AF635" s="19">
        <v>90</v>
      </c>
      <c r="AG635" s="139">
        <v>105</v>
      </c>
      <c r="AH635" s="140">
        <v>30</v>
      </c>
      <c r="AI635" s="141">
        <v>105</v>
      </c>
      <c r="AJ635" s="142">
        <v>140</v>
      </c>
      <c r="AK635" s="143">
        <v>105</v>
      </c>
      <c r="AL635" s="144">
        <v>55</v>
      </c>
      <c r="AM635" s="138">
        <v>540</v>
      </c>
      <c r="AN635" s="153">
        <v>90</v>
      </c>
      <c r="AW635" s="45"/>
      <c r="AX635" s="174" t="b">
        <f>IF('Refined Compare'!$D$2="All",TRUE,IF(F635='Refined Compare'!$D$2,TRUE,IF(G635='Refined Compare'!$D$2,TRUE,FALSE)))</f>
        <v>0</v>
      </c>
      <c r="AY635" s="174" t="b">
        <f>IF('Refined Compare'!$D$3="All",TRUE,IF(F635='Refined Compare'!$D$3,TRUE,IF(G635='Refined Compare'!$D$3,TRUE,FALSE)))</f>
        <v>0</v>
      </c>
      <c r="AZ635" s="174" t="b">
        <f t="shared" si="163"/>
        <v>0</v>
      </c>
    </row>
    <row r="636" spans="1:52" x14ac:dyDescent="0.35">
      <c r="A636">
        <f t="shared" si="164"/>
        <v>635</v>
      </c>
      <c r="B636" s="18">
        <v>555</v>
      </c>
      <c r="C636" s="61">
        <v>5</v>
      </c>
      <c r="D636" s="118" t="b">
        <v>1</v>
      </c>
      <c r="E636" s="61"/>
      <c r="F636" s="66" t="s">
        <v>808</v>
      </c>
      <c r="G636" s="66" t="s">
        <v>827</v>
      </c>
      <c r="H636" s="38" t="s">
        <v>840</v>
      </c>
      <c r="I636" s="39">
        <f t="shared" si="167"/>
        <v>105</v>
      </c>
      <c r="J636" s="40">
        <f t="shared" si="168"/>
        <v>140</v>
      </c>
      <c r="K636" s="41">
        <f t="shared" si="169"/>
        <v>55</v>
      </c>
      <c r="L636" s="42">
        <f t="shared" si="170"/>
        <v>30</v>
      </c>
      <c r="M636" s="43">
        <f t="shared" si="171"/>
        <v>55</v>
      </c>
      <c r="N636" s="44">
        <f t="shared" si="172"/>
        <v>95</v>
      </c>
      <c r="O636" s="45">
        <f t="shared" si="173"/>
        <v>480</v>
      </c>
      <c r="P636" s="19">
        <f t="shared" si="174"/>
        <v>80</v>
      </c>
      <c r="Q636" s="177">
        <v>105</v>
      </c>
      <c r="R636" s="40">
        <v>140</v>
      </c>
      <c r="S636" s="41">
        <v>55</v>
      </c>
      <c r="T636" s="42">
        <v>30</v>
      </c>
      <c r="U636" s="43">
        <v>55</v>
      </c>
      <c r="V636" s="44">
        <v>95</v>
      </c>
      <c r="W636" s="45">
        <f t="shared" si="165"/>
        <v>480</v>
      </c>
      <c r="X636" s="19">
        <f t="shared" si="166"/>
        <v>80</v>
      </c>
      <c r="Y636" s="3">
        <v>105</v>
      </c>
      <c r="Z636" s="4">
        <v>140</v>
      </c>
      <c r="AA636" s="5">
        <v>55</v>
      </c>
      <c r="AB636" s="6">
        <v>30</v>
      </c>
      <c r="AC636" s="7">
        <v>55</v>
      </c>
      <c r="AD636" s="8">
        <v>95</v>
      </c>
      <c r="AE636" s="1">
        <v>480</v>
      </c>
      <c r="AF636" s="19">
        <v>80</v>
      </c>
      <c r="AG636" s="139">
        <v>105</v>
      </c>
      <c r="AH636" s="140">
        <v>140</v>
      </c>
      <c r="AI636" s="141">
        <v>55</v>
      </c>
      <c r="AJ636" s="142">
        <v>30</v>
      </c>
      <c r="AK636" s="143">
        <v>55</v>
      </c>
      <c r="AL636" s="144">
        <v>95</v>
      </c>
      <c r="AM636" s="138">
        <v>480</v>
      </c>
      <c r="AN636" s="153">
        <v>80</v>
      </c>
      <c r="AW636" s="45"/>
      <c r="AX636" s="174" t="b">
        <f>IF('Refined Compare'!$D$2="All",TRUE,IF(F636='Refined Compare'!$D$2,TRUE,IF(G636='Refined Compare'!$D$2,TRUE,FALSE)))</f>
        <v>0</v>
      </c>
      <c r="AY636" s="174" t="b">
        <f>IF('Refined Compare'!$D$3="All",TRUE,IF(F636='Refined Compare'!$D$3,TRUE,IF(G636='Refined Compare'!$D$3,TRUE,FALSE)))</f>
        <v>1</v>
      </c>
      <c r="AZ636" s="174" t="b">
        <f t="shared" si="163"/>
        <v>0</v>
      </c>
    </row>
    <row r="637" spans="1:52" x14ac:dyDescent="0.35">
      <c r="A637">
        <f t="shared" si="164"/>
        <v>636</v>
      </c>
      <c r="B637" s="18">
        <v>556</v>
      </c>
      <c r="C637" s="61">
        <v>5</v>
      </c>
      <c r="D637" s="118" t="b">
        <v>1</v>
      </c>
      <c r="E637" s="61"/>
      <c r="F637" s="66" t="s">
        <v>806</v>
      </c>
      <c r="G637" s="66" t="s">
        <v>827</v>
      </c>
      <c r="H637" s="38" t="s">
        <v>343</v>
      </c>
      <c r="I637" s="39">
        <f t="shared" si="167"/>
        <v>75</v>
      </c>
      <c r="J637" s="40">
        <f t="shared" si="168"/>
        <v>86</v>
      </c>
      <c r="K637" s="41">
        <f t="shared" si="169"/>
        <v>67</v>
      </c>
      <c r="L637" s="42">
        <f t="shared" si="170"/>
        <v>106</v>
      </c>
      <c r="M637" s="43">
        <f t="shared" si="171"/>
        <v>67</v>
      </c>
      <c r="N637" s="44">
        <f t="shared" si="172"/>
        <v>60</v>
      </c>
      <c r="O637" s="45">
        <f t="shared" si="173"/>
        <v>461</v>
      </c>
      <c r="P637" s="19">
        <f t="shared" si="174"/>
        <v>76.83</v>
      </c>
      <c r="Q637" s="177">
        <v>75</v>
      </c>
      <c r="R637" s="40">
        <v>86</v>
      </c>
      <c r="S637" s="41">
        <v>67</v>
      </c>
      <c r="T637" s="42">
        <v>106</v>
      </c>
      <c r="U637" s="43">
        <v>67</v>
      </c>
      <c r="V637" s="44">
        <v>60</v>
      </c>
      <c r="W637" s="45">
        <f t="shared" si="165"/>
        <v>461</v>
      </c>
      <c r="X637" s="19">
        <f t="shared" si="166"/>
        <v>76.83</v>
      </c>
      <c r="Y637" s="3">
        <v>75</v>
      </c>
      <c r="Z637" s="4">
        <v>86</v>
      </c>
      <c r="AA637" s="5">
        <v>67</v>
      </c>
      <c r="AB637" s="6">
        <v>106</v>
      </c>
      <c r="AC637" s="7">
        <v>67</v>
      </c>
      <c r="AD637" s="8">
        <v>60</v>
      </c>
      <c r="AE637" s="1">
        <v>461</v>
      </c>
      <c r="AF637" s="19">
        <v>76.83</v>
      </c>
      <c r="AG637" s="139">
        <v>75</v>
      </c>
      <c r="AH637" s="140">
        <v>86</v>
      </c>
      <c r="AI637" s="141">
        <v>67</v>
      </c>
      <c r="AJ637" s="142">
        <v>106</v>
      </c>
      <c r="AK637" s="143">
        <v>67</v>
      </c>
      <c r="AL637" s="144">
        <v>60</v>
      </c>
      <c r="AM637" s="138">
        <v>461</v>
      </c>
      <c r="AN637" s="153">
        <v>76.83</v>
      </c>
      <c r="AW637" s="45"/>
      <c r="AX637" s="174" t="b">
        <f>IF('Refined Compare'!$D$2="All",TRUE,IF(F637='Refined Compare'!$D$2,TRUE,IF(G637='Refined Compare'!$D$2,TRUE,FALSE)))</f>
        <v>0</v>
      </c>
      <c r="AY637" s="174" t="b">
        <f>IF('Refined Compare'!$D$3="All",TRUE,IF(F637='Refined Compare'!$D$3,TRUE,IF(G637='Refined Compare'!$D$3,TRUE,FALSE)))</f>
        <v>1</v>
      </c>
      <c r="AZ637" s="174" t="b">
        <f t="shared" si="163"/>
        <v>0</v>
      </c>
    </row>
    <row r="638" spans="1:52" x14ac:dyDescent="0.35">
      <c r="A638">
        <f t="shared" si="164"/>
        <v>637</v>
      </c>
      <c r="B638" s="18">
        <v>557</v>
      </c>
      <c r="C638" s="61">
        <v>5</v>
      </c>
      <c r="D638" s="61" t="b">
        <v>0</v>
      </c>
      <c r="E638" s="61"/>
      <c r="F638" s="66" t="s">
        <v>811</v>
      </c>
      <c r="G638" s="66" t="s">
        <v>818</v>
      </c>
      <c r="H638" s="38" t="s">
        <v>287</v>
      </c>
      <c r="I638" s="39">
        <f t="shared" si="167"/>
        <v>50</v>
      </c>
      <c r="J638" s="40">
        <f t="shared" si="168"/>
        <v>65</v>
      </c>
      <c r="K638" s="41">
        <f t="shared" si="169"/>
        <v>85</v>
      </c>
      <c r="L638" s="42">
        <f t="shared" si="170"/>
        <v>35</v>
      </c>
      <c r="M638" s="43">
        <f t="shared" si="171"/>
        <v>35</v>
      </c>
      <c r="N638" s="44">
        <f t="shared" si="172"/>
        <v>55</v>
      </c>
      <c r="O638" s="45">
        <f t="shared" si="173"/>
        <v>325</v>
      </c>
      <c r="P638" s="19">
        <f t="shared" si="174"/>
        <v>54.17</v>
      </c>
      <c r="Q638" s="177">
        <v>50</v>
      </c>
      <c r="R638" s="40">
        <v>65</v>
      </c>
      <c r="S638" s="41">
        <v>85</v>
      </c>
      <c r="T638" s="42">
        <v>35</v>
      </c>
      <c r="U638" s="43">
        <v>35</v>
      </c>
      <c r="V638" s="44">
        <v>55</v>
      </c>
      <c r="W638" s="45">
        <f t="shared" si="165"/>
        <v>325</v>
      </c>
      <c r="X638" s="19">
        <f t="shared" si="166"/>
        <v>54.17</v>
      </c>
      <c r="Y638" s="3">
        <v>50</v>
      </c>
      <c r="Z638" s="4">
        <v>65</v>
      </c>
      <c r="AA638" s="5">
        <v>85</v>
      </c>
      <c r="AB638" s="6">
        <v>35</v>
      </c>
      <c r="AC638" s="7">
        <v>35</v>
      </c>
      <c r="AD638" s="8">
        <v>55</v>
      </c>
      <c r="AE638" s="1">
        <v>325</v>
      </c>
      <c r="AF638" s="19">
        <v>54.17</v>
      </c>
      <c r="AG638" s="139">
        <v>50</v>
      </c>
      <c r="AH638" s="140">
        <v>65</v>
      </c>
      <c r="AI638" s="141">
        <v>85</v>
      </c>
      <c r="AJ638" s="142">
        <v>35</v>
      </c>
      <c r="AK638" s="143">
        <v>35</v>
      </c>
      <c r="AL638" s="144">
        <v>55</v>
      </c>
      <c r="AM638" s="138">
        <v>325</v>
      </c>
      <c r="AN638" s="153">
        <v>54.17</v>
      </c>
      <c r="AW638" s="45"/>
      <c r="AX638" s="174" t="b">
        <f>IF('Refined Compare'!$D$2="All",TRUE,IF(F638='Refined Compare'!$D$2,TRUE,IF(G638='Refined Compare'!$D$2,TRUE,FALSE)))</f>
        <v>0</v>
      </c>
      <c r="AY638" s="174" t="b">
        <f>IF('Refined Compare'!$D$3="All",TRUE,IF(F638='Refined Compare'!$D$3,TRUE,IF(G638='Refined Compare'!$D$3,TRUE,FALSE)))</f>
        <v>0</v>
      </c>
      <c r="AZ638" s="174" t="b">
        <f t="shared" si="163"/>
        <v>0</v>
      </c>
    </row>
    <row r="639" spans="1:52" x14ac:dyDescent="0.35">
      <c r="A639">
        <f t="shared" si="164"/>
        <v>638</v>
      </c>
      <c r="B639" s="18">
        <v>558</v>
      </c>
      <c r="C639" s="61">
        <v>5</v>
      </c>
      <c r="D639" s="118" t="b">
        <v>1</v>
      </c>
      <c r="E639" s="61"/>
      <c r="F639" s="66" t="s">
        <v>811</v>
      </c>
      <c r="G639" s="66" t="s">
        <v>818</v>
      </c>
      <c r="H639" s="38" t="s">
        <v>197</v>
      </c>
      <c r="I639" s="39">
        <f t="shared" si="167"/>
        <v>70</v>
      </c>
      <c r="J639" s="40">
        <f t="shared" si="168"/>
        <v>95</v>
      </c>
      <c r="K639" s="41">
        <f t="shared" si="169"/>
        <v>125</v>
      </c>
      <c r="L639" s="42">
        <f t="shared" si="170"/>
        <v>65</v>
      </c>
      <c r="M639" s="43">
        <f t="shared" si="171"/>
        <v>75</v>
      </c>
      <c r="N639" s="44">
        <f t="shared" si="172"/>
        <v>45</v>
      </c>
      <c r="O639" s="45">
        <f t="shared" si="173"/>
        <v>475</v>
      </c>
      <c r="P639" s="19">
        <f t="shared" si="174"/>
        <v>79.17</v>
      </c>
      <c r="Q639" s="177">
        <v>70</v>
      </c>
      <c r="R639" s="40">
        <v>105</v>
      </c>
      <c r="S639" s="41">
        <v>125</v>
      </c>
      <c r="T639" s="42">
        <v>65</v>
      </c>
      <c r="U639" s="43">
        <v>75</v>
      </c>
      <c r="V639" s="44">
        <v>45</v>
      </c>
      <c r="W639" s="45">
        <f t="shared" si="165"/>
        <v>485</v>
      </c>
      <c r="X639" s="19">
        <f t="shared" si="166"/>
        <v>80.83</v>
      </c>
      <c r="Y639" s="3">
        <v>70</v>
      </c>
      <c r="Z639" s="4">
        <v>95</v>
      </c>
      <c r="AA639" s="5">
        <v>125</v>
      </c>
      <c r="AB639" s="6">
        <v>65</v>
      </c>
      <c r="AC639" s="7">
        <v>75</v>
      </c>
      <c r="AD639" s="8">
        <v>45</v>
      </c>
      <c r="AE639" s="1">
        <v>475</v>
      </c>
      <c r="AF639" s="19">
        <v>79.17</v>
      </c>
      <c r="AG639" s="139">
        <v>70</v>
      </c>
      <c r="AH639" s="140">
        <v>95</v>
      </c>
      <c r="AI639" s="141">
        <v>125</v>
      </c>
      <c r="AJ639" s="142">
        <v>65</v>
      </c>
      <c r="AK639" s="143">
        <v>75</v>
      </c>
      <c r="AL639" s="144">
        <v>45</v>
      </c>
      <c r="AM639" s="138">
        <v>475</v>
      </c>
      <c r="AN639" s="153">
        <v>79.17</v>
      </c>
      <c r="AW639" s="45"/>
      <c r="AX639" s="174" t="b">
        <f>IF('Refined Compare'!$D$2="All",TRUE,IF(F639='Refined Compare'!$D$2,TRUE,IF(G639='Refined Compare'!$D$2,TRUE,FALSE)))</f>
        <v>0</v>
      </c>
      <c r="AY639" s="174" t="b">
        <f>IF('Refined Compare'!$D$3="All",TRUE,IF(F639='Refined Compare'!$D$3,TRUE,IF(G639='Refined Compare'!$D$3,TRUE,FALSE)))</f>
        <v>0</v>
      </c>
      <c r="AZ639" s="174" t="b">
        <f t="shared" si="163"/>
        <v>0</v>
      </c>
    </row>
    <row r="640" spans="1:52" x14ac:dyDescent="0.35">
      <c r="A640">
        <f t="shared" si="164"/>
        <v>639</v>
      </c>
      <c r="B640" s="18">
        <v>559</v>
      </c>
      <c r="C640" s="61">
        <v>5</v>
      </c>
      <c r="D640" s="61" t="b">
        <v>0</v>
      </c>
      <c r="E640" s="61"/>
      <c r="F640" s="66" t="s">
        <v>823</v>
      </c>
      <c r="G640" s="66" t="s">
        <v>816</v>
      </c>
      <c r="H640" s="38" t="s">
        <v>207</v>
      </c>
      <c r="I640" s="39">
        <f t="shared" si="167"/>
        <v>50</v>
      </c>
      <c r="J640" s="40">
        <f t="shared" si="168"/>
        <v>75</v>
      </c>
      <c r="K640" s="41">
        <f t="shared" si="169"/>
        <v>70</v>
      </c>
      <c r="L640" s="42">
        <f t="shared" si="170"/>
        <v>35</v>
      </c>
      <c r="M640" s="43">
        <f t="shared" si="171"/>
        <v>70</v>
      </c>
      <c r="N640" s="44">
        <f t="shared" si="172"/>
        <v>48</v>
      </c>
      <c r="O640" s="45">
        <f t="shared" si="173"/>
        <v>348</v>
      </c>
      <c r="P640" s="19">
        <f t="shared" si="174"/>
        <v>58</v>
      </c>
      <c r="Q640" s="177">
        <v>50</v>
      </c>
      <c r="R640" s="40">
        <v>75</v>
      </c>
      <c r="S640" s="41">
        <v>70</v>
      </c>
      <c r="T640" s="42">
        <v>35</v>
      </c>
      <c r="U640" s="43">
        <v>70</v>
      </c>
      <c r="V640" s="44">
        <v>48</v>
      </c>
      <c r="W640" s="45">
        <f t="shared" si="165"/>
        <v>348</v>
      </c>
      <c r="X640" s="19">
        <f t="shared" si="166"/>
        <v>58</v>
      </c>
      <c r="Y640" s="3">
        <v>50</v>
      </c>
      <c r="Z640" s="4">
        <v>75</v>
      </c>
      <c r="AA640" s="5">
        <v>70</v>
      </c>
      <c r="AB640" s="6">
        <v>35</v>
      </c>
      <c r="AC640" s="7">
        <v>70</v>
      </c>
      <c r="AD640" s="8">
        <v>48</v>
      </c>
      <c r="AE640" s="1">
        <v>348</v>
      </c>
      <c r="AF640" s="19">
        <v>58</v>
      </c>
      <c r="AG640" s="139">
        <v>50</v>
      </c>
      <c r="AH640" s="140">
        <v>75</v>
      </c>
      <c r="AI640" s="141">
        <v>70</v>
      </c>
      <c r="AJ640" s="142">
        <v>35</v>
      </c>
      <c r="AK640" s="143">
        <v>70</v>
      </c>
      <c r="AL640" s="144">
        <v>48</v>
      </c>
      <c r="AM640" s="138">
        <v>348</v>
      </c>
      <c r="AN640" s="153">
        <v>58</v>
      </c>
      <c r="AW640" s="45"/>
      <c r="AX640" s="174" t="b">
        <f>IF('Refined Compare'!$D$2="All",TRUE,IF(F640='Refined Compare'!$D$2,TRUE,IF(G640='Refined Compare'!$D$2,TRUE,FALSE)))</f>
        <v>1</v>
      </c>
      <c r="AY640" s="174" t="b">
        <f>IF('Refined Compare'!$D$3="All",TRUE,IF(F640='Refined Compare'!$D$3,TRUE,IF(G640='Refined Compare'!$D$3,TRUE,FALSE)))</f>
        <v>0</v>
      </c>
      <c r="AZ640" s="174" t="b">
        <f t="shared" si="163"/>
        <v>0</v>
      </c>
    </row>
    <row r="641" spans="1:52" x14ac:dyDescent="0.35">
      <c r="A641">
        <f t="shared" si="164"/>
        <v>640</v>
      </c>
      <c r="B641" s="18">
        <v>560</v>
      </c>
      <c r="C641" s="61">
        <v>5</v>
      </c>
      <c r="D641" s="118" t="b">
        <v>1</v>
      </c>
      <c r="E641" s="61"/>
      <c r="F641" s="66" t="s">
        <v>823</v>
      </c>
      <c r="G641" s="66" t="s">
        <v>816</v>
      </c>
      <c r="H641" s="38" t="s">
        <v>306</v>
      </c>
      <c r="I641" s="39">
        <f t="shared" si="167"/>
        <v>65</v>
      </c>
      <c r="J641" s="40">
        <f t="shared" si="168"/>
        <v>90</v>
      </c>
      <c r="K641" s="41">
        <f t="shared" si="169"/>
        <v>115</v>
      </c>
      <c r="L641" s="42">
        <f t="shared" si="170"/>
        <v>45</v>
      </c>
      <c r="M641" s="43">
        <f t="shared" si="171"/>
        <v>115</v>
      </c>
      <c r="N641" s="44">
        <f t="shared" si="172"/>
        <v>58</v>
      </c>
      <c r="O641" s="45">
        <f t="shared" si="173"/>
        <v>488</v>
      </c>
      <c r="P641" s="19">
        <f t="shared" si="174"/>
        <v>81.33</v>
      </c>
      <c r="Q641" s="177">
        <v>65</v>
      </c>
      <c r="R641" s="40">
        <v>90</v>
      </c>
      <c r="S641" s="41">
        <v>115</v>
      </c>
      <c r="T641" s="42">
        <v>45</v>
      </c>
      <c r="U641" s="43">
        <v>115</v>
      </c>
      <c r="V641" s="44">
        <v>58</v>
      </c>
      <c r="W641" s="45">
        <f t="shared" si="165"/>
        <v>488</v>
      </c>
      <c r="X641" s="19">
        <f t="shared" si="166"/>
        <v>81.33</v>
      </c>
      <c r="Y641" s="3">
        <v>65</v>
      </c>
      <c r="Z641" s="4">
        <v>90</v>
      </c>
      <c r="AA641" s="5">
        <v>115</v>
      </c>
      <c r="AB641" s="6">
        <v>45</v>
      </c>
      <c r="AC641" s="7">
        <v>115</v>
      </c>
      <c r="AD641" s="8">
        <v>58</v>
      </c>
      <c r="AE641" s="1">
        <v>488</v>
      </c>
      <c r="AF641" s="19">
        <v>81.33</v>
      </c>
      <c r="AG641" s="139">
        <v>65</v>
      </c>
      <c r="AH641" s="140">
        <v>90</v>
      </c>
      <c r="AI641" s="141">
        <v>115</v>
      </c>
      <c r="AJ641" s="142">
        <v>45</v>
      </c>
      <c r="AK641" s="143">
        <v>115</v>
      </c>
      <c r="AL641" s="144">
        <v>58</v>
      </c>
      <c r="AM641" s="138">
        <v>488</v>
      </c>
      <c r="AN641" s="153">
        <v>81.33</v>
      </c>
      <c r="AW641" s="45"/>
      <c r="AX641" s="174" t="b">
        <f>IF('Refined Compare'!$D$2="All",TRUE,IF(F641='Refined Compare'!$D$2,TRUE,IF(G641='Refined Compare'!$D$2,TRUE,FALSE)))</f>
        <v>1</v>
      </c>
      <c r="AY641" s="174" t="b">
        <f>IF('Refined Compare'!$D$3="All",TRUE,IF(F641='Refined Compare'!$D$3,TRUE,IF(G641='Refined Compare'!$D$3,TRUE,FALSE)))</f>
        <v>0</v>
      </c>
      <c r="AZ641" s="174" t="b">
        <f t="shared" si="163"/>
        <v>0</v>
      </c>
    </row>
    <row r="642" spans="1:52" x14ac:dyDescent="0.35">
      <c r="A642">
        <f t="shared" si="164"/>
        <v>641</v>
      </c>
      <c r="B642" s="18">
        <v>561</v>
      </c>
      <c r="C642" s="61">
        <v>5</v>
      </c>
      <c r="D642" s="118" t="b">
        <v>1</v>
      </c>
      <c r="E642" s="61"/>
      <c r="F642" s="66" t="s">
        <v>817</v>
      </c>
      <c r="G642" s="66" t="s">
        <v>809</v>
      </c>
      <c r="H642" s="38" t="s">
        <v>643</v>
      </c>
      <c r="I642" s="39">
        <f t="shared" si="167"/>
        <v>72</v>
      </c>
      <c r="J642" s="40">
        <f t="shared" si="168"/>
        <v>58</v>
      </c>
      <c r="K642" s="41">
        <f t="shared" si="169"/>
        <v>80</v>
      </c>
      <c r="L642" s="42">
        <f t="shared" si="170"/>
        <v>103</v>
      </c>
      <c r="M642" s="43">
        <f t="shared" si="171"/>
        <v>80</v>
      </c>
      <c r="N642" s="44">
        <f t="shared" si="172"/>
        <v>97</v>
      </c>
      <c r="O642" s="45">
        <f t="shared" si="173"/>
        <v>490</v>
      </c>
      <c r="P642" s="19">
        <f t="shared" si="174"/>
        <v>81.67</v>
      </c>
      <c r="Q642" s="177">
        <v>72</v>
      </c>
      <c r="R642" s="40">
        <v>58</v>
      </c>
      <c r="S642" s="41">
        <v>80</v>
      </c>
      <c r="T642" s="42">
        <v>103</v>
      </c>
      <c r="U642" s="43">
        <v>80</v>
      </c>
      <c r="V642" s="44">
        <v>97</v>
      </c>
      <c r="W642" s="45">
        <f t="shared" si="165"/>
        <v>490</v>
      </c>
      <c r="X642" s="19">
        <f t="shared" si="166"/>
        <v>81.67</v>
      </c>
      <c r="Y642" s="3">
        <v>72</v>
      </c>
      <c r="Z642" s="4">
        <v>58</v>
      </c>
      <c r="AA642" s="5">
        <v>80</v>
      </c>
      <c r="AB642" s="6">
        <v>103</v>
      </c>
      <c r="AC642" s="7">
        <v>80</v>
      </c>
      <c r="AD642" s="8">
        <v>97</v>
      </c>
      <c r="AE642" s="1">
        <v>490</v>
      </c>
      <c r="AF642" s="19">
        <v>81.67</v>
      </c>
      <c r="AG642" s="139">
        <v>72</v>
      </c>
      <c r="AH642" s="140">
        <v>58</v>
      </c>
      <c r="AI642" s="141">
        <v>80</v>
      </c>
      <c r="AJ642" s="142">
        <v>103</v>
      </c>
      <c r="AK642" s="143">
        <v>80</v>
      </c>
      <c r="AL642" s="144">
        <v>97</v>
      </c>
      <c r="AM642" s="138">
        <v>490</v>
      </c>
      <c r="AN642" s="153">
        <v>81.67</v>
      </c>
      <c r="AW642" s="45"/>
      <c r="AX642" s="174" t="b">
        <f>IF('Refined Compare'!$D$2="All",TRUE,IF(F642='Refined Compare'!$D$2,TRUE,IF(G642='Refined Compare'!$D$2,TRUE,FALSE)))</f>
        <v>0</v>
      </c>
      <c r="AY642" s="174" t="b">
        <f>IF('Refined Compare'!$D$3="All",TRUE,IF(F642='Refined Compare'!$D$3,TRUE,IF(G642='Refined Compare'!$D$3,TRUE,FALSE)))</f>
        <v>0</v>
      </c>
      <c r="AZ642" s="174" t="b">
        <f t="shared" ref="AZ642:AZ705" si="175">IF(C642&lt;=$AW$2,TRUE,FALSE)</f>
        <v>0</v>
      </c>
    </row>
    <row r="643" spans="1:52" x14ac:dyDescent="0.35">
      <c r="A643">
        <f t="shared" si="164"/>
        <v>642</v>
      </c>
      <c r="B643" s="18">
        <v>562</v>
      </c>
      <c r="C643" s="61">
        <v>5</v>
      </c>
      <c r="D643" s="118" t="b">
        <v>0</v>
      </c>
      <c r="E643" s="61"/>
      <c r="F643" s="66" t="s">
        <v>821</v>
      </c>
      <c r="G643" s="66" t="s">
        <v>827</v>
      </c>
      <c r="H643" s="38" t="s">
        <v>78</v>
      </c>
      <c r="I643" s="39">
        <f t="shared" si="167"/>
        <v>38</v>
      </c>
      <c r="J643" s="40">
        <f t="shared" si="168"/>
        <v>30</v>
      </c>
      <c r="K643" s="41">
        <f t="shared" si="169"/>
        <v>85</v>
      </c>
      <c r="L643" s="42">
        <f t="shared" si="170"/>
        <v>55</v>
      </c>
      <c r="M643" s="43">
        <f t="shared" si="171"/>
        <v>65</v>
      </c>
      <c r="N643" s="44">
        <f t="shared" si="172"/>
        <v>30</v>
      </c>
      <c r="O643" s="45">
        <f t="shared" si="173"/>
        <v>303</v>
      </c>
      <c r="P643" s="19">
        <f t="shared" si="174"/>
        <v>50.5</v>
      </c>
      <c r="Q643" s="177">
        <v>38</v>
      </c>
      <c r="R643" s="40">
        <v>30</v>
      </c>
      <c r="S643" s="41">
        <v>85</v>
      </c>
      <c r="T643" s="42">
        <v>55</v>
      </c>
      <c r="U643" s="43">
        <v>65</v>
      </c>
      <c r="V643" s="44">
        <v>30</v>
      </c>
      <c r="W643" s="45">
        <f t="shared" si="165"/>
        <v>303</v>
      </c>
      <c r="X643" s="19">
        <f t="shared" si="166"/>
        <v>50.5</v>
      </c>
      <c r="Y643" s="3">
        <v>38</v>
      </c>
      <c r="Z643" s="4">
        <v>30</v>
      </c>
      <c r="AA643" s="5">
        <v>85</v>
      </c>
      <c r="AB643" s="6">
        <v>55</v>
      </c>
      <c r="AC643" s="7">
        <v>65</v>
      </c>
      <c r="AD643" s="8">
        <v>30</v>
      </c>
      <c r="AE643" s="1">
        <v>303</v>
      </c>
      <c r="AF643" s="19">
        <v>50.5</v>
      </c>
      <c r="AG643" s="139">
        <v>38</v>
      </c>
      <c r="AH643" s="140">
        <v>30</v>
      </c>
      <c r="AI643" s="141">
        <v>85</v>
      </c>
      <c r="AJ643" s="142">
        <v>55</v>
      </c>
      <c r="AK643" s="143">
        <v>65</v>
      </c>
      <c r="AL643" s="144">
        <v>30</v>
      </c>
      <c r="AM643" s="138">
        <v>303</v>
      </c>
      <c r="AN643" s="153">
        <v>50.5</v>
      </c>
      <c r="AW643" s="45"/>
      <c r="AX643" s="174" t="b">
        <f>IF('Refined Compare'!$D$2="All",TRUE,IF(F643='Refined Compare'!$D$2,TRUE,IF(G643='Refined Compare'!$D$2,TRUE,FALSE)))</f>
        <v>0</v>
      </c>
      <c r="AY643" s="174" t="b">
        <f>IF('Refined Compare'!$D$3="All",TRUE,IF(F643='Refined Compare'!$D$3,TRUE,IF(G643='Refined Compare'!$D$3,TRUE,FALSE)))</f>
        <v>1</v>
      </c>
      <c r="AZ643" s="174" t="b">
        <f t="shared" si="175"/>
        <v>0</v>
      </c>
    </row>
    <row r="644" spans="1:52" x14ac:dyDescent="0.35">
      <c r="A644">
        <f t="shared" si="164"/>
        <v>643</v>
      </c>
      <c r="B644" s="18">
        <v>563</v>
      </c>
      <c r="C644" s="61">
        <v>5</v>
      </c>
      <c r="D644" s="118" t="b">
        <v>1</v>
      </c>
      <c r="E644" s="61"/>
      <c r="F644" s="66" t="s">
        <v>821</v>
      </c>
      <c r="G644" s="66" t="s">
        <v>827</v>
      </c>
      <c r="H644" s="38" t="s">
        <v>79</v>
      </c>
      <c r="I644" s="39">
        <f t="shared" si="167"/>
        <v>58</v>
      </c>
      <c r="J644" s="40">
        <f t="shared" si="168"/>
        <v>50</v>
      </c>
      <c r="K644" s="41">
        <f t="shared" si="169"/>
        <v>145</v>
      </c>
      <c r="L644" s="42">
        <f t="shared" si="170"/>
        <v>95</v>
      </c>
      <c r="M644" s="43">
        <f t="shared" si="171"/>
        <v>105</v>
      </c>
      <c r="N644" s="44">
        <f t="shared" si="172"/>
        <v>30</v>
      </c>
      <c r="O644" s="45">
        <f t="shared" si="173"/>
        <v>483</v>
      </c>
      <c r="P644" s="19">
        <f t="shared" si="174"/>
        <v>80.5</v>
      </c>
      <c r="Q644" s="177">
        <v>58</v>
      </c>
      <c r="R644" s="40">
        <v>50</v>
      </c>
      <c r="S644" s="41">
        <v>145</v>
      </c>
      <c r="T644" s="42">
        <v>95</v>
      </c>
      <c r="U644" s="43">
        <v>105</v>
      </c>
      <c r="V644" s="44">
        <v>30</v>
      </c>
      <c r="W644" s="45">
        <f t="shared" si="165"/>
        <v>483</v>
      </c>
      <c r="X644" s="19">
        <f t="shared" si="166"/>
        <v>80.5</v>
      </c>
      <c r="Y644" s="3">
        <v>58</v>
      </c>
      <c r="Z644" s="4">
        <v>50</v>
      </c>
      <c r="AA644" s="5">
        <v>145</v>
      </c>
      <c r="AB644" s="6">
        <v>95</v>
      </c>
      <c r="AC644" s="7">
        <v>105</v>
      </c>
      <c r="AD644" s="8">
        <v>30</v>
      </c>
      <c r="AE644" s="1">
        <v>483</v>
      </c>
      <c r="AF644" s="19">
        <v>80.5</v>
      </c>
      <c r="AG644" s="139">
        <v>58</v>
      </c>
      <c r="AH644" s="140">
        <v>50</v>
      </c>
      <c r="AI644" s="141">
        <v>145</v>
      </c>
      <c r="AJ644" s="142">
        <v>95</v>
      </c>
      <c r="AK644" s="143">
        <v>105</v>
      </c>
      <c r="AL644" s="144">
        <v>30</v>
      </c>
      <c r="AM644" s="138">
        <v>483</v>
      </c>
      <c r="AN644" s="153">
        <v>80.5</v>
      </c>
      <c r="AW644" s="45"/>
      <c r="AX644" s="174" t="b">
        <f>IF('Refined Compare'!$D$2="All",TRUE,IF(F644='Refined Compare'!$D$2,TRUE,IF(G644='Refined Compare'!$D$2,TRUE,FALSE)))</f>
        <v>0</v>
      </c>
      <c r="AY644" s="174" t="b">
        <f>IF('Refined Compare'!$D$3="All",TRUE,IF(F644='Refined Compare'!$D$3,TRUE,IF(G644='Refined Compare'!$D$3,TRUE,FALSE)))</f>
        <v>1</v>
      </c>
      <c r="AZ644" s="174" t="b">
        <f t="shared" si="175"/>
        <v>0</v>
      </c>
    </row>
    <row r="645" spans="1:52" x14ac:dyDescent="0.35">
      <c r="A645">
        <f t="shared" si="164"/>
        <v>644</v>
      </c>
      <c r="B645" s="18">
        <v>564</v>
      </c>
      <c r="C645" s="61">
        <v>5</v>
      </c>
      <c r="D645" s="61" t="b">
        <v>0</v>
      </c>
      <c r="E645" s="61"/>
      <c r="F645" s="66" t="s">
        <v>810</v>
      </c>
      <c r="G645" s="66" t="s">
        <v>818</v>
      </c>
      <c r="H645" s="38" t="s">
        <v>29</v>
      </c>
      <c r="I645" s="39">
        <f t="shared" si="167"/>
        <v>54</v>
      </c>
      <c r="J645" s="40">
        <f t="shared" si="168"/>
        <v>78</v>
      </c>
      <c r="K645" s="41">
        <f t="shared" si="169"/>
        <v>103</v>
      </c>
      <c r="L645" s="42">
        <f t="shared" si="170"/>
        <v>53</v>
      </c>
      <c r="M645" s="43">
        <f t="shared" si="171"/>
        <v>45</v>
      </c>
      <c r="N645" s="44">
        <f t="shared" si="172"/>
        <v>22</v>
      </c>
      <c r="O645" s="45">
        <f t="shared" si="173"/>
        <v>355</v>
      </c>
      <c r="P645" s="19">
        <f t="shared" si="174"/>
        <v>59.17</v>
      </c>
      <c r="Q645" s="177">
        <v>54</v>
      </c>
      <c r="R645" s="40">
        <v>78</v>
      </c>
      <c r="S645" s="41">
        <v>103</v>
      </c>
      <c r="T645" s="42">
        <v>53</v>
      </c>
      <c r="U645" s="43">
        <v>45</v>
      </c>
      <c r="V645" s="44">
        <v>22</v>
      </c>
      <c r="W645" s="45">
        <f t="shared" si="165"/>
        <v>355</v>
      </c>
      <c r="X645" s="19">
        <f t="shared" si="166"/>
        <v>59.17</v>
      </c>
      <c r="Y645" s="3">
        <v>54</v>
      </c>
      <c r="Z645" s="4">
        <v>78</v>
      </c>
      <c r="AA645" s="5">
        <v>103</v>
      </c>
      <c r="AB645" s="6">
        <v>53</v>
      </c>
      <c r="AC645" s="7">
        <v>45</v>
      </c>
      <c r="AD645" s="8">
        <v>22</v>
      </c>
      <c r="AE645" s="1">
        <v>355</v>
      </c>
      <c r="AF645" s="19">
        <v>59.17</v>
      </c>
      <c r="AG645" s="139">
        <v>54</v>
      </c>
      <c r="AH645" s="140">
        <v>78</v>
      </c>
      <c r="AI645" s="141">
        <v>103</v>
      </c>
      <c r="AJ645" s="142">
        <v>53</v>
      </c>
      <c r="AK645" s="143">
        <v>45</v>
      </c>
      <c r="AL645" s="144">
        <v>22</v>
      </c>
      <c r="AM645" s="138">
        <v>355</v>
      </c>
      <c r="AN645" s="153">
        <v>59.17</v>
      </c>
      <c r="AW645" s="45"/>
      <c r="AX645" s="174" t="b">
        <f>IF('Refined Compare'!$D$2="All",TRUE,IF(F645='Refined Compare'!$D$2,TRUE,IF(G645='Refined Compare'!$D$2,TRUE,FALSE)))</f>
        <v>0</v>
      </c>
      <c r="AY645" s="174" t="b">
        <f>IF('Refined Compare'!$D$3="All",TRUE,IF(F645='Refined Compare'!$D$3,TRUE,IF(G645='Refined Compare'!$D$3,TRUE,FALSE)))</f>
        <v>0</v>
      </c>
      <c r="AZ645" s="174" t="b">
        <f t="shared" si="175"/>
        <v>0</v>
      </c>
    </row>
    <row r="646" spans="1:52" x14ac:dyDescent="0.35">
      <c r="A646">
        <f t="shared" si="164"/>
        <v>645</v>
      </c>
      <c r="B646" s="18">
        <v>565</v>
      </c>
      <c r="C646" s="61">
        <v>5</v>
      </c>
      <c r="D646" s="118" t="b">
        <v>1</v>
      </c>
      <c r="E646" s="61"/>
      <c r="F646" s="66" t="s">
        <v>810</v>
      </c>
      <c r="G646" s="66" t="s">
        <v>818</v>
      </c>
      <c r="H646" s="38" t="s">
        <v>90</v>
      </c>
      <c r="I646" s="39">
        <f t="shared" si="167"/>
        <v>74</v>
      </c>
      <c r="J646" s="40">
        <f t="shared" si="168"/>
        <v>108</v>
      </c>
      <c r="K646" s="41">
        <f t="shared" si="169"/>
        <v>133</v>
      </c>
      <c r="L646" s="42">
        <f t="shared" si="170"/>
        <v>83</v>
      </c>
      <c r="M646" s="43">
        <f t="shared" si="171"/>
        <v>65</v>
      </c>
      <c r="N646" s="44">
        <f t="shared" si="172"/>
        <v>32</v>
      </c>
      <c r="O646" s="45">
        <f t="shared" si="173"/>
        <v>495</v>
      </c>
      <c r="P646" s="19">
        <f t="shared" si="174"/>
        <v>82.5</v>
      </c>
      <c r="Q646" s="177">
        <v>74</v>
      </c>
      <c r="R646" s="40">
        <v>108</v>
      </c>
      <c r="S646" s="41">
        <v>133</v>
      </c>
      <c r="T646" s="42">
        <v>83</v>
      </c>
      <c r="U646" s="43">
        <v>65</v>
      </c>
      <c r="V646" s="44">
        <v>32</v>
      </c>
      <c r="W646" s="45">
        <f t="shared" si="165"/>
        <v>495</v>
      </c>
      <c r="X646" s="19">
        <f t="shared" si="166"/>
        <v>82.5</v>
      </c>
      <c r="Y646" s="3">
        <v>74</v>
      </c>
      <c r="Z646" s="4">
        <v>108</v>
      </c>
      <c r="AA646" s="5">
        <v>133</v>
      </c>
      <c r="AB646" s="6">
        <v>83</v>
      </c>
      <c r="AC646" s="7">
        <v>65</v>
      </c>
      <c r="AD646" s="8">
        <v>32</v>
      </c>
      <c r="AE646" s="1">
        <v>495</v>
      </c>
      <c r="AF646" s="19">
        <v>82.5</v>
      </c>
      <c r="AG646" s="139">
        <v>74</v>
      </c>
      <c r="AH646" s="140">
        <v>108</v>
      </c>
      <c r="AI646" s="141">
        <v>133</v>
      </c>
      <c r="AJ646" s="142">
        <v>83</v>
      </c>
      <c r="AK646" s="143">
        <v>65</v>
      </c>
      <c r="AL646" s="144">
        <v>32</v>
      </c>
      <c r="AM646" s="138">
        <v>495</v>
      </c>
      <c r="AN646" s="153">
        <v>82.5</v>
      </c>
      <c r="AW646" s="45"/>
      <c r="AX646" s="174" t="b">
        <f>IF('Refined Compare'!$D$2="All",TRUE,IF(F646='Refined Compare'!$D$2,TRUE,IF(G646='Refined Compare'!$D$2,TRUE,FALSE)))</f>
        <v>0</v>
      </c>
      <c r="AY646" s="174" t="b">
        <f>IF('Refined Compare'!$D$3="All",TRUE,IF(F646='Refined Compare'!$D$3,TRUE,IF(G646='Refined Compare'!$D$3,TRUE,FALSE)))</f>
        <v>0</v>
      </c>
      <c r="AZ646" s="174" t="b">
        <f t="shared" si="175"/>
        <v>0</v>
      </c>
    </row>
    <row r="647" spans="1:52" x14ac:dyDescent="0.35">
      <c r="A647">
        <f t="shared" si="164"/>
        <v>646</v>
      </c>
      <c r="B647" s="18">
        <v>566</v>
      </c>
      <c r="C647" s="61">
        <v>5</v>
      </c>
      <c r="D647" s="61" t="b">
        <v>0</v>
      </c>
      <c r="E647" s="61"/>
      <c r="F647" s="66" t="s">
        <v>818</v>
      </c>
      <c r="G647" s="66" t="s">
        <v>809</v>
      </c>
      <c r="H647" s="38" t="s">
        <v>450</v>
      </c>
      <c r="I647" s="39">
        <f t="shared" si="167"/>
        <v>55</v>
      </c>
      <c r="J647" s="40">
        <f t="shared" si="168"/>
        <v>112</v>
      </c>
      <c r="K647" s="41">
        <f t="shared" si="169"/>
        <v>45</v>
      </c>
      <c r="L647" s="42">
        <f t="shared" si="170"/>
        <v>74</v>
      </c>
      <c r="M647" s="43">
        <f t="shared" si="171"/>
        <v>45</v>
      </c>
      <c r="N647" s="44">
        <f t="shared" si="172"/>
        <v>70</v>
      </c>
      <c r="O647" s="45">
        <f t="shared" si="173"/>
        <v>401</v>
      </c>
      <c r="P647" s="19">
        <f t="shared" si="174"/>
        <v>66.83</v>
      </c>
      <c r="Q647" s="177">
        <v>55</v>
      </c>
      <c r="R647" s="40">
        <v>112</v>
      </c>
      <c r="S647" s="41">
        <v>45</v>
      </c>
      <c r="T647" s="42">
        <v>74</v>
      </c>
      <c r="U647" s="43">
        <v>45</v>
      </c>
      <c r="V647" s="44">
        <v>70</v>
      </c>
      <c r="W647" s="45">
        <f t="shared" si="165"/>
        <v>401</v>
      </c>
      <c r="X647" s="19">
        <f t="shared" si="166"/>
        <v>66.83</v>
      </c>
      <c r="Y647" s="3">
        <v>55</v>
      </c>
      <c r="Z647" s="4">
        <v>112</v>
      </c>
      <c r="AA647" s="5">
        <v>45</v>
      </c>
      <c r="AB647" s="6">
        <v>74</v>
      </c>
      <c r="AC647" s="7">
        <v>45</v>
      </c>
      <c r="AD647" s="8">
        <v>70</v>
      </c>
      <c r="AE647" s="1">
        <v>401</v>
      </c>
      <c r="AF647" s="19">
        <v>66.83</v>
      </c>
      <c r="AG647" s="139">
        <v>55</v>
      </c>
      <c r="AH647" s="140">
        <v>112</v>
      </c>
      <c r="AI647" s="141">
        <v>45</v>
      </c>
      <c r="AJ647" s="142">
        <v>74</v>
      </c>
      <c r="AK647" s="143">
        <v>45</v>
      </c>
      <c r="AL647" s="144">
        <v>70</v>
      </c>
      <c r="AM647" s="138">
        <v>401</v>
      </c>
      <c r="AN647" s="153">
        <v>66.83</v>
      </c>
      <c r="AW647" s="45"/>
      <c r="AX647" s="174" t="b">
        <f>IF('Refined Compare'!$D$2="All",TRUE,IF(F647='Refined Compare'!$D$2,TRUE,IF(G647='Refined Compare'!$D$2,TRUE,FALSE)))</f>
        <v>0</v>
      </c>
      <c r="AY647" s="174" t="b">
        <f>IF('Refined Compare'!$D$3="All",TRUE,IF(F647='Refined Compare'!$D$3,TRUE,IF(G647='Refined Compare'!$D$3,TRUE,FALSE)))</f>
        <v>0</v>
      </c>
      <c r="AZ647" s="174" t="b">
        <f t="shared" si="175"/>
        <v>0</v>
      </c>
    </row>
    <row r="648" spans="1:52" x14ac:dyDescent="0.35">
      <c r="A648">
        <f t="shared" si="164"/>
        <v>647</v>
      </c>
      <c r="B648" s="18">
        <v>567</v>
      </c>
      <c r="C648" s="61">
        <v>5</v>
      </c>
      <c r="D648" s="118" t="b">
        <v>1</v>
      </c>
      <c r="E648" s="61"/>
      <c r="F648" s="66" t="s">
        <v>818</v>
      </c>
      <c r="G648" s="66" t="s">
        <v>809</v>
      </c>
      <c r="H648" s="38" t="s">
        <v>728</v>
      </c>
      <c r="I648" s="39">
        <f t="shared" si="167"/>
        <v>75</v>
      </c>
      <c r="J648" s="40">
        <f t="shared" si="168"/>
        <v>140</v>
      </c>
      <c r="K648" s="41">
        <f t="shared" si="169"/>
        <v>65</v>
      </c>
      <c r="L648" s="42">
        <f t="shared" si="170"/>
        <v>112</v>
      </c>
      <c r="M648" s="43">
        <f t="shared" si="171"/>
        <v>65</v>
      </c>
      <c r="N648" s="44">
        <f t="shared" si="172"/>
        <v>110</v>
      </c>
      <c r="O648" s="45">
        <f t="shared" si="173"/>
        <v>567</v>
      </c>
      <c r="P648" s="19">
        <f t="shared" si="174"/>
        <v>94.5</v>
      </c>
      <c r="Q648" s="177">
        <v>75</v>
      </c>
      <c r="R648" s="40">
        <v>140</v>
      </c>
      <c r="S648" s="41">
        <v>65</v>
      </c>
      <c r="T648" s="42">
        <v>112</v>
      </c>
      <c r="U648" s="43">
        <v>65</v>
      </c>
      <c r="V648" s="44">
        <v>110</v>
      </c>
      <c r="W648" s="45">
        <f t="shared" si="165"/>
        <v>567</v>
      </c>
      <c r="X648" s="19">
        <f t="shared" si="166"/>
        <v>94.5</v>
      </c>
      <c r="Y648" s="3">
        <v>75</v>
      </c>
      <c r="Z648" s="4">
        <v>140</v>
      </c>
      <c r="AA648" s="5">
        <v>65</v>
      </c>
      <c r="AB648" s="6">
        <v>112</v>
      </c>
      <c r="AC648" s="7">
        <v>65</v>
      </c>
      <c r="AD648" s="8">
        <v>110</v>
      </c>
      <c r="AE648" s="1">
        <v>567</v>
      </c>
      <c r="AF648" s="19">
        <v>94.5</v>
      </c>
      <c r="AG648" s="139">
        <v>75</v>
      </c>
      <c r="AH648" s="140">
        <v>140</v>
      </c>
      <c r="AI648" s="141">
        <v>65</v>
      </c>
      <c r="AJ648" s="142">
        <v>112</v>
      </c>
      <c r="AK648" s="143">
        <v>65</v>
      </c>
      <c r="AL648" s="144">
        <v>110</v>
      </c>
      <c r="AM648" s="138">
        <v>567</v>
      </c>
      <c r="AN648" s="153">
        <v>94.5</v>
      </c>
      <c r="AW648" s="45"/>
      <c r="AX648" s="174" t="b">
        <f>IF('Refined Compare'!$D$2="All",TRUE,IF(F648='Refined Compare'!$D$2,TRUE,IF(G648='Refined Compare'!$D$2,TRUE,FALSE)))</f>
        <v>0</v>
      </c>
      <c r="AY648" s="174" t="b">
        <f>IF('Refined Compare'!$D$3="All",TRUE,IF(F648='Refined Compare'!$D$3,TRUE,IF(G648='Refined Compare'!$D$3,TRUE,FALSE)))</f>
        <v>0</v>
      </c>
      <c r="AZ648" s="174" t="b">
        <f t="shared" si="175"/>
        <v>0</v>
      </c>
    </row>
    <row r="649" spans="1:52" x14ac:dyDescent="0.35">
      <c r="A649">
        <f t="shared" si="164"/>
        <v>648</v>
      </c>
      <c r="B649" s="18">
        <v>568</v>
      </c>
      <c r="C649" s="61">
        <v>5</v>
      </c>
      <c r="D649" s="61" t="b">
        <v>0</v>
      </c>
      <c r="E649" s="61"/>
      <c r="F649" s="66" t="s">
        <v>807</v>
      </c>
      <c r="G649" s="66" t="s">
        <v>827</v>
      </c>
      <c r="H649" s="38" t="s">
        <v>395</v>
      </c>
      <c r="I649" s="39">
        <f t="shared" si="167"/>
        <v>50</v>
      </c>
      <c r="J649" s="40">
        <f t="shared" si="168"/>
        <v>50</v>
      </c>
      <c r="K649" s="41">
        <f t="shared" si="169"/>
        <v>62</v>
      </c>
      <c r="L649" s="42">
        <f t="shared" si="170"/>
        <v>40</v>
      </c>
      <c r="M649" s="43">
        <f t="shared" si="171"/>
        <v>62</v>
      </c>
      <c r="N649" s="44">
        <f t="shared" si="172"/>
        <v>65</v>
      </c>
      <c r="O649" s="45">
        <f t="shared" si="173"/>
        <v>329</v>
      </c>
      <c r="P649" s="19">
        <f t="shared" si="174"/>
        <v>54.83</v>
      </c>
      <c r="Q649" s="177">
        <v>50</v>
      </c>
      <c r="R649" s="40">
        <v>50</v>
      </c>
      <c r="S649" s="41">
        <v>62</v>
      </c>
      <c r="T649" s="42">
        <v>40</v>
      </c>
      <c r="U649" s="43">
        <v>62</v>
      </c>
      <c r="V649" s="44">
        <v>65</v>
      </c>
      <c r="W649" s="45">
        <f t="shared" si="165"/>
        <v>329</v>
      </c>
      <c r="X649" s="19">
        <f t="shared" si="166"/>
        <v>54.83</v>
      </c>
      <c r="Y649" s="3">
        <v>50</v>
      </c>
      <c r="Z649" s="4">
        <v>50</v>
      </c>
      <c r="AA649" s="5">
        <v>62</v>
      </c>
      <c r="AB649" s="6">
        <v>40</v>
      </c>
      <c r="AC649" s="7">
        <v>62</v>
      </c>
      <c r="AD649" s="8">
        <v>65</v>
      </c>
      <c r="AE649" s="1">
        <v>329</v>
      </c>
      <c r="AF649" s="19">
        <v>54.83</v>
      </c>
      <c r="AG649" s="139">
        <v>50</v>
      </c>
      <c r="AH649" s="140">
        <v>50</v>
      </c>
      <c r="AI649" s="141">
        <v>62</v>
      </c>
      <c r="AJ649" s="142">
        <v>40</v>
      </c>
      <c r="AK649" s="143">
        <v>62</v>
      </c>
      <c r="AL649" s="144">
        <v>65</v>
      </c>
      <c r="AM649" s="138">
        <v>329</v>
      </c>
      <c r="AN649" s="153">
        <v>54.83</v>
      </c>
      <c r="AW649" s="45"/>
      <c r="AX649" s="174" t="b">
        <f>IF('Refined Compare'!$D$2="All",TRUE,IF(F649='Refined Compare'!$D$2,TRUE,IF(G649='Refined Compare'!$D$2,TRUE,FALSE)))</f>
        <v>0</v>
      </c>
      <c r="AY649" s="174" t="b">
        <f>IF('Refined Compare'!$D$3="All",TRUE,IF(F649='Refined Compare'!$D$3,TRUE,IF(G649='Refined Compare'!$D$3,TRUE,FALSE)))</f>
        <v>1</v>
      </c>
      <c r="AZ649" s="174" t="b">
        <f t="shared" si="175"/>
        <v>0</v>
      </c>
    </row>
    <row r="650" spans="1:52" x14ac:dyDescent="0.35">
      <c r="A650">
        <f t="shared" si="164"/>
        <v>649</v>
      </c>
      <c r="B650" s="18">
        <v>569</v>
      </c>
      <c r="C650" s="61">
        <v>5</v>
      </c>
      <c r="D650" s="118" t="b">
        <v>1</v>
      </c>
      <c r="E650" s="61"/>
      <c r="F650" s="66" t="s">
        <v>807</v>
      </c>
      <c r="G650" s="66" t="s">
        <v>827</v>
      </c>
      <c r="H650" s="38" t="s">
        <v>481</v>
      </c>
      <c r="I650" s="39">
        <f t="shared" si="167"/>
        <v>80</v>
      </c>
      <c r="J650" s="40">
        <f t="shared" si="168"/>
        <v>95</v>
      </c>
      <c r="K650" s="41">
        <f t="shared" si="169"/>
        <v>82</v>
      </c>
      <c r="L650" s="42">
        <f t="shared" si="170"/>
        <v>60</v>
      </c>
      <c r="M650" s="43">
        <f t="shared" si="171"/>
        <v>82</v>
      </c>
      <c r="N650" s="44">
        <f t="shared" si="172"/>
        <v>75</v>
      </c>
      <c r="O650" s="45">
        <f t="shared" si="173"/>
        <v>474</v>
      </c>
      <c r="P650" s="19">
        <f t="shared" si="174"/>
        <v>79</v>
      </c>
      <c r="Q650" s="177">
        <v>80</v>
      </c>
      <c r="R650" s="40">
        <v>95</v>
      </c>
      <c r="S650" s="41">
        <v>82</v>
      </c>
      <c r="T650" s="42">
        <v>60</v>
      </c>
      <c r="U650" s="43">
        <v>82</v>
      </c>
      <c r="V650" s="44">
        <v>75</v>
      </c>
      <c r="W650" s="45">
        <f t="shared" si="165"/>
        <v>474</v>
      </c>
      <c r="X650" s="19">
        <f t="shared" si="166"/>
        <v>79</v>
      </c>
      <c r="Y650" s="3">
        <v>80</v>
      </c>
      <c r="Z650" s="4">
        <v>95</v>
      </c>
      <c r="AA650" s="5">
        <v>82</v>
      </c>
      <c r="AB650" s="6">
        <v>60</v>
      </c>
      <c r="AC650" s="7">
        <v>82</v>
      </c>
      <c r="AD650" s="8">
        <v>75</v>
      </c>
      <c r="AE650" s="1">
        <v>474</v>
      </c>
      <c r="AF650" s="19">
        <v>79</v>
      </c>
      <c r="AG650" s="139">
        <v>80</v>
      </c>
      <c r="AH650" s="140">
        <v>95</v>
      </c>
      <c r="AI650" s="141">
        <v>82</v>
      </c>
      <c r="AJ650" s="142">
        <v>60</v>
      </c>
      <c r="AK650" s="143">
        <v>82</v>
      </c>
      <c r="AL650" s="144">
        <v>75</v>
      </c>
      <c r="AM650" s="138">
        <v>474</v>
      </c>
      <c r="AN650" s="153">
        <v>79</v>
      </c>
      <c r="AW650" s="45"/>
      <c r="AX650" s="174" t="b">
        <f>IF('Refined Compare'!$D$2="All",TRUE,IF(F650='Refined Compare'!$D$2,TRUE,IF(G650='Refined Compare'!$D$2,TRUE,FALSE)))</f>
        <v>0</v>
      </c>
      <c r="AY650" s="174" t="b">
        <f>IF('Refined Compare'!$D$3="All",TRUE,IF(F650='Refined Compare'!$D$3,TRUE,IF(G650='Refined Compare'!$D$3,TRUE,FALSE)))</f>
        <v>1</v>
      </c>
      <c r="AZ650" s="174" t="b">
        <f t="shared" si="175"/>
        <v>0</v>
      </c>
    </row>
    <row r="651" spans="1:52" x14ac:dyDescent="0.35">
      <c r="A651">
        <f t="shared" si="164"/>
        <v>650</v>
      </c>
      <c r="B651" s="18">
        <v>570</v>
      </c>
      <c r="C651" s="61">
        <v>5</v>
      </c>
      <c r="D651" s="61" t="b">
        <v>0</v>
      </c>
      <c r="E651" s="61"/>
      <c r="F651" s="66" t="s">
        <v>823</v>
      </c>
      <c r="G651" s="66" t="s">
        <v>827</v>
      </c>
      <c r="H651" s="38" t="s">
        <v>396</v>
      </c>
      <c r="I651" s="39">
        <f t="shared" si="167"/>
        <v>40</v>
      </c>
      <c r="J651" s="40">
        <f t="shared" si="168"/>
        <v>65</v>
      </c>
      <c r="K651" s="41">
        <f t="shared" si="169"/>
        <v>40</v>
      </c>
      <c r="L651" s="42">
        <f t="shared" si="170"/>
        <v>80</v>
      </c>
      <c r="M651" s="43">
        <f t="shared" si="171"/>
        <v>40</v>
      </c>
      <c r="N651" s="44">
        <f t="shared" si="172"/>
        <v>65</v>
      </c>
      <c r="O651" s="45">
        <f t="shared" si="173"/>
        <v>330</v>
      </c>
      <c r="P651" s="19">
        <f t="shared" si="174"/>
        <v>55</v>
      </c>
      <c r="Q651" s="177">
        <v>40</v>
      </c>
      <c r="R651" s="40">
        <v>65</v>
      </c>
      <c r="S651" s="41">
        <v>40</v>
      </c>
      <c r="T651" s="42">
        <v>80</v>
      </c>
      <c r="U651" s="43">
        <v>40</v>
      </c>
      <c r="V651" s="44">
        <v>65</v>
      </c>
      <c r="W651" s="45">
        <f t="shared" si="165"/>
        <v>330</v>
      </c>
      <c r="X651" s="19">
        <f t="shared" si="166"/>
        <v>55</v>
      </c>
      <c r="Y651" s="3">
        <v>40</v>
      </c>
      <c r="Z651" s="4">
        <v>65</v>
      </c>
      <c r="AA651" s="5">
        <v>40</v>
      </c>
      <c r="AB651" s="6">
        <v>80</v>
      </c>
      <c r="AC651" s="7">
        <v>40</v>
      </c>
      <c r="AD651" s="8">
        <v>65</v>
      </c>
      <c r="AE651" s="1">
        <v>330</v>
      </c>
      <c r="AF651" s="19">
        <v>55</v>
      </c>
      <c r="AG651" s="139">
        <v>40</v>
      </c>
      <c r="AH651" s="140">
        <v>65</v>
      </c>
      <c r="AI651" s="141">
        <v>40</v>
      </c>
      <c r="AJ651" s="142">
        <v>80</v>
      </c>
      <c r="AK651" s="143">
        <v>40</v>
      </c>
      <c r="AL651" s="144">
        <v>65</v>
      </c>
      <c r="AM651" s="138">
        <v>330</v>
      </c>
      <c r="AN651" s="153">
        <v>55</v>
      </c>
      <c r="AW651" s="45"/>
      <c r="AX651" s="174" t="b">
        <f>IF('Refined Compare'!$D$2="All",TRUE,IF(F651='Refined Compare'!$D$2,TRUE,IF(G651='Refined Compare'!$D$2,TRUE,FALSE)))</f>
        <v>1</v>
      </c>
      <c r="AY651" s="174" t="b">
        <f>IF('Refined Compare'!$D$3="All",TRUE,IF(F651='Refined Compare'!$D$3,TRUE,IF(G651='Refined Compare'!$D$3,TRUE,FALSE)))</f>
        <v>1</v>
      </c>
      <c r="AZ651" s="174" t="b">
        <f t="shared" si="175"/>
        <v>0</v>
      </c>
    </row>
    <row r="652" spans="1:52" x14ac:dyDescent="0.35">
      <c r="A652">
        <f t="shared" si="164"/>
        <v>651</v>
      </c>
      <c r="B652" s="18">
        <v>571</v>
      </c>
      <c r="C652" s="61">
        <v>5</v>
      </c>
      <c r="D652" s="118" t="b">
        <v>1</v>
      </c>
      <c r="E652" s="61"/>
      <c r="F652" s="66" t="s">
        <v>823</v>
      </c>
      <c r="G652" s="66" t="s">
        <v>827</v>
      </c>
      <c r="H652" s="38" t="s">
        <v>702</v>
      </c>
      <c r="I652" s="39">
        <f t="shared" si="167"/>
        <v>60</v>
      </c>
      <c r="J652" s="40">
        <f t="shared" si="168"/>
        <v>105</v>
      </c>
      <c r="K652" s="41">
        <f t="shared" si="169"/>
        <v>60</v>
      </c>
      <c r="L652" s="42">
        <f t="shared" si="170"/>
        <v>120</v>
      </c>
      <c r="M652" s="43">
        <f t="shared" si="171"/>
        <v>60</v>
      </c>
      <c r="N652" s="44">
        <f t="shared" si="172"/>
        <v>105</v>
      </c>
      <c r="O652" s="45">
        <f t="shared" si="173"/>
        <v>510</v>
      </c>
      <c r="P652" s="19">
        <f t="shared" si="174"/>
        <v>85</v>
      </c>
      <c r="Q652" s="177">
        <v>60</v>
      </c>
      <c r="R652" s="40">
        <v>105</v>
      </c>
      <c r="S652" s="41">
        <v>60</v>
      </c>
      <c r="T652" s="42">
        <v>120</v>
      </c>
      <c r="U652" s="43">
        <v>60</v>
      </c>
      <c r="V652" s="44">
        <v>105</v>
      </c>
      <c r="W652" s="45">
        <f t="shared" si="165"/>
        <v>510</v>
      </c>
      <c r="X652" s="19">
        <f t="shared" si="166"/>
        <v>85</v>
      </c>
      <c r="Y652" s="3">
        <v>60</v>
      </c>
      <c r="Z652" s="4">
        <v>105</v>
      </c>
      <c r="AA652" s="5">
        <v>60</v>
      </c>
      <c r="AB652" s="6">
        <v>120</v>
      </c>
      <c r="AC652" s="7">
        <v>60</v>
      </c>
      <c r="AD652" s="8">
        <v>105</v>
      </c>
      <c r="AE652" s="1">
        <v>510</v>
      </c>
      <c r="AF652" s="19">
        <v>85</v>
      </c>
      <c r="AG652" s="139">
        <v>60</v>
      </c>
      <c r="AH652" s="140">
        <v>105</v>
      </c>
      <c r="AI652" s="141">
        <v>60</v>
      </c>
      <c r="AJ652" s="142">
        <v>120</v>
      </c>
      <c r="AK652" s="143">
        <v>60</v>
      </c>
      <c r="AL652" s="144">
        <v>105</v>
      </c>
      <c r="AM652" s="138">
        <v>510</v>
      </c>
      <c r="AN652" s="153">
        <v>85</v>
      </c>
      <c r="AW652" s="45"/>
      <c r="AX652" s="174" t="b">
        <f>IF('Refined Compare'!$D$2="All",TRUE,IF(F652='Refined Compare'!$D$2,TRUE,IF(G652='Refined Compare'!$D$2,TRUE,FALSE)))</f>
        <v>1</v>
      </c>
      <c r="AY652" s="174" t="b">
        <f>IF('Refined Compare'!$D$3="All",TRUE,IF(F652='Refined Compare'!$D$3,TRUE,IF(G652='Refined Compare'!$D$3,TRUE,FALSE)))</f>
        <v>1</v>
      </c>
      <c r="AZ652" s="174" t="b">
        <f t="shared" si="175"/>
        <v>0</v>
      </c>
    </row>
    <row r="653" spans="1:52" x14ac:dyDescent="0.35">
      <c r="A653">
        <f t="shared" si="164"/>
        <v>652</v>
      </c>
      <c r="B653" s="18">
        <v>572</v>
      </c>
      <c r="C653" s="61">
        <v>5</v>
      </c>
      <c r="D653" s="61" t="b">
        <v>0</v>
      </c>
      <c r="E653" s="61"/>
      <c r="F653" s="66" t="s">
        <v>812</v>
      </c>
      <c r="G653" s="66" t="s">
        <v>827</v>
      </c>
      <c r="H653" s="38" t="s">
        <v>482</v>
      </c>
      <c r="I653" s="39">
        <f t="shared" si="167"/>
        <v>55</v>
      </c>
      <c r="J653" s="40">
        <f t="shared" si="168"/>
        <v>50</v>
      </c>
      <c r="K653" s="41">
        <f t="shared" si="169"/>
        <v>40</v>
      </c>
      <c r="L653" s="42">
        <f t="shared" si="170"/>
        <v>40</v>
      </c>
      <c r="M653" s="43">
        <f t="shared" si="171"/>
        <v>40</v>
      </c>
      <c r="N653" s="44">
        <f t="shared" si="172"/>
        <v>75</v>
      </c>
      <c r="O653" s="45">
        <f t="shared" si="173"/>
        <v>300</v>
      </c>
      <c r="P653" s="19">
        <f t="shared" si="174"/>
        <v>50</v>
      </c>
      <c r="Q653" s="177">
        <v>55</v>
      </c>
      <c r="R653" s="40">
        <v>50</v>
      </c>
      <c r="S653" s="41">
        <v>40</v>
      </c>
      <c r="T653" s="42">
        <v>40</v>
      </c>
      <c r="U653" s="43">
        <v>40</v>
      </c>
      <c r="V653" s="44">
        <v>75</v>
      </c>
      <c r="W653" s="45">
        <f t="shared" si="165"/>
        <v>300</v>
      </c>
      <c r="X653" s="19">
        <f t="shared" si="166"/>
        <v>50</v>
      </c>
      <c r="Y653" s="3">
        <v>55</v>
      </c>
      <c r="Z653" s="4">
        <v>50</v>
      </c>
      <c r="AA653" s="5">
        <v>40</v>
      </c>
      <c r="AB653" s="6">
        <v>40</v>
      </c>
      <c r="AC653" s="7">
        <v>40</v>
      </c>
      <c r="AD653" s="8">
        <v>75</v>
      </c>
      <c r="AE653" s="1">
        <v>300</v>
      </c>
      <c r="AF653" s="19">
        <v>50</v>
      </c>
      <c r="AG653" s="139">
        <v>55</v>
      </c>
      <c r="AH653" s="140">
        <v>50</v>
      </c>
      <c r="AI653" s="141">
        <v>40</v>
      </c>
      <c r="AJ653" s="142">
        <v>40</v>
      </c>
      <c r="AK653" s="143">
        <v>40</v>
      </c>
      <c r="AL653" s="144">
        <v>75</v>
      </c>
      <c r="AM653" s="138">
        <v>300</v>
      </c>
      <c r="AN653" s="153">
        <v>50</v>
      </c>
      <c r="AW653" s="45"/>
      <c r="AX653" s="174" t="b">
        <f>IF('Refined Compare'!$D$2="All",TRUE,IF(F653='Refined Compare'!$D$2,TRUE,IF(G653='Refined Compare'!$D$2,TRUE,FALSE)))</f>
        <v>0</v>
      </c>
      <c r="AY653" s="174" t="b">
        <f>IF('Refined Compare'!$D$3="All",TRUE,IF(F653='Refined Compare'!$D$3,TRUE,IF(G653='Refined Compare'!$D$3,TRUE,FALSE)))</f>
        <v>1</v>
      </c>
      <c r="AZ653" s="174" t="b">
        <f t="shared" si="175"/>
        <v>0</v>
      </c>
    </row>
    <row r="654" spans="1:52" x14ac:dyDescent="0.35">
      <c r="A654">
        <f t="shared" si="164"/>
        <v>653</v>
      </c>
      <c r="B654" s="18">
        <v>573</v>
      </c>
      <c r="C654" s="61">
        <v>5</v>
      </c>
      <c r="D654" s="118" t="b">
        <v>1</v>
      </c>
      <c r="E654" s="61"/>
      <c r="F654" s="66" t="s">
        <v>812</v>
      </c>
      <c r="G654" s="66" t="s">
        <v>827</v>
      </c>
      <c r="H654" s="38" t="s">
        <v>745</v>
      </c>
      <c r="I654" s="39">
        <f t="shared" si="167"/>
        <v>75</v>
      </c>
      <c r="J654" s="40">
        <f t="shared" si="168"/>
        <v>95</v>
      </c>
      <c r="K654" s="41">
        <f t="shared" si="169"/>
        <v>60</v>
      </c>
      <c r="L654" s="42">
        <f t="shared" si="170"/>
        <v>65</v>
      </c>
      <c r="M654" s="43">
        <f t="shared" si="171"/>
        <v>60</v>
      </c>
      <c r="N654" s="44">
        <f t="shared" si="172"/>
        <v>115</v>
      </c>
      <c r="O654" s="45">
        <f t="shared" si="173"/>
        <v>470</v>
      </c>
      <c r="P654" s="19">
        <f t="shared" si="174"/>
        <v>78.33</v>
      </c>
      <c r="Q654" s="177">
        <v>75</v>
      </c>
      <c r="R654" s="40">
        <v>95</v>
      </c>
      <c r="S654" s="41">
        <v>60</v>
      </c>
      <c r="T654" s="42">
        <v>65</v>
      </c>
      <c r="U654" s="43">
        <v>60</v>
      </c>
      <c r="V654" s="44">
        <v>115</v>
      </c>
      <c r="W654" s="45">
        <f t="shared" si="165"/>
        <v>470</v>
      </c>
      <c r="X654" s="19">
        <f t="shared" si="166"/>
        <v>78.33</v>
      </c>
      <c r="Y654" s="3">
        <v>75</v>
      </c>
      <c r="Z654" s="4">
        <v>95</v>
      </c>
      <c r="AA654" s="5">
        <v>60</v>
      </c>
      <c r="AB654" s="6">
        <v>65</v>
      </c>
      <c r="AC654" s="7">
        <v>60</v>
      </c>
      <c r="AD654" s="8">
        <v>115</v>
      </c>
      <c r="AE654" s="1">
        <v>470</v>
      </c>
      <c r="AF654" s="19">
        <v>78.33</v>
      </c>
      <c r="AG654" s="139">
        <v>75</v>
      </c>
      <c r="AH654" s="140">
        <v>95</v>
      </c>
      <c r="AI654" s="141">
        <v>60</v>
      </c>
      <c r="AJ654" s="142">
        <v>65</v>
      </c>
      <c r="AK654" s="143">
        <v>60</v>
      </c>
      <c r="AL654" s="144">
        <v>115</v>
      </c>
      <c r="AM654" s="138">
        <v>470</v>
      </c>
      <c r="AN654" s="153">
        <v>78.33</v>
      </c>
      <c r="AW654" s="45"/>
      <c r="AX654" s="174" t="b">
        <f>IF('Refined Compare'!$D$2="All",TRUE,IF(F654='Refined Compare'!$D$2,TRUE,IF(G654='Refined Compare'!$D$2,TRUE,FALSE)))</f>
        <v>0</v>
      </c>
      <c r="AY654" s="174" t="b">
        <f>IF('Refined Compare'!$D$3="All",TRUE,IF(F654='Refined Compare'!$D$3,TRUE,IF(G654='Refined Compare'!$D$3,TRUE,FALSE)))</f>
        <v>1</v>
      </c>
      <c r="AZ654" s="174" t="b">
        <f t="shared" si="175"/>
        <v>0</v>
      </c>
    </row>
    <row r="655" spans="1:52" x14ac:dyDescent="0.35">
      <c r="A655">
        <f t="shared" ref="A655:A718" si="176">A654+1</f>
        <v>654</v>
      </c>
      <c r="B655" s="18">
        <v>574</v>
      </c>
      <c r="C655" s="61">
        <v>5</v>
      </c>
      <c r="D655" s="61" t="b">
        <v>0</v>
      </c>
      <c r="E655" s="61"/>
      <c r="F655" s="66" t="s">
        <v>817</v>
      </c>
      <c r="G655" s="66" t="s">
        <v>827</v>
      </c>
      <c r="H655" s="38" t="s">
        <v>198</v>
      </c>
      <c r="I655" s="39">
        <f t="shared" si="167"/>
        <v>45</v>
      </c>
      <c r="J655" s="40">
        <f t="shared" si="168"/>
        <v>30</v>
      </c>
      <c r="K655" s="41">
        <f t="shared" si="169"/>
        <v>50</v>
      </c>
      <c r="L655" s="42">
        <f t="shared" si="170"/>
        <v>55</v>
      </c>
      <c r="M655" s="43">
        <f t="shared" si="171"/>
        <v>65</v>
      </c>
      <c r="N655" s="44">
        <f t="shared" si="172"/>
        <v>45</v>
      </c>
      <c r="O655" s="45">
        <f t="shared" si="173"/>
        <v>290</v>
      </c>
      <c r="P655" s="19">
        <f t="shared" si="174"/>
        <v>48.33</v>
      </c>
      <c r="Q655" s="177">
        <v>45</v>
      </c>
      <c r="R655" s="40">
        <v>30</v>
      </c>
      <c r="S655" s="41">
        <v>50</v>
      </c>
      <c r="T655" s="42">
        <v>55</v>
      </c>
      <c r="U655" s="43">
        <v>65</v>
      </c>
      <c r="V655" s="44">
        <v>45</v>
      </c>
      <c r="W655" s="45">
        <f t="shared" si="165"/>
        <v>290</v>
      </c>
      <c r="X655" s="19">
        <f t="shared" si="166"/>
        <v>48.33</v>
      </c>
      <c r="Y655" s="3">
        <v>45</v>
      </c>
      <c r="Z655" s="4">
        <v>30</v>
      </c>
      <c r="AA655" s="5">
        <v>50</v>
      </c>
      <c r="AB655" s="6">
        <v>55</v>
      </c>
      <c r="AC655" s="7">
        <v>65</v>
      </c>
      <c r="AD655" s="8">
        <v>45</v>
      </c>
      <c r="AE655" s="1">
        <v>290</v>
      </c>
      <c r="AF655" s="19">
        <v>48.33</v>
      </c>
      <c r="AG655" s="139">
        <v>45</v>
      </c>
      <c r="AH655" s="140">
        <v>30</v>
      </c>
      <c r="AI655" s="141">
        <v>50</v>
      </c>
      <c r="AJ655" s="142">
        <v>55</v>
      </c>
      <c r="AK655" s="143">
        <v>65</v>
      </c>
      <c r="AL655" s="144">
        <v>45</v>
      </c>
      <c r="AM655" s="138">
        <v>290</v>
      </c>
      <c r="AN655" s="153">
        <v>48.33</v>
      </c>
      <c r="AW655" s="45"/>
      <c r="AX655" s="174" t="b">
        <f>IF('Refined Compare'!$D$2="All",TRUE,IF(F655='Refined Compare'!$D$2,TRUE,IF(G655='Refined Compare'!$D$2,TRUE,FALSE)))</f>
        <v>0</v>
      </c>
      <c r="AY655" s="174" t="b">
        <f>IF('Refined Compare'!$D$3="All",TRUE,IF(F655='Refined Compare'!$D$3,TRUE,IF(G655='Refined Compare'!$D$3,TRUE,FALSE)))</f>
        <v>1</v>
      </c>
      <c r="AZ655" s="174" t="b">
        <f t="shared" si="175"/>
        <v>0</v>
      </c>
    </row>
    <row r="656" spans="1:52" x14ac:dyDescent="0.35">
      <c r="A656">
        <f t="shared" si="176"/>
        <v>655</v>
      </c>
      <c r="B656" s="18">
        <v>575</v>
      </c>
      <c r="C656" s="61">
        <v>5</v>
      </c>
      <c r="D656" s="61" t="b">
        <v>0</v>
      </c>
      <c r="E656" s="61"/>
      <c r="F656" s="66" t="s">
        <v>817</v>
      </c>
      <c r="G656" s="66" t="s">
        <v>827</v>
      </c>
      <c r="H656" s="38" t="s">
        <v>288</v>
      </c>
      <c r="I656" s="39">
        <f t="shared" si="167"/>
        <v>60</v>
      </c>
      <c r="J656" s="40">
        <f t="shared" si="168"/>
        <v>45</v>
      </c>
      <c r="K656" s="41">
        <f t="shared" si="169"/>
        <v>70</v>
      </c>
      <c r="L656" s="42">
        <f t="shared" si="170"/>
        <v>75</v>
      </c>
      <c r="M656" s="43">
        <f t="shared" si="171"/>
        <v>85</v>
      </c>
      <c r="N656" s="44">
        <f t="shared" si="172"/>
        <v>55</v>
      </c>
      <c r="O656" s="45">
        <f t="shared" si="173"/>
        <v>390</v>
      </c>
      <c r="P656" s="19">
        <f t="shared" si="174"/>
        <v>65</v>
      </c>
      <c r="Q656" s="177">
        <v>60</v>
      </c>
      <c r="R656" s="40">
        <v>45</v>
      </c>
      <c r="S656" s="41">
        <v>70</v>
      </c>
      <c r="T656" s="42">
        <v>75</v>
      </c>
      <c r="U656" s="43">
        <v>85</v>
      </c>
      <c r="V656" s="44">
        <v>55</v>
      </c>
      <c r="W656" s="45">
        <f t="shared" si="165"/>
        <v>390</v>
      </c>
      <c r="X656" s="19">
        <f t="shared" si="166"/>
        <v>65</v>
      </c>
      <c r="Y656" s="3">
        <v>60</v>
      </c>
      <c r="Z656" s="4">
        <v>45</v>
      </c>
      <c r="AA656" s="5">
        <v>70</v>
      </c>
      <c r="AB656" s="6">
        <v>75</v>
      </c>
      <c r="AC656" s="7">
        <v>85</v>
      </c>
      <c r="AD656" s="8">
        <v>55</v>
      </c>
      <c r="AE656" s="1">
        <v>390</v>
      </c>
      <c r="AF656" s="19">
        <v>65</v>
      </c>
      <c r="AG656" s="139">
        <v>60</v>
      </c>
      <c r="AH656" s="140">
        <v>45</v>
      </c>
      <c r="AI656" s="141">
        <v>70</v>
      </c>
      <c r="AJ656" s="142">
        <v>75</v>
      </c>
      <c r="AK656" s="143">
        <v>85</v>
      </c>
      <c r="AL656" s="144">
        <v>55</v>
      </c>
      <c r="AM656" s="138">
        <v>390</v>
      </c>
      <c r="AN656" s="153">
        <v>65</v>
      </c>
      <c r="AW656" s="45"/>
      <c r="AX656" s="174" t="b">
        <f>IF('Refined Compare'!$D$2="All",TRUE,IF(F656='Refined Compare'!$D$2,TRUE,IF(G656='Refined Compare'!$D$2,TRUE,FALSE)))</f>
        <v>0</v>
      </c>
      <c r="AY656" s="174" t="b">
        <f>IF('Refined Compare'!$D$3="All",TRUE,IF(F656='Refined Compare'!$D$3,TRUE,IF(G656='Refined Compare'!$D$3,TRUE,FALSE)))</f>
        <v>1</v>
      </c>
      <c r="AZ656" s="174" t="b">
        <f t="shared" si="175"/>
        <v>0</v>
      </c>
    </row>
    <row r="657" spans="1:52" x14ac:dyDescent="0.35">
      <c r="A657">
        <f t="shared" si="176"/>
        <v>656</v>
      </c>
      <c r="B657" s="18">
        <v>576</v>
      </c>
      <c r="C657" s="61">
        <v>5</v>
      </c>
      <c r="D657" s="118" t="b">
        <v>1</v>
      </c>
      <c r="E657" s="61"/>
      <c r="F657" s="66" t="s">
        <v>817</v>
      </c>
      <c r="G657" s="66" t="s">
        <v>827</v>
      </c>
      <c r="H657" s="38" t="s">
        <v>397</v>
      </c>
      <c r="I657" s="39">
        <f t="shared" si="167"/>
        <v>70</v>
      </c>
      <c r="J657" s="40">
        <f t="shared" si="168"/>
        <v>55</v>
      </c>
      <c r="K657" s="41">
        <f t="shared" si="169"/>
        <v>95</v>
      </c>
      <c r="L657" s="42">
        <f t="shared" si="170"/>
        <v>95</v>
      </c>
      <c r="M657" s="43">
        <f t="shared" si="171"/>
        <v>110</v>
      </c>
      <c r="N657" s="44">
        <f t="shared" si="172"/>
        <v>65</v>
      </c>
      <c r="O657" s="45">
        <f t="shared" si="173"/>
        <v>490</v>
      </c>
      <c r="P657" s="19">
        <f t="shared" si="174"/>
        <v>81.67</v>
      </c>
      <c r="Q657" s="177">
        <v>70</v>
      </c>
      <c r="R657" s="40">
        <v>55</v>
      </c>
      <c r="S657" s="41">
        <v>95</v>
      </c>
      <c r="T657" s="42">
        <v>95</v>
      </c>
      <c r="U657" s="43">
        <v>110</v>
      </c>
      <c r="V657" s="44">
        <v>65</v>
      </c>
      <c r="W657" s="45">
        <f t="shared" si="165"/>
        <v>490</v>
      </c>
      <c r="X657" s="19">
        <f t="shared" si="166"/>
        <v>81.67</v>
      </c>
      <c r="Y657" s="3">
        <v>70</v>
      </c>
      <c r="Z657" s="4">
        <v>55</v>
      </c>
      <c r="AA657" s="5">
        <v>95</v>
      </c>
      <c r="AB657" s="6">
        <v>95</v>
      </c>
      <c r="AC657" s="7">
        <v>110</v>
      </c>
      <c r="AD657" s="8">
        <v>65</v>
      </c>
      <c r="AE657" s="1">
        <v>490</v>
      </c>
      <c r="AF657" s="19">
        <v>81.67</v>
      </c>
      <c r="AG657" s="139">
        <v>70</v>
      </c>
      <c r="AH657" s="140">
        <v>55</v>
      </c>
      <c r="AI657" s="141">
        <v>95</v>
      </c>
      <c r="AJ657" s="142">
        <v>95</v>
      </c>
      <c r="AK657" s="143">
        <v>110</v>
      </c>
      <c r="AL657" s="144">
        <v>65</v>
      </c>
      <c r="AM657" s="138">
        <v>490</v>
      </c>
      <c r="AN657" s="153">
        <v>81.67</v>
      </c>
      <c r="AW657" s="45"/>
      <c r="AX657" s="174" t="b">
        <f>IF('Refined Compare'!$D$2="All",TRUE,IF(F657='Refined Compare'!$D$2,TRUE,IF(G657='Refined Compare'!$D$2,TRUE,FALSE)))</f>
        <v>0</v>
      </c>
      <c r="AY657" s="174" t="b">
        <f>IF('Refined Compare'!$D$3="All",TRUE,IF(F657='Refined Compare'!$D$3,TRUE,IF(G657='Refined Compare'!$D$3,TRUE,FALSE)))</f>
        <v>1</v>
      </c>
      <c r="AZ657" s="174" t="b">
        <f t="shared" si="175"/>
        <v>0</v>
      </c>
    </row>
    <row r="658" spans="1:52" x14ac:dyDescent="0.35">
      <c r="A658">
        <f t="shared" si="176"/>
        <v>657</v>
      </c>
      <c r="B658" s="18">
        <v>577</v>
      </c>
      <c r="C658" s="61">
        <v>5</v>
      </c>
      <c r="D658" s="61" t="b">
        <v>0</v>
      </c>
      <c r="E658" s="61"/>
      <c r="F658" s="66" t="s">
        <v>817</v>
      </c>
      <c r="G658" s="66" t="s">
        <v>827</v>
      </c>
      <c r="H658" s="38" t="s">
        <v>25</v>
      </c>
      <c r="I658" s="39">
        <f t="shared" si="167"/>
        <v>45</v>
      </c>
      <c r="J658" s="40">
        <f t="shared" si="168"/>
        <v>30</v>
      </c>
      <c r="K658" s="41">
        <f t="shared" si="169"/>
        <v>40</v>
      </c>
      <c r="L658" s="42">
        <f t="shared" si="170"/>
        <v>105</v>
      </c>
      <c r="M658" s="43">
        <f t="shared" si="171"/>
        <v>50</v>
      </c>
      <c r="N658" s="44">
        <f t="shared" si="172"/>
        <v>20</v>
      </c>
      <c r="O658" s="45">
        <f t="shared" si="173"/>
        <v>290</v>
      </c>
      <c r="P658" s="19">
        <f t="shared" si="174"/>
        <v>48.33</v>
      </c>
      <c r="Q658" s="177">
        <v>45</v>
      </c>
      <c r="R658" s="40">
        <v>30</v>
      </c>
      <c r="S658" s="41">
        <v>40</v>
      </c>
      <c r="T658" s="42">
        <v>105</v>
      </c>
      <c r="U658" s="43">
        <v>50</v>
      </c>
      <c r="V658" s="44">
        <v>20</v>
      </c>
      <c r="W658" s="45">
        <f t="shared" si="165"/>
        <v>290</v>
      </c>
      <c r="X658" s="19">
        <f t="shared" si="166"/>
        <v>48.33</v>
      </c>
      <c r="Y658" s="3">
        <v>45</v>
      </c>
      <c r="Z658" s="4">
        <v>30</v>
      </c>
      <c r="AA658" s="5">
        <v>40</v>
      </c>
      <c r="AB658" s="6">
        <v>105</v>
      </c>
      <c r="AC658" s="7">
        <v>50</v>
      </c>
      <c r="AD658" s="8">
        <v>20</v>
      </c>
      <c r="AE658" s="1">
        <v>290</v>
      </c>
      <c r="AF658" s="19">
        <v>48.33</v>
      </c>
      <c r="AG658" s="139">
        <v>45</v>
      </c>
      <c r="AH658" s="140">
        <v>30</v>
      </c>
      <c r="AI658" s="141">
        <v>40</v>
      </c>
      <c r="AJ658" s="142">
        <v>105</v>
      </c>
      <c r="AK658" s="143">
        <v>50</v>
      </c>
      <c r="AL658" s="144">
        <v>20</v>
      </c>
      <c r="AM658" s="138">
        <v>290</v>
      </c>
      <c r="AN658" s="153">
        <v>48.33</v>
      </c>
      <c r="AW658" s="45"/>
      <c r="AX658" s="174" t="b">
        <f>IF('Refined Compare'!$D$2="All",TRUE,IF(F658='Refined Compare'!$D$2,TRUE,IF(G658='Refined Compare'!$D$2,TRUE,FALSE)))</f>
        <v>0</v>
      </c>
      <c r="AY658" s="174" t="b">
        <f>IF('Refined Compare'!$D$3="All",TRUE,IF(F658='Refined Compare'!$D$3,TRUE,IF(G658='Refined Compare'!$D$3,TRUE,FALSE)))</f>
        <v>1</v>
      </c>
      <c r="AZ658" s="174" t="b">
        <f t="shared" si="175"/>
        <v>0</v>
      </c>
    </row>
    <row r="659" spans="1:52" x14ac:dyDescent="0.35">
      <c r="A659">
        <f t="shared" si="176"/>
        <v>658</v>
      </c>
      <c r="B659" s="18">
        <v>578</v>
      </c>
      <c r="C659" s="61">
        <v>5</v>
      </c>
      <c r="D659" s="61" t="b">
        <v>0</v>
      </c>
      <c r="E659" s="61"/>
      <c r="F659" s="66" t="s">
        <v>817</v>
      </c>
      <c r="G659" s="66" t="s">
        <v>827</v>
      </c>
      <c r="H659" s="38" t="s">
        <v>80</v>
      </c>
      <c r="I659" s="39">
        <f t="shared" si="167"/>
        <v>65</v>
      </c>
      <c r="J659" s="40">
        <f t="shared" si="168"/>
        <v>40</v>
      </c>
      <c r="K659" s="41">
        <f t="shared" si="169"/>
        <v>50</v>
      </c>
      <c r="L659" s="42">
        <f t="shared" si="170"/>
        <v>125</v>
      </c>
      <c r="M659" s="43">
        <f t="shared" si="171"/>
        <v>60</v>
      </c>
      <c r="N659" s="44">
        <f t="shared" si="172"/>
        <v>30</v>
      </c>
      <c r="O659" s="45">
        <f t="shared" si="173"/>
        <v>370</v>
      </c>
      <c r="P659" s="19">
        <f t="shared" si="174"/>
        <v>61.67</v>
      </c>
      <c r="Q659" s="177">
        <v>65</v>
      </c>
      <c r="R659" s="40">
        <v>40</v>
      </c>
      <c r="S659" s="41">
        <v>50</v>
      </c>
      <c r="T659" s="42">
        <v>125</v>
      </c>
      <c r="U659" s="43">
        <v>60</v>
      </c>
      <c r="V659" s="44">
        <v>30</v>
      </c>
      <c r="W659" s="45">
        <f t="shared" si="165"/>
        <v>370</v>
      </c>
      <c r="X659" s="19">
        <f t="shared" si="166"/>
        <v>61.67</v>
      </c>
      <c r="Y659" s="3">
        <v>65</v>
      </c>
      <c r="Z659" s="4">
        <v>40</v>
      </c>
      <c r="AA659" s="5">
        <v>50</v>
      </c>
      <c r="AB659" s="6">
        <v>125</v>
      </c>
      <c r="AC659" s="7">
        <v>60</v>
      </c>
      <c r="AD659" s="8">
        <v>30</v>
      </c>
      <c r="AE659" s="1">
        <v>370</v>
      </c>
      <c r="AF659" s="19">
        <v>61.67</v>
      </c>
      <c r="AG659" s="139">
        <v>65</v>
      </c>
      <c r="AH659" s="140">
        <v>40</v>
      </c>
      <c r="AI659" s="141">
        <v>50</v>
      </c>
      <c r="AJ659" s="142">
        <v>125</v>
      </c>
      <c r="AK659" s="143">
        <v>60</v>
      </c>
      <c r="AL659" s="144">
        <v>30</v>
      </c>
      <c r="AM659" s="138">
        <v>370</v>
      </c>
      <c r="AN659" s="153">
        <v>61.67</v>
      </c>
      <c r="AW659" s="45"/>
      <c r="AX659" s="174" t="b">
        <f>IF('Refined Compare'!$D$2="All",TRUE,IF(F659='Refined Compare'!$D$2,TRUE,IF(G659='Refined Compare'!$D$2,TRUE,FALSE)))</f>
        <v>0</v>
      </c>
      <c r="AY659" s="174" t="b">
        <f>IF('Refined Compare'!$D$3="All",TRUE,IF(F659='Refined Compare'!$D$3,TRUE,IF(G659='Refined Compare'!$D$3,TRUE,FALSE)))</f>
        <v>1</v>
      </c>
      <c r="AZ659" s="174" t="b">
        <f t="shared" si="175"/>
        <v>0</v>
      </c>
    </row>
    <row r="660" spans="1:52" x14ac:dyDescent="0.35">
      <c r="A660">
        <f t="shared" si="176"/>
        <v>659</v>
      </c>
      <c r="B660" s="18">
        <v>579</v>
      </c>
      <c r="C660" s="61">
        <v>5</v>
      </c>
      <c r="D660" s="118" t="b">
        <v>1</v>
      </c>
      <c r="E660" s="61"/>
      <c r="F660" s="66" t="s">
        <v>817</v>
      </c>
      <c r="G660" s="66" t="s">
        <v>827</v>
      </c>
      <c r="H660" s="38" t="s">
        <v>81</v>
      </c>
      <c r="I660" s="39">
        <f t="shared" si="167"/>
        <v>110</v>
      </c>
      <c r="J660" s="40">
        <f t="shared" si="168"/>
        <v>65</v>
      </c>
      <c r="K660" s="41">
        <f t="shared" si="169"/>
        <v>75</v>
      </c>
      <c r="L660" s="42">
        <f t="shared" si="170"/>
        <v>125</v>
      </c>
      <c r="M660" s="43">
        <f t="shared" si="171"/>
        <v>85</v>
      </c>
      <c r="N660" s="44">
        <f t="shared" si="172"/>
        <v>30</v>
      </c>
      <c r="O660" s="45">
        <f t="shared" si="173"/>
        <v>490</v>
      </c>
      <c r="P660" s="19">
        <f t="shared" si="174"/>
        <v>81.67</v>
      </c>
      <c r="Q660" s="177">
        <v>110</v>
      </c>
      <c r="R660" s="40">
        <v>65</v>
      </c>
      <c r="S660" s="41">
        <v>75</v>
      </c>
      <c r="T660" s="42">
        <v>125</v>
      </c>
      <c r="U660" s="43">
        <v>85</v>
      </c>
      <c r="V660" s="44">
        <v>30</v>
      </c>
      <c r="W660" s="45">
        <f t="shared" si="165"/>
        <v>490</v>
      </c>
      <c r="X660" s="19">
        <f t="shared" si="166"/>
        <v>81.67</v>
      </c>
      <c r="Y660" s="3">
        <v>110</v>
      </c>
      <c r="Z660" s="4">
        <v>65</v>
      </c>
      <c r="AA660" s="5">
        <v>75</v>
      </c>
      <c r="AB660" s="6">
        <v>125</v>
      </c>
      <c r="AC660" s="7">
        <v>85</v>
      </c>
      <c r="AD660" s="8">
        <v>30</v>
      </c>
      <c r="AE660" s="1">
        <v>490</v>
      </c>
      <c r="AF660" s="19">
        <v>81.67</v>
      </c>
      <c r="AG660" s="139">
        <v>110</v>
      </c>
      <c r="AH660" s="140">
        <v>65</v>
      </c>
      <c r="AI660" s="141">
        <v>75</v>
      </c>
      <c r="AJ660" s="142">
        <v>125</v>
      </c>
      <c r="AK660" s="143">
        <v>85</v>
      </c>
      <c r="AL660" s="144">
        <v>30</v>
      </c>
      <c r="AM660" s="138">
        <v>490</v>
      </c>
      <c r="AN660" s="153">
        <v>81.67</v>
      </c>
      <c r="AW660" s="45"/>
      <c r="AX660" s="174" t="b">
        <f>IF('Refined Compare'!$D$2="All",TRUE,IF(F660='Refined Compare'!$D$2,TRUE,IF(G660='Refined Compare'!$D$2,TRUE,FALSE)))</f>
        <v>0</v>
      </c>
      <c r="AY660" s="174" t="b">
        <f>IF('Refined Compare'!$D$3="All",TRUE,IF(F660='Refined Compare'!$D$3,TRUE,IF(G660='Refined Compare'!$D$3,TRUE,FALSE)))</f>
        <v>1</v>
      </c>
      <c r="AZ660" s="174" t="b">
        <f t="shared" si="175"/>
        <v>0</v>
      </c>
    </row>
    <row r="661" spans="1:52" x14ac:dyDescent="0.35">
      <c r="A661">
        <f t="shared" si="176"/>
        <v>660</v>
      </c>
      <c r="B661" s="18">
        <v>580</v>
      </c>
      <c r="C661" s="61">
        <v>5</v>
      </c>
      <c r="D661" s="61" t="b">
        <v>0</v>
      </c>
      <c r="E661" s="61"/>
      <c r="F661" s="66" t="s">
        <v>810</v>
      </c>
      <c r="G661" s="66" t="s">
        <v>809</v>
      </c>
      <c r="H661" s="38" t="s">
        <v>289</v>
      </c>
      <c r="I661" s="39">
        <f t="shared" si="167"/>
        <v>62</v>
      </c>
      <c r="J661" s="40">
        <f t="shared" si="168"/>
        <v>44</v>
      </c>
      <c r="K661" s="41">
        <f t="shared" si="169"/>
        <v>50</v>
      </c>
      <c r="L661" s="42">
        <f t="shared" si="170"/>
        <v>44</v>
      </c>
      <c r="M661" s="43">
        <f t="shared" si="171"/>
        <v>50</v>
      </c>
      <c r="N661" s="44">
        <f t="shared" si="172"/>
        <v>55</v>
      </c>
      <c r="O661" s="45">
        <f t="shared" si="173"/>
        <v>305</v>
      </c>
      <c r="P661" s="19">
        <f t="shared" si="174"/>
        <v>50.83</v>
      </c>
      <c r="Q661" s="177">
        <v>62</v>
      </c>
      <c r="R661" s="40">
        <v>44</v>
      </c>
      <c r="S661" s="41">
        <v>50</v>
      </c>
      <c r="T661" s="42">
        <v>44</v>
      </c>
      <c r="U661" s="43">
        <v>50</v>
      </c>
      <c r="V661" s="44">
        <v>55</v>
      </c>
      <c r="W661" s="45">
        <f t="shared" ref="W661:W724" si="177">SUM(Q661:V661)</f>
        <v>305</v>
      </c>
      <c r="X661" s="19">
        <f t="shared" ref="X661:X724" si="178">ROUND(AVERAGE(Q661:V661),2)</f>
        <v>50.83</v>
      </c>
      <c r="Y661" s="3">
        <v>62</v>
      </c>
      <c r="Z661" s="4">
        <v>44</v>
      </c>
      <c r="AA661" s="5">
        <v>50</v>
      </c>
      <c r="AB661" s="6">
        <v>44</v>
      </c>
      <c r="AC661" s="7">
        <v>50</v>
      </c>
      <c r="AD661" s="8">
        <v>55</v>
      </c>
      <c r="AE661" s="1">
        <v>305</v>
      </c>
      <c r="AF661" s="19">
        <v>50.83</v>
      </c>
      <c r="AG661" s="139">
        <v>62</v>
      </c>
      <c r="AH661" s="140">
        <v>44</v>
      </c>
      <c r="AI661" s="141">
        <v>50</v>
      </c>
      <c r="AJ661" s="142">
        <v>44</v>
      </c>
      <c r="AK661" s="143">
        <v>50</v>
      </c>
      <c r="AL661" s="144">
        <v>55</v>
      </c>
      <c r="AM661" s="138">
        <v>305</v>
      </c>
      <c r="AN661" s="153">
        <v>50.83</v>
      </c>
      <c r="AW661" s="45"/>
      <c r="AX661" s="174" t="b">
        <f>IF('Refined Compare'!$D$2="All",TRUE,IF(F661='Refined Compare'!$D$2,TRUE,IF(G661='Refined Compare'!$D$2,TRUE,FALSE)))</f>
        <v>0</v>
      </c>
      <c r="AY661" s="174" t="b">
        <f>IF('Refined Compare'!$D$3="All",TRUE,IF(F661='Refined Compare'!$D$3,TRUE,IF(G661='Refined Compare'!$D$3,TRUE,FALSE)))</f>
        <v>0</v>
      </c>
      <c r="AZ661" s="174" t="b">
        <f t="shared" si="175"/>
        <v>0</v>
      </c>
    </row>
    <row r="662" spans="1:52" x14ac:dyDescent="0.35">
      <c r="A662">
        <f t="shared" si="176"/>
        <v>661</v>
      </c>
      <c r="B662" s="18">
        <v>581</v>
      </c>
      <c r="C662" s="61">
        <v>5</v>
      </c>
      <c r="D662" s="118" t="b">
        <v>1</v>
      </c>
      <c r="E662" s="61"/>
      <c r="F662" s="66" t="s">
        <v>810</v>
      </c>
      <c r="G662" s="66" t="s">
        <v>809</v>
      </c>
      <c r="H662" s="38" t="s">
        <v>647</v>
      </c>
      <c r="I662" s="39">
        <f t="shared" ref="I662:I725" si="179">IF($AW$2=7,Q662,IF($AW$2=6,Y662,IF($AW$2=1,AO662,AG662)))</f>
        <v>75</v>
      </c>
      <c r="J662" s="40">
        <f t="shared" ref="J662:J725" si="180">IF($AW$2=7,R662,IF($AW$2=6,Z662,IF($AW$2=1,AP662,AH662)))</f>
        <v>87</v>
      </c>
      <c r="K662" s="41">
        <f t="shared" ref="K662:K725" si="181">IF($AW$2=7,S662,IF($AW$2=6,AA662,IF($AW$2=1,AQ662,AI662)))</f>
        <v>63</v>
      </c>
      <c r="L662" s="42">
        <f t="shared" ref="L662:L725" si="182">IF($AW$2=7,T662,IF($AW$2=6,AB662,IF($AW$2=1,AR662,AJ662)))</f>
        <v>87</v>
      </c>
      <c r="M662" s="43">
        <f t="shared" ref="M662:M725" si="183">IF($AW$2=7,U662,IF($AW$2=6,AC662,IF($AW$2=1,AS662,AK662)))</f>
        <v>63</v>
      </c>
      <c r="N662" s="44">
        <f t="shared" ref="N662:N725" si="184">IF($AW$2=7,V662,IF($AW$2=6,AD662,IF($AW$2=1,AT662,AL662)))</f>
        <v>98</v>
      </c>
      <c r="O662" s="45">
        <f t="shared" ref="O662:O725" si="185">IF($AW$2=7,W662,IF($AW$2=6,AE662,IF($AW$2=1,AU662,AM662)))</f>
        <v>473</v>
      </c>
      <c r="P662" s="19">
        <f t="shared" ref="P662:P725" si="186">IF($AW$2=7,X662,IF($AW$2=6,AF662,IF($AW$2=1,AV662,AN662)))</f>
        <v>78.83</v>
      </c>
      <c r="Q662" s="177">
        <v>75</v>
      </c>
      <c r="R662" s="40">
        <v>87</v>
      </c>
      <c r="S662" s="41">
        <v>63</v>
      </c>
      <c r="T662" s="42">
        <v>87</v>
      </c>
      <c r="U662" s="43">
        <v>63</v>
      </c>
      <c r="V662" s="44">
        <v>98</v>
      </c>
      <c r="W662" s="45">
        <f t="shared" si="177"/>
        <v>473</v>
      </c>
      <c r="X662" s="19">
        <f t="shared" si="178"/>
        <v>78.83</v>
      </c>
      <c r="Y662" s="3">
        <v>75</v>
      </c>
      <c r="Z662" s="4">
        <v>87</v>
      </c>
      <c r="AA662" s="5">
        <v>63</v>
      </c>
      <c r="AB662" s="6">
        <v>87</v>
      </c>
      <c r="AC662" s="7">
        <v>63</v>
      </c>
      <c r="AD662" s="8">
        <v>98</v>
      </c>
      <c r="AE662" s="1">
        <v>473</v>
      </c>
      <c r="AF662" s="19">
        <v>78.83</v>
      </c>
      <c r="AG662" s="139">
        <v>75</v>
      </c>
      <c r="AH662" s="140">
        <v>87</v>
      </c>
      <c r="AI662" s="141">
        <v>63</v>
      </c>
      <c r="AJ662" s="142">
        <v>87</v>
      </c>
      <c r="AK662" s="143">
        <v>63</v>
      </c>
      <c r="AL662" s="144">
        <v>98</v>
      </c>
      <c r="AM662" s="138">
        <v>473</v>
      </c>
      <c r="AN662" s="153">
        <v>78.83</v>
      </c>
      <c r="AW662" s="45"/>
      <c r="AX662" s="174" t="b">
        <f>IF('Refined Compare'!$D$2="All",TRUE,IF(F662='Refined Compare'!$D$2,TRUE,IF(G662='Refined Compare'!$D$2,TRUE,FALSE)))</f>
        <v>0</v>
      </c>
      <c r="AY662" s="174" t="b">
        <f>IF('Refined Compare'!$D$3="All",TRUE,IF(F662='Refined Compare'!$D$3,TRUE,IF(G662='Refined Compare'!$D$3,TRUE,FALSE)))</f>
        <v>0</v>
      </c>
      <c r="AZ662" s="174" t="b">
        <f t="shared" si="175"/>
        <v>0</v>
      </c>
    </row>
    <row r="663" spans="1:52" x14ac:dyDescent="0.35">
      <c r="A663">
        <f t="shared" si="176"/>
        <v>662</v>
      </c>
      <c r="B663" s="18">
        <v>582</v>
      </c>
      <c r="C663" s="61">
        <v>5</v>
      </c>
      <c r="D663" s="61" t="b">
        <v>0</v>
      </c>
      <c r="E663" s="61"/>
      <c r="F663" s="66" t="s">
        <v>820</v>
      </c>
      <c r="G663" s="66" t="s">
        <v>827</v>
      </c>
      <c r="H663" s="38" t="s">
        <v>168</v>
      </c>
      <c r="I663" s="39">
        <f t="shared" si="179"/>
        <v>36</v>
      </c>
      <c r="J663" s="40">
        <f t="shared" si="180"/>
        <v>50</v>
      </c>
      <c r="K663" s="41">
        <f t="shared" si="181"/>
        <v>50</v>
      </c>
      <c r="L663" s="42">
        <f t="shared" si="182"/>
        <v>65</v>
      </c>
      <c r="M663" s="43">
        <f t="shared" si="183"/>
        <v>60</v>
      </c>
      <c r="N663" s="44">
        <f t="shared" si="184"/>
        <v>44</v>
      </c>
      <c r="O663" s="45">
        <f t="shared" si="185"/>
        <v>305</v>
      </c>
      <c r="P663" s="19">
        <f t="shared" si="186"/>
        <v>50.83</v>
      </c>
      <c r="Q663" s="177">
        <v>36</v>
      </c>
      <c r="R663" s="40">
        <v>50</v>
      </c>
      <c r="S663" s="41">
        <v>50</v>
      </c>
      <c r="T663" s="42">
        <v>65</v>
      </c>
      <c r="U663" s="43">
        <v>60</v>
      </c>
      <c r="V663" s="44">
        <v>44</v>
      </c>
      <c r="W663" s="45">
        <f t="shared" si="177"/>
        <v>305</v>
      </c>
      <c r="X663" s="19">
        <f t="shared" si="178"/>
        <v>50.83</v>
      </c>
      <c r="Y663" s="3">
        <v>36</v>
      </c>
      <c r="Z663" s="4">
        <v>50</v>
      </c>
      <c r="AA663" s="5">
        <v>50</v>
      </c>
      <c r="AB663" s="6">
        <v>65</v>
      </c>
      <c r="AC663" s="7">
        <v>60</v>
      </c>
      <c r="AD663" s="8">
        <v>44</v>
      </c>
      <c r="AE663" s="1">
        <v>305</v>
      </c>
      <c r="AF663" s="19">
        <v>50.83</v>
      </c>
      <c r="AG663" s="139">
        <v>36</v>
      </c>
      <c r="AH663" s="140">
        <v>50</v>
      </c>
      <c r="AI663" s="141">
        <v>50</v>
      </c>
      <c r="AJ663" s="142">
        <v>65</v>
      </c>
      <c r="AK663" s="143">
        <v>60</v>
      </c>
      <c r="AL663" s="144">
        <v>44</v>
      </c>
      <c r="AM663" s="138">
        <v>305</v>
      </c>
      <c r="AN663" s="153">
        <v>50.83</v>
      </c>
      <c r="AW663" s="45"/>
      <c r="AX663" s="174" t="b">
        <f>IF('Refined Compare'!$D$2="All",TRUE,IF(F663='Refined Compare'!$D$2,TRUE,IF(G663='Refined Compare'!$D$2,TRUE,FALSE)))</f>
        <v>0</v>
      </c>
      <c r="AY663" s="174" t="b">
        <f>IF('Refined Compare'!$D$3="All",TRUE,IF(F663='Refined Compare'!$D$3,TRUE,IF(G663='Refined Compare'!$D$3,TRUE,FALSE)))</f>
        <v>1</v>
      </c>
      <c r="AZ663" s="174" t="b">
        <f t="shared" si="175"/>
        <v>0</v>
      </c>
    </row>
    <row r="664" spans="1:52" x14ac:dyDescent="0.35">
      <c r="A664">
        <f t="shared" si="176"/>
        <v>663</v>
      </c>
      <c r="B664" s="18">
        <v>583</v>
      </c>
      <c r="C664" s="61">
        <v>5</v>
      </c>
      <c r="D664" s="61" t="b">
        <v>0</v>
      </c>
      <c r="E664" s="61"/>
      <c r="F664" s="66" t="s">
        <v>820</v>
      </c>
      <c r="G664" s="66" t="s">
        <v>827</v>
      </c>
      <c r="H664" s="38" t="s">
        <v>310</v>
      </c>
      <c r="I664" s="39">
        <f t="shared" si="179"/>
        <v>51</v>
      </c>
      <c r="J664" s="40">
        <f t="shared" si="180"/>
        <v>65</v>
      </c>
      <c r="K664" s="41">
        <f t="shared" si="181"/>
        <v>65</v>
      </c>
      <c r="L664" s="42">
        <f t="shared" si="182"/>
        <v>80</v>
      </c>
      <c r="M664" s="43">
        <f t="shared" si="183"/>
        <v>75</v>
      </c>
      <c r="N664" s="44">
        <f t="shared" si="184"/>
        <v>59</v>
      </c>
      <c r="O664" s="45">
        <f t="shared" si="185"/>
        <v>395</v>
      </c>
      <c r="P664" s="19">
        <f t="shared" si="186"/>
        <v>65.83</v>
      </c>
      <c r="Q664" s="177">
        <v>51</v>
      </c>
      <c r="R664" s="40">
        <v>65</v>
      </c>
      <c r="S664" s="41">
        <v>65</v>
      </c>
      <c r="T664" s="42">
        <v>80</v>
      </c>
      <c r="U664" s="43">
        <v>75</v>
      </c>
      <c r="V664" s="44">
        <v>59</v>
      </c>
      <c r="W664" s="45">
        <f t="shared" si="177"/>
        <v>395</v>
      </c>
      <c r="X664" s="19">
        <f t="shared" si="178"/>
        <v>65.83</v>
      </c>
      <c r="Y664" s="3">
        <v>51</v>
      </c>
      <c r="Z664" s="4">
        <v>65</v>
      </c>
      <c r="AA664" s="5">
        <v>65</v>
      </c>
      <c r="AB664" s="6">
        <v>80</v>
      </c>
      <c r="AC664" s="7">
        <v>75</v>
      </c>
      <c r="AD664" s="8">
        <v>59</v>
      </c>
      <c r="AE664" s="1">
        <v>395</v>
      </c>
      <c r="AF664" s="19">
        <v>65.83</v>
      </c>
      <c r="AG664" s="139">
        <v>51</v>
      </c>
      <c r="AH664" s="140">
        <v>65</v>
      </c>
      <c r="AI664" s="141">
        <v>65</v>
      </c>
      <c r="AJ664" s="142">
        <v>80</v>
      </c>
      <c r="AK664" s="143">
        <v>75</v>
      </c>
      <c r="AL664" s="144">
        <v>59</v>
      </c>
      <c r="AM664" s="138">
        <v>395</v>
      </c>
      <c r="AN664" s="153">
        <v>65.83</v>
      </c>
      <c r="AW664" s="45"/>
      <c r="AX664" s="174" t="b">
        <f>IF('Refined Compare'!$D$2="All",TRUE,IF(F664='Refined Compare'!$D$2,TRUE,IF(G664='Refined Compare'!$D$2,TRUE,FALSE)))</f>
        <v>0</v>
      </c>
      <c r="AY664" s="174" t="b">
        <f>IF('Refined Compare'!$D$3="All",TRUE,IF(F664='Refined Compare'!$D$3,TRUE,IF(G664='Refined Compare'!$D$3,TRUE,FALSE)))</f>
        <v>1</v>
      </c>
      <c r="AZ664" s="174" t="b">
        <f t="shared" si="175"/>
        <v>0</v>
      </c>
    </row>
    <row r="665" spans="1:52" x14ac:dyDescent="0.35">
      <c r="A665">
        <f t="shared" si="176"/>
        <v>664</v>
      </c>
      <c r="B665" s="18">
        <v>584</v>
      </c>
      <c r="C665" s="61">
        <v>5</v>
      </c>
      <c r="D665" s="118" t="b">
        <v>1</v>
      </c>
      <c r="E665" s="61"/>
      <c r="F665" s="66" t="s">
        <v>820</v>
      </c>
      <c r="G665" s="66" t="s">
        <v>827</v>
      </c>
      <c r="H665" s="38" t="s">
        <v>495</v>
      </c>
      <c r="I665" s="39">
        <f t="shared" si="179"/>
        <v>71</v>
      </c>
      <c r="J665" s="40">
        <f t="shared" si="180"/>
        <v>95</v>
      </c>
      <c r="K665" s="41">
        <f t="shared" si="181"/>
        <v>85</v>
      </c>
      <c r="L665" s="42">
        <f t="shared" si="182"/>
        <v>110</v>
      </c>
      <c r="M665" s="43">
        <f t="shared" si="183"/>
        <v>95</v>
      </c>
      <c r="N665" s="44">
        <f t="shared" si="184"/>
        <v>79</v>
      </c>
      <c r="O665" s="45">
        <f t="shared" si="185"/>
        <v>535</v>
      </c>
      <c r="P665" s="19">
        <f t="shared" si="186"/>
        <v>89.17</v>
      </c>
      <c r="Q665" s="177">
        <v>71</v>
      </c>
      <c r="R665" s="40">
        <v>95</v>
      </c>
      <c r="S665" s="41">
        <v>85</v>
      </c>
      <c r="T665" s="42">
        <v>110</v>
      </c>
      <c r="U665" s="43">
        <v>95</v>
      </c>
      <c r="V665" s="44">
        <v>79</v>
      </c>
      <c r="W665" s="45">
        <f t="shared" si="177"/>
        <v>535</v>
      </c>
      <c r="X665" s="19">
        <f t="shared" si="178"/>
        <v>89.17</v>
      </c>
      <c r="Y665" s="3">
        <v>71</v>
      </c>
      <c r="Z665" s="4">
        <v>95</v>
      </c>
      <c r="AA665" s="5">
        <v>85</v>
      </c>
      <c r="AB665" s="6">
        <v>110</v>
      </c>
      <c r="AC665" s="7">
        <v>95</v>
      </c>
      <c r="AD665" s="8">
        <v>79</v>
      </c>
      <c r="AE665" s="1">
        <v>535</v>
      </c>
      <c r="AF665" s="19">
        <v>89.17</v>
      </c>
      <c r="AG665" s="139">
        <v>71</v>
      </c>
      <c r="AH665" s="140">
        <v>95</v>
      </c>
      <c r="AI665" s="141">
        <v>85</v>
      </c>
      <c r="AJ665" s="142">
        <v>110</v>
      </c>
      <c r="AK665" s="143">
        <v>95</v>
      </c>
      <c r="AL665" s="144">
        <v>79</v>
      </c>
      <c r="AM665" s="138">
        <v>535</v>
      </c>
      <c r="AN665" s="153">
        <v>89.17</v>
      </c>
      <c r="AW665" s="45"/>
      <c r="AX665" s="174" t="b">
        <f>IF('Refined Compare'!$D$2="All",TRUE,IF(F665='Refined Compare'!$D$2,TRUE,IF(G665='Refined Compare'!$D$2,TRUE,FALSE)))</f>
        <v>0</v>
      </c>
      <c r="AY665" s="174" t="b">
        <f>IF('Refined Compare'!$D$3="All",TRUE,IF(F665='Refined Compare'!$D$3,TRUE,IF(G665='Refined Compare'!$D$3,TRUE,FALSE)))</f>
        <v>1</v>
      </c>
      <c r="AZ665" s="174" t="b">
        <f t="shared" si="175"/>
        <v>0</v>
      </c>
    </row>
    <row r="666" spans="1:52" x14ac:dyDescent="0.35">
      <c r="A666">
        <f t="shared" si="176"/>
        <v>665</v>
      </c>
      <c r="B666" s="18">
        <v>585</v>
      </c>
      <c r="C666" s="61">
        <v>5</v>
      </c>
      <c r="D666" s="61" t="b">
        <v>0</v>
      </c>
      <c r="E666" s="61"/>
      <c r="F666" s="66" t="s">
        <v>812</v>
      </c>
      <c r="G666" s="66" t="s">
        <v>806</v>
      </c>
      <c r="H666" s="38" t="s">
        <v>483</v>
      </c>
      <c r="I666" s="39">
        <f t="shared" si="179"/>
        <v>60</v>
      </c>
      <c r="J666" s="40">
        <f t="shared" si="180"/>
        <v>60</v>
      </c>
      <c r="K666" s="41">
        <f t="shared" si="181"/>
        <v>50</v>
      </c>
      <c r="L666" s="42">
        <f t="shared" si="182"/>
        <v>40</v>
      </c>
      <c r="M666" s="43">
        <f t="shared" si="183"/>
        <v>50</v>
      </c>
      <c r="N666" s="44">
        <f t="shared" si="184"/>
        <v>75</v>
      </c>
      <c r="O666" s="45">
        <f t="shared" si="185"/>
        <v>335</v>
      </c>
      <c r="P666" s="19">
        <f t="shared" si="186"/>
        <v>55.83</v>
      </c>
      <c r="Q666" s="177">
        <v>60</v>
      </c>
      <c r="R666" s="40">
        <v>60</v>
      </c>
      <c r="S666" s="41">
        <v>50</v>
      </c>
      <c r="T666" s="42">
        <v>40</v>
      </c>
      <c r="U666" s="43">
        <v>50</v>
      </c>
      <c r="V666" s="44">
        <v>75</v>
      </c>
      <c r="W666" s="45">
        <f t="shared" si="177"/>
        <v>335</v>
      </c>
      <c r="X666" s="19">
        <f t="shared" si="178"/>
        <v>55.83</v>
      </c>
      <c r="Y666" s="3">
        <v>60</v>
      </c>
      <c r="Z666" s="4">
        <v>60</v>
      </c>
      <c r="AA666" s="5">
        <v>50</v>
      </c>
      <c r="AB666" s="6">
        <v>40</v>
      </c>
      <c r="AC666" s="7">
        <v>50</v>
      </c>
      <c r="AD666" s="8">
        <v>75</v>
      </c>
      <c r="AE666" s="1">
        <v>335</v>
      </c>
      <c r="AF666" s="19">
        <v>55.83</v>
      </c>
      <c r="AG666" s="139">
        <v>60</v>
      </c>
      <c r="AH666" s="140">
        <v>60</v>
      </c>
      <c r="AI666" s="141">
        <v>50</v>
      </c>
      <c r="AJ666" s="142">
        <v>40</v>
      </c>
      <c r="AK666" s="143">
        <v>50</v>
      </c>
      <c r="AL666" s="144">
        <v>75</v>
      </c>
      <c r="AM666" s="138">
        <v>335</v>
      </c>
      <c r="AN666" s="153">
        <v>55.83</v>
      </c>
      <c r="AW666" s="45"/>
      <c r="AX666" s="174" t="b">
        <f>IF('Refined Compare'!$D$2="All",TRUE,IF(F666='Refined Compare'!$D$2,TRUE,IF(G666='Refined Compare'!$D$2,TRUE,FALSE)))</f>
        <v>0</v>
      </c>
      <c r="AY666" s="174" t="b">
        <f>IF('Refined Compare'!$D$3="All",TRUE,IF(F666='Refined Compare'!$D$3,TRUE,IF(G666='Refined Compare'!$D$3,TRUE,FALSE)))</f>
        <v>0</v>
      </c>
      <c r="AZ666" s="174" t="b">
        <f t="shared" si="175"/>
        <v>0</v>
      </c>
    </row>
    <row r="667" spans="1:52" x14ac:dyDescent="0.35">
      <c r="A667">
        <f t="shared" si="176"/>
        <v>666</v>
      </c>
      <c r="B667" s="18">
        <v>586</v>
      </c>
      <c r="C667" s="61">
        <v>5</v>
      </c>
      <c r="D667" s="118" t="b">
        <v>1</v>
      </c>
      <c r="E667" s="61"/>
      <c r="F667" s="66" t="s">
        <v>812</v>
      </c>
      <c r="G667" s="66" t="s">
        <v>806</v>
      </c>
      <c r="H667" s="38" t="s">
        <v>636</v>
      </c>
      <c r="I667" s="39">
        <f t="shared" si="179"/>
        <v>80</v>
      </c>
      <c r="J667" s="40">
        <f t="shared" si="180"/>
        <v>100</v>
      </c>
      <c r="K667" s="41">
        <f t="shared" si="181"/>
        <v>70</v>
      </c>
      <c r="L667" s="42">
        <f t="shared" si="182"/>
        <v>60</v>
      </c>
      <c r="M667" s="43">
        <f t="shared" si="183"/>
        <v>70</v>
      </c>
      <c r="N667" s="44">
        <f t="shared" si="184"/>
        <v>95</v>
      </c>
      <c r="O667" s="45">
        <f t="shared" si="185"/>
        <v>475</v>
      </c>
      <c r="P667" s="19">
        <f t="shared" si="186"/>
        <v>79.17</v>
      </c>
      <c r="Q667" s="177">
        <v>80</v>
      </c>
      <c r="R667" s="40">
        <v>100</v>
      </c>
      <c r="S667" s="41">
        <v>70</v>
      </c>
      <c r="T667" s="42">
        <v>60</v>
      </c>
      <c r="U667" s="43">
        <v>70</v>
      </c>
      <c r="V667" s="44">
        <v>95</v>
      </c>
      <c r="W667" s="45">
        <f t="shared" si="177"/>
        <v>475</v>
      </c>
      <c r="X667" s="19">
        <f t="shared" si="178"/>
        <v>79.17</v>
      </c>
      <c r="Y667" s="3">
        <v>80</v>
      </c>
      <c r="Z667" s="4">
        <v>100</v>
      </c>
      <c r="AA667" s="5">
        <v>70</v>
      </c>
      <c r="AB667" s="6">
        <v>60</v>
      </c>
      <c r="AC667" s="7">
        <v>70</v>
      </c>
      <c r="AD667" s="8">
        <v>95</v>
      </c>
      <c r="AE667" s="1">
        <v>475</v>
      </c>
      <c r="AF667" s="19">
        <v>79.17</v>
      </c>
      <c r="AG667" s="139">
        <v>80</v>
      </c>
      <c r="AH667" s="140">
        <v>100</v>
      </c>
      <c r="AI667" s="141">
        <v>70</v>
      </c>
      <c r="AJ667" s="142">
        <v>60</v>
      </c>
      <c r="AK667" s="143">
        <v>70</v>
      </c>
      <c r="AL667" s="144">
        <v>95</v>
      </c>
      <c r="AM667" s="138">
        <v>475</v>
      </c>
      <c r="AN667" s="153">
        <v>79.17</v>
      </c>
      <c r="AO667" s="174"/>
      <c r="AP667" s="174"/>
      <c r="AQ667" s="174"/>
      <c r="AR667" s="174"/>
      <c r="AS667" s="174"/>
      <c r="AT667" s="174"/>
      <c r="AV667" s="174"/>
      <c r="AW667" s="45"/>
      <c r="AX667" s="174" t="b">
        <f>IF('Refined Compare'!$D$2="All",TRUE,IF(F667='Refined Compare'!$D$2,TRUE,IF(G667='Refined Compare'!$D$2,TRUE,FALSE)))</f>
        <v>0</v>
      </c>
      <c r="AY667" s="174" t="b">
        <f>IF('Refined Compare'!$D$3="All",TRUE,IF(F667='Refined Compare'!$D$3,TRUE,IF(G667='Refined Compare'!$D$3,TRUE,FALSE)))</f>
        <v>0</v>
      </c>
      <c r="AZ667" s="174" t="b">
        <f t="shared" si="175"/>
        <v>0</v>
      </c>
    </row>
    <row r="668" spans="1:52" x14ac:dyDescent="0.35">
      <c r="A668">
        <f t="shared" si="176"/>
        <v>667</v>
      </c>
      <c r="B668" s="18">
        <v>587</v>
      </c>
      <c r="C668" s="61">
        <v>5</v>
      </c>
      <c r="D668" s="118" t="b">
        <v>1</v>
      </c>
      <c r="E668" s="61"/>
      <c r="F668" s="66" t="s">
        <v>813</v>
      </c>
      <c r="G668" s="66" t="s">
        <v>809</v>
      </c>
      <c r="H668" s="38" t="s">
        <v>690</v>
      </c>
      <c r="I668" s="39">
        <f t="shared" si="179"/>
        <v>55</v>
      </c>
      <c r="J668" s="40">
        <f t="shared" si="180"/>
        <v>75</v>
      </c>
      <c r="K668" s="41">
        <f t="shared" si="181"/>
        <v>60</v>
      </c>
      <c r="L668" s="42">
        <f t="shared" si="182"/>
        <v>75</v>
      </c>
      <c r="M668" s="43">
        <f t="shared" si="183"/>
        <v>60</v>
      </c>
      <c r="N668" s="44">
        <f t="shared" si="184"/>
        <v>103</v>
      </c>
      <c r="O668" s="45">
        <f t="shared" si="185"/>
        <v>428</v>
      </c>
      <c r="P668" s="19">
        <f t="shared" si="186"/>
        <v>71.33</v>
      </c>
      <c r="Q668" s="177">
        <v>55</v>
      </c>
      <c r="R668" s="40">
        <v>75</v>
      </c>
      <c r="S668" s="41">
        <v>60</v>
      </c>
      <c r="T668" s="42">
        <v>75</v>
      </c>
      <c r="U668" s="43">
        <v>60</v>
      </c>
      <c r="V668" s="44">
        <v>103</v>
      </c>
      <c r="W668" s="45">
        <f t="shared" si="177"/>
        <v>428</v>
      </c>
      <c r="X668" s="19">
        <f t="shared" si="178"/>
        <v>71.33</v>
      </c>
      <c r="Y668" s="3">
        <v>55</v>
      </c>
      <c r="Z668" s="4">
        <v>75</v>
      </c>
      <c r="AA668" s="5">
        <v>60</v>
      </c>
      <c r="AB668" s="6">
        <v>75</v>
      </c>
      <c r="AC668" s="7">
        <v>60</v>
      </c>
      <c r="AD668" s="8">
        <v>103</v>
      </c>
      <c r="AE668" s="1">
        <v>428</v>
      </c>
      <c r="AF668" s="19">
        <v>71.33</v>
      </c>
      <c r="AG668" s="139">
        <v>55</v>
      </c>
      <c r="AH668" s="140">
        <v>75</v>
      </c>
      <c r="AI668" s="141">
        <v>60</v>
      </c>
      <c r="AJ668" s="142">
        <v>75</v>
      </c>
      <c r="AK668" s="143">
        <v>60</v>
      </c>
      <c r="AL668" s="144">
        <v>103</v>
      </c>
      <c r="AM668" s="138">
        <v>428</v>
      </c>
      <c r="AN668" s="153">
        <v>71.33</v>
      </c>
      <c r="AV668" s="174"/>
      <c r="AW668" s="45"/>
      <c r="AX668" s="174" t="b">
        <f>IF('Refined Compare'!$D$2="All",TRUE,IF(F668='Refined Compare'!$D$2,TRUE,IF(G668='Refined Compare'!$D$2,TRUE,FALSE)))</f>
        <v>0</v>
      </c>
      <c r="AY668" s="174" t="b">
        <f>IF('Refined Compare'!$D$3="All",TRUE,IF(F668='Refined Compare'!$D$3,TRUE,IF(G668='Refined Compare'!$D$3,TRUE,FALSE)))</f>
        <v>0</v>
      </c>
      <c r="AZ668" s="174" t="b">
        <f t="shared" si="175"/>
        <v>0</v>
      </c>
    </row>
    <row r="669" spans="1:52" x14ac:dyDescent="0.35">
      <c r="A669">
        <f t="shared" si="176"/>
        <v>668</v>
      </c>
      <c r="B669" s="18">
        <v>588</v>
      </c>
      <c r="C669" s="61">
        <v>5</v>
      </c>
      <c r="D669" s="61" t="b">
        <v>0</v>
      </c>
      <c r="E669" s="61"/>
      <c r="F669" s="66" t="s">
        <v>811</v>
      </c>
      <c r="G669" s="66" t="s">
        <v>827</v>
      </c>
      <c r="H669" s="38" t="s">
        <v>344</v>
      </c>
      <c r="I669" s="39">
        <f t="shared" si="179"/>
        <v>50</v>
      </c>
      <c r="J669" s="40">
        <f t="shared" si="180"/>
        <v>75</v>
      </c>
      <c r="K669" s="41">
        <f t="shared" si="181"/>
        <v>45</v>
      </c>
      <c r="L669" s="42">
        <f t="shared" si="182"/>
        <v>40</v>
      </c>
      <c r="M669" s="43">
        <f t="shared" si="183"/>
        <v>45</v>
      </c>
      <c r="N669" s="44">
        <f t="shared" si="184"/>
        <v>60</v>
      </c>
      <c r="O669" s="45">
        <f t="shared" si="185"/>
        <v>315</v>
      </c>
      <c r="P669" s="19">
        <f t="shared" si="186"/>
        <v>52.5</v>
      </c>
      <c r="Q669" s="177">
        <v>50</v>
      </c>
      <c r="R669" s="40">
        <v>75</v>
      </c>
      <c r="S669" s="41">
        <v>45</v>
      </c>
      <c r="T669" s="42">
        <v>40</v>
      </c>
      <c r="U669" s="43">
        <v>45</v>
      </c>
      <c r="V669" s="44">
        <v>60</v>
      </c>
      <c r="W669" s="45">
        <f t="shared" si="177"/>
        <v>315</v>
      </c>
      <c r="X669" s="19">
        <f t="shared" si="178"/>
        <v>52.5</v>
      </c>
      <c r="Y669" s="3">
        <v>50</v>
      </c>
      <c r="Z669" s="4">
        <v>75</v>
      </c>
      <c r="AA669" s="5">
        <v>45</v>
      </c>
      <c r="AB669" s="6">
        <v>40</v>
      </c>
      <c r="AC669" s="7">
        <v>45</v>
      </c>
      <c r="AD669" s="8">
        <v>60</v>
      </c>
      <c r="AE669" s="1">
        <v>315</v>
      </c>
      <c r="AF669" s="19">
        <v>52.5</v>
      </c>
      <c r="AG669" s="139">
        <v>50</v>
      </c>
      <c r="AH669" s="140">
        <v>75</v>
      </c>
      <c r="AI669" s="141">
        <v>45</v>
      </c>
      <c r="AJ669" s="142">
        <v>40</v>
      </c>
      <c r="AK669" s="143">
        <v>45</v>
      </c>
      <c r="AL669" s="144">
        <v>60</v>
      </c>
      <c r="AM669" s="138">
        <v>315</v>
      </c>
      <c r="AN669" s="153">
        <v>52.5</v>
      </c>
      <c r="AV669" s="174"/>
      <c r="AW669" s="45"/>
      <c r="AX669" s="174" t="b">
        <f>IF('Refined Compare'!$D$2="All",TRUE,IF(F669='Refined Compare'!$D$2,TRUE,IF(G669='Refined Compare'!$D$2,TRUE,FALSE)))</f>
        <v>0</v>
      </c>
      <c r="AY669" s="174" t="b">
        <f>IF('Refined Compare'!$D$3="All",TRUE,IF(F669='Refined Compare'!$D$3,TRUE,IF(G669='Refined Compare'!$D$3,TRUE,FALSE)))</f>
        <v>1</v>
      </c>
      <c r="AZ669" s="174" t="b">
        <f t="shared" si="175"/>
        <v>0</v>
      </c>
    </row>
    <row r="670" spans="1:52" x14ac:dyDescent="0.35">
      <c r="A670">
        <f t="shared" si="176"/>
        <v>669</v>
      </c>
      <c r="B670" s="18">
        <v>589</v>
      </c>
      <c r="C670" s="61">
        <v>5</v>
      </c>
      <c r="D670" s="118" t="b">
        <v>1</v>
      </c>
      <c r="E670" s="61"/>
      <c r="F670" s="66" t="s">
        <v>811</v>
      </c>
      <c r="G670" s="66" t="s">
        <v>819</v>
      </c>
      <c r="H670" s="38" t="s">
        <v>26</v>
      </c>
      <c r="I670" s="39">
        <f t="shared" si="179"/>
        <v>70</v>
      </c>
      <c r="J670" s="40">
        <f t="shared" si="180"/>
        <v>135</v>
      </c>
      <c r="K670" s="41">
        <f t="shared" si="181"/>
        <v>105</v>
      </c>
      <c r="L670" s="42">
        <f t="shared" si="182"/>
        <v>60</v>
      </c>
      <c r="M670" s="43">
        <f t="shared" si="183"/>
        <v>105</v>
      </c>
      <c r="N670" s="44">
        <f t="shared" si="184"/>
        <v>20</v>
      </c>
      <c r="O670" s="45">
        <f t="shared" si="185"/>
        <v>495</v>
      </c>
      <c r="P670" s="19">
        <f t="shared" si="186"/>
        <v>82.5</v>
      </c>
      <c r="Q670" s="177">
        <v>70</v>
      </c>
      <c r="R670" s="40">
        <v>135</v>
      </c>
      <c r="S670" s="41">
        <v>105</v>
      </c>
      <c r="T670" s="42">
        <v>60</v>
      </c>
      <c r="U670" s="43">
        <v>105</v>
      </c>
      <c r="V670" s="44">
        <v>20</v>
      </c>
      <c r="W670" s="45">
        <f t="shared" si="177"/>
        <v>495</v>
      </c>
      <c r="X670" s="19">
        <f t="shared" si="178"/>
        <v>82.5</v>
      </c>
      <c r="Y670" s="3">
        <v>70</v>
      </c>
      <c r="Z670" s="4">
        <v>135</v>
      </c>
      <c r="AA670" s="5">
        <v>105</v>
      </c>
      <c r="AB670" s="6">
        <v>60</v>
      </c>
      <c r="AC670" s="7">
        <v>105</v>
      </c>
      <c r="AD670" s="8">
        <v>20</v>
      </c>
      <c r="AE670" s="1">
        <v>495</v>
      </c>
      <c r="AF670" s="19">
        <v>82.5</v>
      </c>
      <c r="AG670" s="139">
        <v>70</v>
      </c>
      <c r="AH670" s="140">
        <v>135</v>
      </c>
      <c r="AI670" s="141">
        <v>105</v>
      </c>
      <c r="AJ670" s="142">
        <v>60</v>
      </c>
      <c r="AK670" s="143">
        <v>105</v>
      </c>
      <c r="AL670" s="144">
        <v>20</v>
      </c>
      <c r="AM670" s="138">
        <v>495</v>
      </c>
      <c r="AN670" s="153">
        <v>82.5</v>
      </c>
      <c r="AV670" s="174"/>
      <c r="AW670" s="45"/>
      <c r="AX670" s="174" t="b">
        <f>IF('Refined Compare'!$D$2="All",TRUE,IF(F670='Refined Compare'!$D$2,TRUE,IF(G670='Refined Compare'!$D$2,TRUE,FALSE)))</f>
        <v>0</v>
      </c>
      <c r="AY670" s="174" t="b">
        <f>IF('Refined Compare'!$D$3="All",TRUE,IF(F670='Refined Compare'!$D$3,TRUE,IF(G670='Refined Compare'!$D$3,TRUE,FALSE)))</f>
        <v>0</v>
      </c>
      <c r="AZ670" s="174" t="b">
        <f t="shared" si="175"/>
        <v>0</v>
      </c>
    </row>
    <row r="671" spans="1:52" x14ac:dyDescent="0.35">
      <c r="A671">
        <f t="shared" si="176"/>
        <v>670</v>
      </c>
      <c r="B671" s="18">
        <v>590</v>
      </c>
      <c r="C671" s="61">
        <v>5</v>
      </c>
      <c r="D671" s="61" t="b">
        <v>0</v>
      </c>
      <c r="E671" s="61"/>
      <c r="F671" s="66" t="s">
        <v>806</v>
      </c>
      <c r="G671" s="66" t="s">
        <v>807</v>
      </c>
      <c r="H671" s="38" t="s">
        <v>13</v>
      </c>
      <c r="I671" s="39">
        <f t="shared" si="179"/>
        <v>69</v>
      </c>
      <c r="J671" s="40">
        <f t="shared" si="180"/>
        <v>55</v>
      </c>
      <c r="K671" s="41">
        <f t="shared" si="181"/>
        <v>45</v>
      </c>
      <c r="L671" s="42">
        <f t="shared" si="182"/>
        <v>55</v>
      </c>
      <c r="M671" s="43">
        <f t="shared" si="183"/>
        <v>55</v>
      </c>
      <c r="N671" s="44">
        <f t="shared" si="184"/>
        <v>15</v>
      </c>
      <c r="O671" s="45">
        <f t="shared" si="185"/>
        <v>294</v>
      </c>
      <c r="P671" s="19">
        <f t="shared" si="186"/>
        <v>49</v>
      </c>
      <c r="Q671" s="177">
        <v>69</v>
      </c>
      <c r="R671" s="40">
        <v>55</v>
      </c>
      <c r="S671" s="41">
        <v>45</v>
      </c>
      <c r="T671" s="42">
        <v>55</v>
      </c>
      <c r="U671" s="43">
        <v>55</v>
      </c>
      <c r="V671" s="44">
        <v>15</v>
      </c>
      <c r="W671" s="45">
        <f t="shared" si="177"/>
        <v>294</v>
      </c>
      <c r="X671" s="19">
        <f t="shared" si="178"/>
        <v>49</v>
      </c>
      <c r="Y671" s="3">
        <v>69</v>
      </c>
      <c r="Z671" s="4">
        <v>55</v>
      </c>
      <c r="AA671" s="5">
        <v>45</v>
      </c>
      <c r="AB671" s="6">
        <v>55</v>
      </c>
      <c r="AC671" s="7">
        <v>55</v>
      </c>
      <c r="AD671" s="8">
        <v>15</v>
      </c>
      <c r="AE671" s="1">
        <v>294</v>
      </c>
      <c r="AF671" s="19">
        <v>49</v>
      </c>
      <c r="AG671" s="139">
        <v>69</v>
      </c>
      <c r="AH671" s="140">
        <v>55</v>
      </c>
      <c r="AI671" s="141">
        <v>45</v>
      </c>
      <c r="AJ671" s="142">
        <v>55</v>
      </c>
      <c r="AK671" s="143">
        <v>55</v>
      </c>
      <c r="AL671" s="144">
        <v>15</v>
      </c>
      <c r="AM671" s="138">
        <v>294</v>
      </c>
      <c r="AN671" s="153">
        <v>49</v>
      </c>
      <c r="AV671" s="174"/>
      <c r="AW671" s="45"/>
      <c r="AX671" s="174" t="b">
        <f>IF('Refined Compare'!$D$2="All",TRUE,IF(F671='Refined Compare'!$D$2,TRUE,IF(G671='Refined Compare'!$D$2,TRUE,FALSE)))</f>
        <v>0</v>
      </c>
      <c r="AY671" s="174" t="b">
        <f>IF('Refined Compare'!$D$3="All",TRUE,IF(F671='Refined Compare'!$D$3,TRUE,IF(G671='Refined Compare'!$D$3,TRUE,FALSE)))</f>
        <v>0</v>
      </c>
      <c r="AZ671" s="174" t="b">
        <f t="shared" si="175"/>
        <v>0</v>
      </c>
    </row>
    <row r="672" spans="1:52" x14ac:dyDescent="0.35">
      <c r="A672">
        <f t="shared" si="176"/>
        <v>671</v>
      </c>
      <c r="B672" s="18">
        <v>591</v>
      </c>
      <c r="C672" s="61">
        <v>5</v>
      </c>
      <c r="D672" s="118" t="b">
        <v>1</v>
      </c>
      <c r="E672" s="61"/>
      <c r="F672" s="66" t="s">
        <v>806</v>
      </c>
      <c r="G672" s="66" t="s">
        <v>807</v>
      </c>
      <c r="H672" s="38" t="s">
        <v>82</v>
      </c>
      <c r="I672" s="39">
        <f t="shared" si="179"/>
        <v>114</v>
      </c>
      <c r="J672" s="40">
        <f t="shared" si="180"/>
        <v>85</v>
      </c>
      <c r="K672" s="41">
        <f t="shared" si="181"/>
        <v>70</v>
      </c>
      <c r="L672" s="42">
        <f t="shared" si="182"/>
        <v>85</v>
      </c>
      <c r="M672" s="43">
        <f t="shared" si="183"/>
        <v>80</v>
      </c>
      <c r="N672" s="44">
        <f t="shared" si="184"/>
        <v>30</v>
      </c>
      <c r="O672" s="45">
        <f t="shared" si="185"/>
        <v>464</v>
      </c>
      <c r="P672" s="19">
        <f t="shared" si="186"/>
        <v>77.33</v>
      </c>
      <c r="Q672" s="177">
        <v>114</v>
      </c>
      <c r="R672" s="40">
        <v>85</v>
      </c>
      <c r="S672" s="41">
        <v>70</v>
      </c>
      <c r="T672" s="42">
        <v>85</v>
      </c>
      <c r="U672" s="43">
        <v>80</v>
      </c>
      <c r="V672" s="44">
        <v>30</v>
      </c>
      <c r="W672" s="45">
        <f t="shared" si="177"/>
        <v>464</v>
      </c>
      <c r="X672" s="19">
        <f t="shared" si="178"/>
        <v>77.33</v>
      </c>
      <c r="Y672" s="3">
        <v>114</v>
      </c>
      <c r="Z672" s="4">
        <v>85</v>
      </c>
      <c r="AA672" s="5">
        <v>70</v>
      </c>
      <c r="AB672" s="6">
        <v>85</v>
      </c>
      <c r="AC672" s="7">
        <v>80</v>
      </c>
      <c r="AD672" s="8">
        <v>30</v>
      </c>
      <c r="AE672" s="1">
        <v>464</v>
      </c>
      <c r="AF672" s="19">
        <v>77.33</v>
      </c>
      <c r="AG672" s="139">
        <v>114</v>
      </c>
      <c r="AH672" s="140">
        <v>85</v>
      </c>
      <c r="AI672" s="141">
        <v>70</v>
      </c>
      <c r="AJ672" s="142">
        <v>85</v>
      </c>
      <c r="AK672" s="143">
        <v>80</v>
      </c>
      <c r="AL672" s="144">
        <v>30</v>
      </c>
      <c r="AM672" s="138">
        <v>464</v>
      </c>
      <c r="AN672" s="153">
        <v>77.33</v>
      </c>
      <c r="AV672" s="174"/>
      <c r="AW672" s="45"/>
      <c r="AX672" s="174" t="b">
        <f>IF('Refined Compare'!$D$2="All",TRUE,IF(F672='Refined Compare'!$D$2,TRUE,IF(G672='Refined Compare'!$D$2,TRUE,FALSE)))</f>
        <v>0</v>
      </c>
      <c r="AY672" s="174" t="b">
        <f>IF('Refined Compare'!$D$3="All",TRUE,IF(F672='Refined Compare'!$D$3,TRUE,IF(G672='Refined Compare'!$D$3,TRUE,FALSE)))</f>
        <v>0</v>
      </c>
      <c r="AZ672" s="174" t="b">
        <f t="shared" si="175"/>
        <v>0</v>
      </c>
    </row>
    <row r="673" spans="1:52" x14ac:dyDescent="0.35">
      <c r="A673">
        <f t="shared" si="176"/>
        <v>672</v>
      </c>
      <c r="B673" s="18">
        <v>592</v>
      </c>
      <c r="C673" s="61">
        <v>5</v>
      </c>
      <c r="D673" s="61" t="b">
        <v>0</v>
      </c>
      <c r="E673" s="61"/>
      <c r="F673" s="66" t="s">
        <v>810</v>
      </c>
      <c r="G673" s="66" t="s">
        <v>821</v>
      </c>
      <c r="H673" s="38" t="s">
        <v>150</v>
      </c>
      <c r="I673" s="39">
        <f t="shared" si="179"/>
        <v>55</v>
      </c>
      <c r="J673" s="40">
        <f t="shared" si="180"/>
        <v>40</v>
      </c>
      <c r="K673" s="41">
        <f t="shared" si="181"/>
        <v>50</v>
      </c>
      <c r="L673" s="42">
        <f t="shared" si="182"/>
        <v>65</v>
      </c>
      <c r="M673" s="43">
        <f t="shared" si="183"/>
        <v>85</v>
      </c>
      <c r="N673" s="44">
        <f t="shared" si="184"/>
        <v>40</v>
      </c>
      <c r="O673" s="45">
        <f t="shared" si="185"/>
        <v>335</v>
      </c>
      <c r="P673" s="19">
        <f t="shared" si="186"/>
        <v>55.83</v>
      </c>
      <c r="Q673" s="177">
        <v>55</v>
      </c>
      <c r="R673" s="40">
        <v>40</v>
      </c>
      <c r="S673" s="41">
        <v>50</v>
      </c>
      <c r="T673" s="42">
        <v>65</v>
      </c>
      <c r="U673" s="43">
        <v>85</v>
      </c>
      <c r="V673" s="44">
        <v>40</v>
      </c>
      <c r="W673" s="45">
        <f t="shared" si="177"/>
        <v>335</v>
      </c>
      <c r="X673" s="19">
        <f t="shared" si="178"/>
        <v>55.83</v>
      </c>
      <c r="Y673" s="3">
        <v>55</v>
      </c>
      <c r="Z673" s="4">
        <v>40</v>
      </c>
      <c r="AA673" s="5">
        <v>50</v>
      </c>
      <c r="AB673" s="6">
        <v>65</v>
      </c>
      <c r="AC673" s="7">
        <v>85</v>
      </c>
      <c r="AD673" s="8">
        <v>40</v>
      </c>
      <c r="AE673" s="1">
        <v>335</v>
      </c>
      <c r="AF673" s="19">
        <v>55.83</v>
      </c>
      <c r="AG673" s="139">
        <v>55</v>
      </c>
      <c r="AH673" s="140">
        <v>40</v>
      </c>
      <c r="AI673" s="141">
        <v>50</v>
      </c>
      <c r="AJ673" s="142">
        <v>65</v>
      </c>
      <c r="AK673" s="143">
        <v>85</v>
      </c>
      <c r="AL673" s="144">
        <v>40</v>
      </c>
      <c r="AM673" s="138">
        <v>335</v>
      </c>
      <c r="AN673" s="153">
        <v>55.83</v>
      </c>
      <c r="AV673" s="174"/>
      <c r="AW673" s="45"/>
      <c r="AX673" s="174" t="b">
        <f>IF('Refined Compare'!$D$2="All",TRUE,IF(F673='Refined Compare'!$D$2,TRUE,IF(G673='Refined Compare'!$D$2,TRUE,FALSE)))</f>
        <v>0</v>
      </c>
      <c r="AY673" s="174" t="b">
        <f>IF('Refined Compare'!$D$3="All",TRUE,IF(F673='Refined Compare'!$D$3,TRUE,IF(G673='Refined Compare'!$D$3,TRUE,FALSE)))</f>
        <v>0</v>
      </c>
      <c r="AZ673" s="174" t="b">
        <f t="shared" si="175"/>
        <v>0</v>
      </c>
    </row>
    <row r="674" spans="1:52" x14ac:dyDescent="0.35">
      <c r="A674">
        <f t="shared" si="176"/>
        <v>673</v>
      </c>
      <c r="B674" s="18">
        <v>593</v>
      </c>
      <c r="C674" s="61">
        <v>5</v>
      </c>
      <c r="D674" s="118" t="b">
        <v>1</v>
      </c>
      <c r="E674" s="61"/>
      <c r="F674" s="66" t="s">
        <v>810</v>
      </c>
      <c r="G674" s="66" t="s">
        <v>821</v>
      </c>
      <c r="H674" s="38" t="s">
        <v>345</v>
      </c>
      <c r="I674" s="39">
        <f t="shared" si="179"/>
        <v>100</v>
      </c>
      <c r="J674" s="40">
        <f t="shared" si="180"/>
        <v>60</v>
      </c>
      <c r="K674" s="41">
        <f t="shared" si="181"/>
        <v>70</v>
      </c>
      <c r="L674" s="42">
        <f t="shared" si="182"/>
        <v>85</v>
      </c>
      <c r="M674" s="43">
        <f t="shared" si="183"/>
        <v>105</v>
      </c>
      <c r="N674" s="44">
        <f t="shared" si="184"/>
        <v>60</v>
      </c>
      <c r="O674" s="45">
        <f t="shared" si="185"/>
        <v>480</v>
      </c>
      <c r="P674" s="19">
        <f t="shared" si="186"/>
        <v>80</v>
      </c>
      <c r="Q674" s="177">
        <v>100</v>
      </c>
      <c r="R674" s="40">
        <v>60</v>
      </c>
      <c r="S674" s="41">
        <v>70</v>
      </c>
      <c r="T674" s="42">
        <v>85</v>
      </c>
      <c r="U674" s="43">
        <v>105</v>
      </c>
      <c r="V674" s="44">
        <v>60</v>
      </c>
      <c r="W674" s="45">
        <f t="shared" si="177"/>
        <v>480</v>
      </c>
      <c r="X674" s="19">
        <f t="shared" si="178"/>
        <v>80</v>
      </c>
      <c r="Y674" s="3">
        <v>100</v>
      </c>
      <c r="Z674" s="4">
        <v>60</v>
      </c>
      <c r="AA674" s="5">
        <v>70</v>
      </c>
      <c r="AB674" s="6">
        <v>85</v>
      </c>
      <c r="AC674" s="7">
        <v>105</v>
      </c>
      <c r="AD674" s="8">
        <v>60</v>
      </c>
      <c r="AE674" s="1">
        <v>480</v>
      </c>
      <c r="AF674" s="19">
        <v>80</v>
      </c>
      <c r="AG674" s="139">
        <v>100</v>
      </c>
      <c r="AH674" s="140">
        <v>60</v>
      </c>
      <c r="AI674" s="141">
        <v>70</v>
      </c>
      <c r="AJ674" s="142">
        <v>85</v>
      </c>
      <c r="AK674" s="143">
        <v>105</v>
      </c>
      <c r="AL674" s="144">
        <v>60</v>
      </c>
      <c r="AM674" s="138">
        <v>480</v>
      </c>
      <c r="AN674" s="153">
        <v>80</v>
      </c>
      <c r="AV674" s="174"/>
      <c r="AW674" s="45"/>
      <c r="AX674" s="174" t="b">
        <f>IF('Refined Compare'!$D$2="All",TRUE,IF(F674='Refined Compare'!$D$2,TRUE,IF(G674='Refined Compare'!$D$2,TRUE,FALSE)))</f>
        <v>0</v>
      </c>
      <c r="AY674" s="174" t="b">
        <f>IF('Refined Compare'!$D$3="All",TRUE,IF(F674='Refined Compare'!$D$3,TRUE,IF(G674='Refined Compare'!$D$3,TRUE,FALSE)))</f>
        <v>0</v>
      </c>
      <c r="AZ674" s="174" t="b">
        <f t="shared" si="175"/>
        <v>0</v>
      </c>
    </row>
    <row r="675" spans="1:52" x14ac:dyDescent="0.35">
      <c r="A675">
        <f t="shared" si="176"/>
        <v>674</v>
      </c>
      <c r="B675" s="18">
        <v>594</v>
      </c>
      <c r="C675" s="61">
        <v>5</v>
      </c>
      <c r="D675" s="118" t="b">
        <v>1</v>
      </c>
      <c r="E675" s="61"/>
      <c r="F675" s="66" t="s">
        <v>810</v>
      </c>
      <c r="G675" s="66" t="s">
        <v>827</v>
      </c>
      <c r="H675" s="38" t="s">
        <v>398</v>
      </c>
      <c r="I675" s="39">
        <f t="shared" si="179"/>
        <v>165</v>
      </c>
      <c r="J675" s="40">
        <f t="shared" si="180"/>
        <v>75</v>
      </c>
      <c r="K675" s="41">
        <f t="shared" si="181"/>
        <v>80</v>
      </c>
      <c r="L675" s="42">
        <f t="shared" si="182"/>
        <v>40</v>
      </c>
      <c r="M675" s="43">
        <f t="shared" si="183"/>
        <v>45</v>
      </c>
      <c r="N675" s="44">
        <f t="shared" si="184"/>
        <v>65</v>
      </c>
      <c r="O675" s="45">
        <f t="shared" si="185"/>
        <v>470</v>
      </c>
      <c r="P675" s="19">
        <f t="shared" si="186"/>
        <v>78.33</v>
      </c>
      <c r="Q675" s="177">
        <v>165</v>
      </c>
      <c r="R675" s="40">
        <v>75</v>
      </c>
      <c r="S675" s="41">
        <v>80</v>
      </c>
      <c r="T675" s="42">
        <v>40</v>
      </c>
      <c r="U675" s="43">
        <v>45</v>
      </c>
      <c r="V675" s="44">
        <v>65</v>
      </c>
      <c r="W675" s="45">
        <f t="shared" si="177"/>
        <v>470</v>
      </c>
      <c r="X675" s="19">
        <f t="shared" si="178"/>
        <v>78.33</v>
      </c>
      <c r="Y675" s="3">
        <v>165</v>
      </c>
      <c r="Z675" s="4">
        <v>75</v>
      </c>
      <c r="AA675" s="5">
        <v>80</v>
      </c>
      <c r="AB675" s="6">
        <v>40</v>
      </c>
      <c r="AC675" s="7">
        <v>45</v>
      </c>
      <c r="AD675" s="8">
        <v>65</v>
      </c>
      <c r="AE675" s="1">
        <v>470</v>
      </c>
      <c r="AF675" s="19">
        <v>78.33</v>
      </c>
      <c r="AG675" s="139">
        <v>165</v>
      </c>
      <c r="AH675" s="140">
        <v>75</v>
      </c>
      <c r="AI675" s="141">
        <v>80</v>
      </c>
      <c r="AJ675" s="142">
        <v>40</v>
      </c>
      <c r="AK675" s="143">
        <v>45</v>
      </c>
      <c r="AL675" s="144">
        <v>65</v>
      </c>
      <c r="AM675" s="138">
        <v>470</v>
      </c>
      <c r="AN675" s="153">
        <v>78.33</v>
      </c>
      <c r="AV675" s="174"/>
      <c r="AW675" s="45"/>
      <c r="AX675" s="174" t="b">
        <f>IF('Refined Compare'!$D$2="All",TRUE,IF(F675='Refined Compare'!$D$2,TRUE,IF(G675='Refined Compare'!$D$2,TRUE,FALSE)))</f>
        <v>0</v>
      </c>
      <c r="AY675" s="174" t="b">
        <f>IF('Refined Compare'!$D$3="All",TRUE,IF(F675='Refined Compare'!$D$3,TRUE,IF(G675='Refined Compare'!$D$3,TRUE,FALSE)))</f>
        <v>1</v>
      </c>
      <c r="AZ675" s="174" t="b">
        <f t="shared" si="175"/>
        <v>0</v>
      </c>
    </row>
    <row r="676" spans="1:52" x14ac:dyDescent="0.35">
      <c r="A676">
        <f t="shared" si="176"/>
        <v>675</v>
      </c>
      <c r="B676" s="18">
        <v>595</v>
      </c>
      <c r="C676" s="61">
        <v>5</v>
      </c>
      <c r="D676" s="61" t="b">
        <v>0</v>
      </c>
      <c r="E676" s="61"/>
      <c r="F676" s="66" t="s">
        <v>811</v>
      </c>
      <c r="G676" s="66" t="s">
        <v>813</v>
      </c>
      <c r="H676" s="38" t="s">
        <v>399</v>
      </c>
      <c r="I676" s="39">
        <f t="shared" si="179"/>
        <v>50</v>
      </c>
      <c r="J676" s="40">
        <f t="shared" si="180"/>
        <v>47</v>
      </c>
      <c r="K676" s="41">
        <f t="shared" si="181"/>
        <v>50</v>
      </c>
      <c r="L676" s="42">
        <f t="shared" si="182"/>
        <v>57</v>
      </c>
      <c r="M676" s="43">
        <f t="shared" si="183"/>
        <v>50</v>
      </c>
      <c r="N676" s="44">
        <f t="shared" si="184"/>
        <v>65</v>
      </c>
      <c r="O676" s="45">
        <f t="shared" si="185"/>
        <v>319</v>
      </c>
      <c r="P676" s="19">
        <f t="shared" si="186"/>
        <v>53.17</v>
      </c>
      <c r="Q676" s="177">
        <v>50</v>
      </c>
      <c r="R676" s="40">
        <v>47</v>
      </c>
      <c r="S676" s="41">
        <v>50</v>
      </c>
      <c r="T676" s="42">
        <v>57</v>
      </c>
      <c r="U676" s="43">
        <v>50</v>
      </c>
      <c r="V676" s="44">
        <v>65</v>
      </c>
      <c r="W676" s="45">
        <f t="shared" si="177"/>
        <v>319</v>
      </c>
      <c r="X676" s="19">
        <f t="shared" si="178"/>
        <v>53.17</v>
      </c>
      <c r="Y676" s="3">
        <v>50</v>
      </c>
      <c r="Z676" s="4">
        <v>47</v>
      </c>
      <c r="AA676" s="5">
        <v>50</v>
      </c>
      <c r="AB676" s="6">
        <v>57</v>
      </c>
      <c r="AC676" s="7">
        <v>50</v>
      </c>
      <c r="AD676" s="8">
        <v>65</v>
      </c>
      <c r="AE676" s="1">
        <v>319</v>
      </c>
      <c r="AF676" s="19">
        <v>53.17</v>
      </c>
      <c r="AG676" s="139">
        <v>50</v>
      </c>
      <c r="AH676" s="140">
        <v>47</v>
      </c>
      <c r="AI676" s="141">
        <v>50</v>
      </c>
      <c r="AJ676" s="142">
        <v>57</v>
      </c>
      <c r="AK676" s="143">
        <v>50</v>
      </c>
      <c r="AL676" s="144">
        <v>65</v>
      </c>
      <c r="AM676" s="138">
        <v>319</v>
      </c>
      <c r="AN676" s="153">
        <v>53.17</v>
      </c>
      <c r="AV676" s="174"/>
      <c r="AW676" s="45"/>
      <c r="AX676" s="174" t="b">
        <f>IF('Refined Compare'!$D$2="All",TRUE,IF(F676='Refined Compare'!$D$2,TRUE,IF(G676='Refined Compare'!$D$2,TRUE,FALSE)))</f>
        <v>0</v>
      </c>
      <c r="AY676" s="174" t="b">
        <f>IF('Refined Compare'!$D$3="All",TRUE,IF(F676='Refined Compare'!$D$3,TRUE,IF(G676='Refined Compare'!$D$3,TRUE,FALSE)))</f>
        <v>0</v>
      </c>
      <c r="AZ676" s="174" t="b">
        <f t="shared" si="175"/>
        <v>0</v>
      </c>
    </row>
    <row r="677" spans="1:52" x14ac:dyDescent="0.35">
      <c r="A677">
        <f t="shared" si="176"/>
        <v>676</v>
      </c>
      <c r="B677" s="18">
        <v>596</v>
      </c>
      <c r="C677" s="61">
        <v>5</v>
      </c>
      <c r="D677" s="118" t="b">
        <v>1</v>
      </c>
      <c r="E677" s="61"/>
      <c r="F677" s="66" t="s">
        <v>811</v>
      </c>
      <c r="G677" s="66" t="s">
        <v>813</v>
      </c>
      <c r="H677" s="38" t="s">
        <v>708</v>
      </c>
      <c r="I677" s="39">
        <f t="shared" si="179"/>
        <v>70</v>
      </c>
      <c r="J677" s="40">
        <f t="shared" si="180"/>
        <v>77</v>
      </c>
      <c r="K677" s="41">
        <f t="shared" si="181"/>
        <v>60</v>
      </c>
      <c r="L677" s="42">
        <f t="shared" si="182"/>
        <v>97</v>
      </c>
      <c r="M677" s="43">
        <f t="shared" si="183"/>
        <v>60</v>
      </c>
      <c r="N677" s="44">
        <f t="shared" si="184"/>
        <v>108</v>
      </c>
      <c r="O677" s="45">
        <f t="shared" si="185"/>
        <v>472</v>
      </c>
      <c r="P677" s="19">
        <f t="shared" si="186"/>
        <v>78.67</v>
      </c>
      <c r="Q677" s="177">
        <v>70</v>
      </c>
      <c r="R677" s="40">
        <v>77</v>
      </c>
      <c r="S677" s="41">
        <v>60</v>
      </c>
      <c r="T677" s="42">
        <v>97</v>
      </c>
      <c r="U677" s="43">
        <v>60</v>
      </c>
      <c r="V677" s="44">
        <v>108</v>
      </c>
      <c r="W677" s="45">
        <f t="shared" si="177"/>
        <v>472</v>
      </c>
      <c r="X677" s="19">
        <f t="shared" si="178"/>
        <v>78.67</v>
      </c>
      <c r="Y677" s="3">
        <v>70</v>
      </c>
      <c r="Z677" s="4">
        <v>77</v>
      </c>
      <c r="AA677" s="5">
        <v>60</v>
      </c>
      <c r="AB677" s="6">
        <v>97</v>
      </c>
      <c r="AC677" s="7">
        <v>60</v>
      </c>
      <c r="AD677" s="8">
        <v>108</v>
      </c>
      <c r="AE677" s="1">
        <v>472</v>
      </c>
      <c r="AF677" s="19">
        <v>78.67</v>
      </c>
      <c r="AG677" s="139">
        <v>70</v>
      </c>
      <c r="AH677" s="140">
        <v>77</v>
      </c>
      <c r="AI677" s="141">
        <v>60</v>
      </c>
      <c r="AJ677" s="142">
        <v>97</v>
      </c>
      <c r="AK677" s="143">
        <v>60</v>
      </c>
      <c r="AL677" s="144">
        <v>108</v>
      </c>
      <c r="AM677" s="138">
        <v>472</v>
      </c>
      <c r="AN677" s="153">
        <v>78.67</v>
      </c>
      <c r="AV677" s="174"/>
      <c r="AW677" s="45"/>
      <c r="AX677" s="174" t="b">
        <f>IF('Refined Compare'!$D$2="All",TRUE,IF(F677='Refined Compare'!$D$2,TRUE,IF(G677='Refined Compare'!$D$2,TRUE,FALSE)))</f>
        <v>0</v>
      </c>
      <c r="AY677" s="174" t="b">
        <f>IF('Refined Compare'!$D$3="All",TRUE,IF(F677='Refined Compare'!$D$3,TRUE,IF(G677='Refined Compare'!$D$3,TRUE,FALSE)))</f>
        <v>0</v>
      </c>
      <c r="AZ677" s="174" t="b">
        <f t="shared" si="175"/>
        <v>0</v>
      </c>
    </row>
    <row r="678" spans="1:52" x14ac:dyDescent="0.35">
      <c r="A678">
        <f t="shared" si="176"/>
        <v>677</v>
      </c>
      <c r="B678" s="18">
        <v>597</v>
      </c>
      <c r="C678" s="61">
        <v>5</v>
      </c>
      <c r="D678" s="61" t="b">
        <v>0</v>
      </c>
      <c r="E678" s="61"/>
      <c r="F678" s="66" t="s">
        <v>806</v>
      </c>
      <c r="G678" s="66" t="s">
        <v>819</v>
      </c>
      <c r="H678" s="38" t="s">
        <v>4</v>
      </c>
      <c r="I678" s="39">
        <f t="shared" si="179"/>
        <v>44</v>
      </c>
      <c r="J678" s="40">
        <f t="shared" si="180"/>
        <v>50</v>
      </c>
      <c r="K678" s="41">
        <f t="shared" si="181"/>
        <v>91</v>
      </c>
      <c r="L678" s="42">
        <f t="shared" si="182"/>
        <v>24</v>
      </c>
      <c r="M678" s="43">
        <f t="shared" si="183"/>
        <v>86</v>
      </c>
      <c r="N678" s="44">
        <f t="shared" si="184"/>
        <v>10</v>
      </c>
      <c r="O678" s="45">
        <f t="shared" si="185"/>
        <v>305</v>
      </c>
      <c r="P678" s="19">
        <f t="shared" si="186"/>
        <v>50.83</v>
      </c>
      <c r="Q678" s="177">
        <v>44</v>
      </c>
      <c r="R678" s="40">
        <v>50</v>
      </c>
      <c r="S678" s="41">
        <v>91</v>
      </c>
      <c r="T678" s="42">
        <v>24</v>
      </c>
      <c r="U678" s="43">
        <v>86</v>
      </c>
      <c r="V678" s="44">
        <v>10</v>
      </c>
      <c r="W678" s="45">
        <f t="shared" si="177"/>
        <v>305</v>
      </c>
      <c r="X678" s="19">
        <f t="shared" si="178"/>
        <v>50.83</v>
      </c>
      <c r="Y678" s="3">
        <v>44</v>
      </c>
      <c r="Z678" s="4">
        <v>50</v>
      </c>
      <c r="AA678" s="5">
        <v>91</v>
      </c>
      <c r="AB678" s="6">
        <v>24</v>
      </c>
      <c r="AC678" s="7">
        <v>86</v>
      </c>
      <c r="AD678" s="8">
        <v>10</v>
      </c>
      <c r="AE678" s="1">
        <v>305</v>
      </c>
      <c r="AF678" s="19">
        <v>50.83</v>
      </c>
      <c r="AG678" s="139">
        <v>44</v>
      </c>
      <c r="AH678" s="140">
        <v>50</v>
      </c>
      <c r="AI678" s="141">
        <v>91</v>
      </c>
      <c r="AJ678" s="142">
        <v>24</v>
      </c>
      <c r="AK678" s="143">
        <v>86</v>
      </c>
      <c r="AL678" s="144">
        <v>10</v>
      </c>
      <c r="AM678" s="138">
        <v>305</v>
      </c>
      <c r="AN678" s="153">
        <v>50.83</v>
      </c>
      <c r="AV678" s="174"/>
      <c r="AW678" s="45"/>
      <c r="AX678" s="174" t="b">
        <f>IF('Refined Compare'!$D$2="All",TRUE,IF(F678='Refined Compare'!$D$2,TRUE,IF(G678='Refined Compare'!$D$2,TRUE,FALSE)))</f>
        <v>0</v>
      </c>
      <c r="AY678" s="174" t="b">
        <f>IF('Refined Compare'!$D$3="All",TRUE,IF(F678='Refined Compare'!$D$3,TRUE,IF(G678='Refined Compare'!$D$3,TRUE,FALSE)))</f>
        <v>0</v>
      </c>
      <c r="AZ678" s="174" t="b">
        <f t="shared" si="175"/>
        <v>0</v>
      </c>
    </row>
    <row r="679" spans="1:52" x14ac:dyDescent="0.35">
      <c r="A679">
        <f t="shared" si="176"/>
        <v>678</v>
      </c>
      <c r="B679" s="18">
        <v>598</v>
      </c>
      <c r="C679" s="61">
        <v>5</v>
      </c>
      <c r="D679" s="118" t="b">
        <v>1</v>
      </c>
      <c r="E679" s="61"/>
      <c r="F679" s="66" t="s">
        <v>806</v>
      </c>
      <c r="G679" s="66" t="s">
        <v>819</v>
      </c>
      <c r="H679" s="38" t="s">
        <v>27</v>
      </c>
      <c r="I679" s="39">
        <f t="shared" si="179"/>
        <v>74</v>
      </c>
      <c r="J679" s="40">
        <f t="shared" si="180"/>
        <v>94</v>
      </c>
      <c r="K679" s="41">
        <f t="shared" si="181"/>
        <v>131</v>
      </c>
      <c r="L679" s="42">
        <f t="shared" si="182"/>
        <v>54</v>
      </c>
      <c r="M679" s="43">
        <f t="shared" si="183"/>
        <v>116</v>
      </c>
      <c r="N679" s="44">
        <f t="shared" si="184"/>
        <v>20</v>
      </c>
      <c r="O679" s="45">
        <f t="shared" si="185"/>
        <v>489</v>
      </c>
      <c r="P679" s="19">
        <f t="shared" si="186"/>
        <v>81.5</v>
      </c>
      <c r="Q679" s="177">
        <v>74</v>
      </c>
      <c r="R679" s="40">
        <v>94</v>
      </c>
      <c r="S679" s="41">
        <v>131</v>
      </c>
      <c r="T679" s="42">
        <v>54</v>
      </c>
      <c r="U679" s="43">
        <v>116</v>
      </c>
      <c r="V679" s="44">
        <v>20</v>
      </c>
      <c r="W679" s="45">
        <f t="shared" si="177"/>
        <v>489</v>
      </c>
      <c r="X679" s="19">
        <f t="shared" si="178"/>
        <v>81.5</v>
      </c>
      <c r="Y679" s="3">
        <v>74</v>
      </c>
      <c r="Z679" s="4">
        <v>94</v>
      </c>
      <c r="AA679" s="5">
        <v>131</v>
      </c>
      <c r="AB679" s="6">
        <v>54</v>
      </c>
      <c r="AC679" s="7">
        <v>116</v>
      </c>
      <c r="AD679" s="8">
        <v>20</v>
      </c>
      <c r="AE679" s="1">
        <v>489</v>
      </c>
      <c r="AF679" s="19">
        <v>81.5</v>
      </c>
      <c r="AG679" s="139">
        <v>74</v>
      </c>
      <c r="AH679" s="140">
        <v>94</v>
      </c>
      <c r="AI679" s="141">
        <v>131</v>
      </c>
      <c r="AJ679" s="142">
        <v>54</v>
      </c>
      <c r="AK679" s="143">
        <v>116</v>
      </c>
      <c r="AL679" s="144">
        <v>20</v>
      </c>
      <c r="AM679" s="138">
        <v>489</v>
      </c>
      <c r="AN679" s="153">
        <v>81.5</v>
      </c>
      <c r="AV679" s="174"/>
      <c r="AW679" s="45"/>
      <c r="AX679" s="174" t="b">
        <f>IF('Refined Compare'!$D$2="All",TRUE,IF(F679='Refined Compare'!$D$2,TRUE,IF(G679='Refined Compare'!$D$2,TRUE,FALSE)))</f>
        <v>0</v>
      </c>
      <c r="AY679" s="174" t="b">
        <f>IF('Refined Compare'!$D$3="All",TRUE,IF(F679='Refined Compare'!$D$3,TRUE,IF(G679='Refined Compare'!$D$3,TRUE,FALSE)))</f>
        <v>0</v>
      </c>
      <c r="AZ679" s="174" t="b">
        <f t="shared" si="175"/>
        <v>0</v>
      </c>
    </row>
    <row r="680" spans="1:52" x14ac:dyDescent="0.35">
      <c r="A680">
        <f t="shared" si="176"/>
        <v>679</v>
      </c>
      <c r="B680" s="18">
        <v>599</v>
      </c>
      <c r="C680" s="61">
        <v>5</v>
      </c>
      <c r="D680" s="61" t="b">
        <v>0</v>
      </c>
      <c r="E680" s="61"/>
      <c r="F680" s="66" t="s">
        <v>819</v>
      </c>
      <c r="G680" s="66" t="s">
        <v>827</v>
      </c>
      <c r="H680" s="38" t="s">
        <v>83</v>
      </c>
      <c r="I680" s="39">
        <f t="shared" si="179"/>
        <v>40</v>
      </c>
      <c r="J680" s="40">
        <f t="shared" si="180"/>
        <v>55</v>
      </c>
      <c r="K680" s="41">
        <f t="shared" si="181"/>
        <v>70</v>
      </c>
      <c r="L680" s="42">
        <f t="shared" si="182"/>
        <v>45</v>
      </c>
      <c r="M680" s="43">
        <f t="shared" si="183"/>
        <v>60</v>
      </c>
      <c r="N680" s="44">
        <f t="shared" si="184"/>
        <v>30</v>
      </c>
      <c r="O680" s="45">
        <f t="shared" si="185"/>
        <v>300</v>
      </c>
      <c r="P680" s="19">
        <f t="shared" si="186"/>
        <v>50</v>
      </c>
      <c r="Q680" s="177">
        <v>40</v>
      </c>
      <c r="R680" s="40">
        <v>55</v>
      </c>
      <c r="S680" s="41">
        <v>70</v>
      </c>
      <c r="T680" s="42">
        <v>45</v>
      </c>
      <c r="U680" s="43">
        <v>60</v>
      </c>
      <c r="V680" s="44">
        <v>30</v>
      </c>
      <c r="W680" s="45">
        <f t="shared" si="177"/>
        <v>300</v>
      </c>
      <c r="X680" s="19">
        <f t="shared" si="178"/>
        <v>50</v>
      </c>
      <c r="Y680" s="3">
        <v>40</v>
      </c>
      <c r="Z680" s="4">
        <v>55</v>
      </c>
      <c r="AA680" s="5">
        <v>70</v>
      </c>
      <c r="AB680" s="6">
        <v>45</v>
      </c>
      <c r="AC680" s="7">
        <v>60</v>
      </c>
      <c r="AD680" s="8">
        <v>30</v>
      </c>
      <c r="AE680" s="1">
        <v>300</v>
      </c>
      <c r="AF680" s="19">
        <v>50</v>
      </c>
      <c r="AG680" s="139">
        <v>40</v>
      </c>
      <c r="AH680" s="140">
        <v>55</v>
      </c>
      <c r="AI680" s="141">
        <v>70</v>
      </c>
      <c r="AJ680" s="142">
        <v>45</v>
      </c>
      <c r="AK680" s="143">
        <v>60</v>
      </c>
      <c r="AL680" s="144">
        <v>30</v>
      </c>
      <c r="AM680" s="138">
        <v>300</v>
      </c>
      <c r="AN680" s="153">
        <v>50</v>
      </c>
      <c r="AV680" s="174"/>
      <c r="AW680" s="45"/>
      <c r="AX680" s="174" t="b">
        <f>IF('Refined Compare'!$D$2="All",TRUE,IF(F680='Refined Compare'!$D$2,TRUE,IF(G680='Refined Compare'!$D$2,TRUE,FALSE)))</f>
        <v>0</v>
      </c>
      <c r="AY680" s="174" t="b">
        <f>IF('Refined Compare'!$D$3="All",TRUE,IF(F680='Refined Compare'!$D$3,TRUE,IF(G680='Refined Compare'!$D$3,TRUE,FALSE)))</f>
        <v>1</v>
      </c>
      <c r="AZ680" s="174" t="b">
        <f t="shared" si="175"/>
        <v>0</v>
      </c>
    </row>
    <row r="681" spans="1:52" x14ac:dyDescent="0.35">
      <c r="A681">
        <f t="shared" si="176"/>
        <v>680</v>
      </c>
      <c r="B681" s="18">
        <v>600</v>
      </c>
      <c r="C681" s="61">
        <v>5</v>
      </c>
      <c r="D681" s="61" t="b">
        <v>0</v>
      </c>
      <c r="E681" s="61"/>
      <c r="F681" s="66" t="s">
        <v>819</v>
      </c>
      <c r="G681" s="66" t="s">
        <v>827</v>
      </c>
      <c r="H681" s="38" t="s">
        <v>251</v>
      </c>
      <c r="I681" s="39">
        <f t="shared" si="179"/>
        <v>60</v>
      </c>
      <c r="J681" s="40">
        <f t="shared" si="180"/>
        <v>80</v>
      </c>
      <c r="K681" s="41">
        <f t="shared" si="181"/>
        <v>95</v>
      </c>
      <c r="L681" s="42">
        <f t="shared" si="182"/>
        <v>70</v>
      </c>
      <c r="M681" s="43">
        <f t="shared" si="183"/>
        <v>85</v>
      </c>
      <c r="N681" s="44">
        <f t="shared" si="184"/>
        <v>50</v>
      </c>
      <c r="O681" s="45">
        <f t="shared" si="185"/>
        <v>440</v>
      </c>
      <c r="P681" s="19">
        <f t="shared" si="186"/>
        <v>73.33</v>
      </c>
      <c r="Q681" s="177">
        <v>60</v>
      </c>
      <c r="R681" s="40">
        <v>80</v>
      </c>
      <c r="S681" s="41">
        <v>95</v>
      </c>
      <c r="T681" s="42">
        <v>70</v>
      </c>
      <c r="U681" s="43">
        <v>85</v>
      </c>
      <c r="V681" s="44">
        <v>50</v>
      </c>
      <c r="W681" s="45">
        <f t="shared" si="177"/>
        <v>440</v>
      </c>
      <c r="X681" s="19">
        <f t="shared" si="178"/>
        <v>73.33</v>
      </c>
      <c r="Y681" s="3">
        <v>60</v>
      </c>
      <c r="Z681" s="4">
        <v>80</v>
      </c>
      <c r="AA681" s="5">
        <v>95</v>
      </c>
      <c r="AB681" s="6">
        <v>70</v>
      </c>
      <c r="AC681" s="7">
        <v>85</v>
      </c>
      <c r="AD681" s="8">
        <v>50</v>
      </c>
      <c r="AE681" s="1">
        <v>440</v>
      </c>
      <c r="AF681" s="19">
        <v>73.33</v>
      </c>
      <c r="AG681" s="139">
        <v>60</v>
      </c>
      <c r="AH681" s="140">
        <v>80</v>
      </c>
      <c r="AI681" s="141">
        <v>95</v>
      </c>
      <c r="AJ681" s="142">
        <v>70</v>
      </c>
      <c r="AK681" s="143">
        <v>85</v>
      </c>
      <c r="AL681" s="144">
        <v>50</v>
      </c>
      <c r="AM681" s="138">
        <v>440</v>
      </c>
      <c r="AN681" s="153">
        <v>73.33</v>
      </c>
      <c r="AV681" s="174"/>
      <c r="AW681" s="45"/>
      <c r="AX681" s="174" t="b">
        <f>IF('Refined Compare'!$D$2="All",TRUE,IF(F681='Refined Compare'!$D$2,TRUE,IF(G681='Refined Compare'!$D$2,TRUE,FALSE)))</f>
        <v>0</v>
      </c>
      <c r="AY681" s="174" t="b">
        <f>IF('Refined Compare'!$D$3="All",TRUE,IF(F681='Refined Compare'!$D$3,TRUE,IF(G681='Refined Compare'!$D$3,TRUE,FALSE)))</f>
        <v>1</v>
      </c>
      <c r="AZ681" s="174" t="b">
        <f t="shared" si="175"/>
        <v>0</v>
      </c>
    </row>
    <row r="682" spans="1:52" x14ac:dyDescent="0.35">
      <c r="A682">
        <f t="shared" si="176"/>
        <v>681</v>
      </c>
      <c r="B682" s="18">
        <v>601</v>
      </c>
      <c r="C682" s="61">
        <v>5</v>
      </c>
      <c r="D682" s="118" t="b">
        <v>1</v>
      </c>
      <c r="E682" s="61"/>
      <c r="F682" s="66" t="s">
        <v>819</v>
      </c>
      <c r="G682" s="66" t="s">
        <v>827</v>
      </c>
      <c r="H682" s="38" t="s">
        <v>601</v>
      </c>
      <c r="I682" s="39">
        <f t="shared" si="179"/>
        <v>60</v>
      </c>
      <c r="J682" s="40">
        <f t="shared" si="180"/>
        <v>100</v>
      </c>
      <c r="K682" s="41">
        <f t="shared" si="181"/>
        <v>115</v>
      </c>
      <c r="L682" s="42">
        <f t="shared" si="182"/>
        <v>70</v>
      </c>
      <c r="M682" s="43">
        <f t="shared" si="183"/>
        <v>85</v>
      </c>
      <c r="N682" s="44">
        <f t="shared" si="184"/>
        <v>90</v>
      </c>
      <c r="O682" s="45">
        <f t="shared" si="185"/>
        <v>520</v>
      </c>
      <c r="P682" s="19">
        <f t="shared" si="186"/>
        <v>86.67</v>
      </c>
      <c r="Q682" s="177">
        <v>60</v>
      </c>
      <c r="R682" s="40">
        <v>100</v>
      </c>
      <c r="S682" s="41">
        <v>115</v>
      </c>
      <c r="T682" s="42">
        <v>70</v>
      </c>
      <c r="U682" s="43">
        <v>85</v>
      </c>
      <c r="V682" s="44">
        <v>90</v>
      </c>
      <c r="W682" s="45">
        <f t="shared" si="177"/>
        <v>520</v>
      </c>
      <c r="X682" s="19">
        <f t="shared" si="178"/>
        <v>86.67</v>
      </c>
      <c r="Y682" s="3">
        <v>60</v>
      </c>
      <c r="Z682" s="4">
        <v>100</v>
      </c>
      <c r="AA682" s="5">
        <v>115</v>
      </c>
      <c r="AB682" s="6">
        <v>70</v>
      </c>
      <c r="AC682" s="7">
        <v>85</v>
      </c>
      <c r="AD682" s="8">
        <v>90</v>
      </c>
      <c r="AE682" s="1">
        <v>520</v>
      </c>
      <c r="AF682" s="19">
        <v>86.67</v>
      </c>
      <c r="AG682" s="139">
        <v>60</v>
      </c>
      <c r="AH682" s="140">
        <v>100</v>
      </c>
      <c r="AI682" s="141">
        <v>115</v>
      </c>
      <c r="AJ682" s="142">
        <v>70</v>
      </c>
      <c r="AK682" s="143">
        <v>85</v>
      </c>
      <c r="AL682" s="144">
        <v>90</v>
      </c>
      <c r="AM682" s="138">
        <v>520</v>
      </c>
      <c r="AN682" s="153">
        <v>86.67</v>
      </c>
      <c r="AV682" s="174"/>
      <c r="AW682" s="45"/>
      <c r="AX682" s="174" t="b">
        <f>IF('Refined Compare'!$D$2="All",TRUE,IF(F682='Refined Compare'!$D$2,TRUE,IF(G682='Refined Compare'!$D$2,TRUE,FALSE)))</f>
        <v>0</v>
      </c>
      <c r="AY682" s="174" t="b">
        <f>IF('Refined Compare'!$D$3="All",TRUE,IF(F682='Refined Compare'!$D$3,TRUE,IF(G682='Refined Compare'!$D$3,TRUE,FALSE)))</f>
        <v>1</v>
      </c>
      <c r="AZ682" s="174" t="b">
        <f t="shared" si="175"/>
        <v>0</v>
      </c>
    </row>
    <row r="683" spans="1:52" x14ac:dyDescent="0.35">
      <c r="A683">
        <f t="shared" si="176"/>
        <v>682</v>
      </c>
      <c r="B683" s="18">
        <v>602</v>
      </c>
      <c r="C683" s="61">
        <v>5</v>
      </c>
      <c r="D683" s="61" t="b">
        <v>0</v>
      </c>
      <c r="E683" s="61"/>
      <c r="F683" s="66" t="s">
        <v>813</v>
      </c>
      <c r="G683" s="66" t="s">
        <v>827</v>
      </c>
      <c r="H683" s="38" t="s">
        <v>346</v>
      </c>
      <c r="I683" s="39">
        <f t="shared" si="179"/>
        <v>35</v>
      </c>
      <c r="J683" s="40">
        <f t="shared" si="180"/>
        <v>55</v>
      </c>
      <c r="K683" s="41">
        <f t="shared" si="181"/>
        <v>40</v>
      </c>
      <c r="L683" s="42">
        <f t="shared" si="182"/>
        <v>45</v>
      </c>
      <c r="M683" s="43">
        <f t="shared" si="183"/>
        <v>40</v>
      </c>
      <c r="N683" s="44">
        <f t="shared" si="184"/>
        <v>60</v>
      </c>
      <c r="O683" s="45">
        <f t="shared" si="185"/>
        <v>275</v>
      </c>
      <c r="P683" s="19">
        <f t="shared" si="186"/>
        <v>45.83</v>
      </c>
      <c r="Q683" s="177">
        <v>35</v>
      </c>
      <c r="R683" s="40">
        <v>55</v>
      </c>
      <c r="S683" s="41">
        <v>40</v>
      </c>
      <c r="T683" s="42">
        <v>45</v>
      </c>
      <c r="U683" s="43">
        <v>40</v>
      </c>
      <c r="V683" s="44">
        <v>60</v>
      </c>
      <c r="W683" s="45">
        <f t="shared" si="177"/>
        <v>275</v>
      </c>
      <c r="X683" s="19">
        <f t="shared" si="178"/>
        <v>45.83</v>
      </c>
      <c r="Y683" s="3">
        <v>35</v>
      </c>
      <c r="Z683" s="4">
        <v>55</v>
      </c>
      <c r="AA683" s="5">
        <v>40</v>
      </c>
      <c r="AB683" s="6">
        <v>45</v>
      </c>
      <c r="AC683" s="7">
        <v>40</v>
      </c>
      <c r="AD683" s="8">
        <v>60</v>
      </c>
      <c r="AE683" s="1">
        <v>275</v>
      </c>
      <c r="AF683" s="19">
        <v>45.83</v>
      </c>
      <c r="AG683" s="139">
        <v>35</v>
      </c>
      <c r="AH683" s="140">
        <v>55</v>
      </c>
      <c r="AI683" s="141">
        <v>40</v>
      </c>
      <c r="AJ683" s="142">
        <v>45</v>
      </c>
      <c r="AK683" s="143">
        <v>40</v>
      </c>
      <c r="AL683" s="144">
        <v>60</v>
      </c>
      <c r="AM683" s="138">
        <v>275</v>
      </c>
      <c r="AN683" s="153">
        <v>45.83</v>
      </c>
      <c r="AV683" s="174"/>
      <c r="AW683" s="45"/>
      <c r="AX683" s="174" t="b">
        <f>IF('Refined Compare'!$D$2="All",TRUE,IF(F683='Refined Compare'!$D$2,TRUE,IF(G683='Refined Compare'!$D$2,TRUE,FALSE)))</f>
        <v>0</v>
      </c>
      <c r="AY683" s="174" t="b">
        <f>IF('Refined Compare'!$D$3="All",TRUE,IF(F683='Refined Compare'!$D$3,TRUE,IF(G683='Refined Compare'!$D$3,TRUE,FALSE)))</f>
        <v>1</v>
      </c>
      <c r="AZ683" s="174" t="b">
        <f t="shared" si="175"/>
        <v>0</v>
      </c>
    </row>
    <row r="684" spans="1:52" x14ac:dyDescent="0.35">
      <c r="A684">
        <f t="shared" si="176"/>
        <v>683</v>
      </c>
      <c r="B684" s="18">
        <v>603</v>
      </c>
      <c r="C684" s="61">
        <v>5</v>
      </c>
      <c r="D684" s="61" t="b">
        <v>0</v>
      </c>
      <c r="E684" s="61"/>
      <c r="F684" s="66" t="s">
        <v>813</v>
      </c>
      <c r="G684" s="66" t="s">
        <v>827</v>
      </c>
      <c r="H684" s="38" t="s">
        <v>151</v>
      </c>
      <c r="I684" s="39">
        <f t="shared" si="179"/>
        <v>65</v>
      </c>
      <c r="J684" s="40">
        <f t="shared" si="180"/>
        <v>85</v>
      </c>
      <c r="K684" s="41">
        <f t="shared" si="181"/>
        <v>70</v>
      </c>
      <c r="L684" s="42">
        <f t="shared" si="182"/>
        <v>75</v>
      </c>
      <c r="M684" s="43">
        <f t="shared" si="183"/>
        <v>70</v>
      </c>
      <c r="N684" s="44">
        <f t="shared" si="184"/>
        <v>40</v>
      </c>
      <c r="O684" s="45">
        <f t="shared" si="185"/>
        <v>405</v>
      </c>
      <c r="P684" s="19">
        <f t="shared" si="186"/>
        <v>67.5</v>
      </c>
      <c r="Q684" s="177">
        <v>65</v>
      </c>
      <c r="R684" s="40">
        <v>85</v>
      </c>
      <c r="S684" s="41">
        <v>70</v>
      </c>
      <c r="T684" s="42">
        <v>75</v>
      </c>
      <c r="U684" s="43">
        <v>70</v>
      </c>
      <c r="V684" s="44">
        <v>40</v>
      </c>
      <c r="W684" s="45">
        <f t="shared" si="177"/>
        <v>405</v>
      </c>
      <c r="X684" s="19">
        <f t="shared" si="178"/>
        <v>67.5</v>
      </c>
      <c r="Y684" s="3">
        <v>65</v>
      </c>
      <c r="Z684" s="4">
        <v>85</v>
      </c>
      <c r="AA684" s="5">
        <v>70</v>
      </c>
      <c r="AB684" s="6">
        <v>75</v>
      </c>
      <c r="AC684" s="7">
        <v>70</v>
      </c>
      <c r="AD684" s="8">
        <v>40</v>
      </c>
      <c r="AE684" s="1">
        <v>405</v>
      </c>
      <c r="AF684" s="19">
        <v>67.5</v>
      </c>
      <c r="AG684" s="139">
        <v>65</v>
      </c>
      <c r="AH684" s="140">
        <v>85</v>
      </c>
      <c r="AI684" s="141">
        <v>70</v>
      </c>
      <c r="AJ684" s="142">
        <v>75</v>
      </c>
      <c r="AK684" s="143">
        <v>70</v>
      </c>
      <c r="AL684" s="144">
        <v>40</v>
      </c>
      <c r="AM684" s="138">
        <v>405</v>
      </c>
      <c r="AN684" s="153">
        <v>67.5</v>
      </c>
      <c r="AV684" s="174"/>
      <c r="AW684" s="45"/>
      <c r="AX684" s="174" t="b">
        <f>IF('Refined Compare'!$D$2="All",TRUE,IF(F684='Refined Compare'!$D$2,TRUE,IF(G684='Refined Compare'!$D$2,TRUE,FALSE)))</f>
        <v>0</v>
      </c>
      <c r="AY684" s="174" t="b">
        <f>IF('Refined Compare'!$D$3="All",TRUE,IF(F684='Refined Compare'!$D$3,TRUE,IF(G684='Refined Compare'!$D$3,TRUE,FALSE)))</f>
        <v>1</v>
      </c>
      <c r="AZ684" s="174" t="b">
        <f t="shared" si="175"/>
        <v>0</v>
      </c>
    </row>
    <row r="685" spans="1:52" x14ac:dyDescent="0.35">
      <c r="A685">
        <f t="shared" si="176"/>
        <v>684</v>
      </c>
      <c r="B685" s="18">
        <v>604</v>
      </c>
      <c r="C685" s="61">
        <v>5</v>
      </c>
      <c r="D685" s="118" t="b">
        <v>1</v>
      </c>
      <c r="E685" s="61"/>
      <c r="F685" s="66" t="s">
        <v>813</v>
      </c>
      <c r="G685" s="66" t="s">
        <v>827</v>
      </c>
      <c r="H685" s="38" t="s">
        <v>252</v>
      </c>
      <c r="I685" s="39">
        <f t="shared" si="179"/>
        <v>85</v>
      </c>
      <c r="J685" s="40">
        <f t="shared" si="180"/>
        <v>115</v>
      </c>
      <c r="K685" s="41">
        <f t="shared" si="181"/>
        <v>80</v>
      </c>
      <c r="L685" s="42">
        <f t="shared" si="182"/>
        <v>105</v>
      </c>
      <c r="M685" s="43">
        <f t="shared" si="183"/>
        <v>80</v>
      </c>
      <c r="N685" s="44">
        <f t="shared" si="184"/>
        <v>50</v>
      </c>
      <c r="O685" s="45">
        <f t="shared" si="185"/>
        <v>515</v>
      </c>
      <c r="P685" s="19">
        <f t="shared" si="186"/>
        <v>85.83</v>
      </c>
      <c r="Q685" s="177">
        <v>85</v>
      </c>
      <c r="R685" s="40">
        <v>115</v>
      </c>
      <c r="S685" s="41">
        <v>80</v>
      </c>
      <c r="T685" s="42">
        <v>105</v>
      </c>
      <c r="U685" s="43">
        <v>80</v>
      </c>
      <c r="V685" s="44">
        <v>50</v>
      </c>
      <c r="W685" s="45">
        <f t="shared" si="177"/>
        <v>515</v>
      </c>
      <c r="X685" s="19">
        <f t="shared" si="178"/>
        <v>85.83</v>
      </c>
      <c r="Y685" s="3">
        <v>85</v>
      </c>
      <c r="Z685" s="4">
        <v>115</v>
      </c>
      <c r="AA685" s="5">
        <v>80</v>
      </c>
      <c r="AB685" s="6">
        <v>105</v>
      </c>
      <c r="AC685" s="7">
        <v>80</v>
      </c>
      <c r="AD685" s="8">
        <v>50</v>
      </c>
      <c r="AE685" s="1">
        <v>515</v>
      </c>
      <c r="AF685" s="19">
        <v>85.83</v>
      </c>
      <c r="AG685" s="139">
        <v>85</v>
      </c>
      <c r="AH685" s="140">
        <v>115</v>
      </c>
      <c r="AI685" s="141">
        <v>80</v>
      </c>
      <c r="AJ685" s="142">
        <v>105</v>
      </c>
      <c r="AK685" s="143">
        <v>80</v>
      </c>
      <c r="AL685" s="144">
        <v>50</v>
      </c>
      <c r="AM685" s="138">
        <v>515</v>
      </c>
      <c r="AN685" s="153">
        <v>85.83</v>
      </c>
      <c r="AV685" s="174"/>
      <c r="AW685" s="45"/>
      <c r="AX685" s="174" t="b">
        <f>IF('Refined Compare'!$D$2="All",TRUE,IF(F685='Refined Compare'!$D$2,TRUE,IF(G685='Refined Compare'!$D$2,TRUE,FALSE)))</f>
        <v>0</v>
      </c>
      <c r="AY685" s="174" t="b">
        <f>IF('Refined Compare'!$D$3="All",TRUE,IF(F685='Refined Compare'!$D$3,TRUE,IF(G685='Refined Compare'!$D$3,TRUE,FALSE)))</f>
        <v>1</v>
      </c>
      <c r="AZ685" s="174" t="b">
        <f t="shared" si="175"/>
        <v>0</v>
      </c>
    </row>
    <row r="686" spans="1:52" x14ac:dyDescent="0.35">
      <c r="A686">
        <f t="shared" si="176"/>
        <v>685</v>
      </c>
      <c r="B686" s="18">
        <v>605</v>
      </c>
      <c r="C686" s="61">
        <v>5</v>
      </c>
      <c r="D686" s="61" t="b">
        <v>0</v>
      </c>
      <c r="E686" s="61"/>
      <c r="F686" s="66" t="s">
        <v>817</v>
      </c>
      <c r="G686" s="66" t="s">
        <v>827</v>
      </c>
      <c r="H686" s="38" t="s">
        <v>84</v>
      </c>
      <c r="I686" s="39">
        <f t="shared" si="179"/>
        <v>55</v>
      </c>
      <c r="J686" s="40">
        <f t="shared" si="180"/>
        <v>55</v>
      </c>
      <c r="K686" s="41">
        <f t="shared" si="181"/>
        <v>55</v>
      </c>
      <c r="L686" s="42">
        <f t="shared" si="182"/>
        <v>85</v>
      </c>
      <c r="M686" s="43">
        <f t="shared" si="183"/>
        <v>55</v>
      </c>
      <c r="N686" s="44">
        <f t="shared" si="184"/>
        <v>30</v>
      </c>
      <c r="O686" s="45">
        <f t="shared" si="185"/>
        <v>335</v>
      </c>
      <c r="P686" s="19">
        <f t="shared" si="186"/>
        <v>55.83</v>
      </c>
      <c r="Q686" s="177">
        <v>55</v>
      </c>
      <c r="R686" s="40">
        <v>55</v>
      </c>
      <c r="S686" s="41">
        <v>55</v>
      </c>
      <c r="T686" s="42">
        <v>85</v>
      </c>
      <c r="U686" s="43">
        <v>55</v>
      </c>
      <c r="V686" s="44">
        <v>30</v>
      </c>
      <c r="W686" s="45">
        <f t="shared" si="177"/>
        <v>335</v>
      </c>
      <c r="X686" s="19">
        <f t="shared" si="178"/>
        <v>55.83</v>
      </c>
      <c r="Y686" s="3">
        <v>55</v>
      </c>
      <c r="Z686" s="4">
        <v>55</v>
      </c>
      <c r="AA686" s="5">
        <v>55</v>
      </c>
      <c r="AB686" s="6">
        <v>85</v>
      </c>
      <c r="AC686" s="7">
        <v>55</v>
      </c>
      <c r="AD686" s="8">
        <v>30</v>
      </c>
      <c r="AE686" s="1">
        <v>335</v>
      </c>
      <c r="AF686" s="19">
        <v>55.83</v>
      </c>
      <c r="AG686" s="139">
        <v>55</v>
      </c>
      <c r="AH686" s="140">
        <v>55</v>
      </c>
      <c r="AI686" s="141">
        <v>55</v>
      </c>
      <c r="AJ686" s="142">
        <v>85</v>
      </c>
      <c r="AK686" s="143">
        <v>55</v>
      </c>
      <c r="AL686" s="144">
        <v>30</v>
      </c>
      <c r="AM686" s="138">
        <v>335</v>
      </c>
      <c r="AN686" s="153">
        <v>55.83</v>
      </c>
      <c r="AV686" s="174"/>
      <c r="AW686" s="45"/>
      <c r="AX686" s="174" t="b">
        <f>IF('Refined Compare'!$D$2="All",TRUE,IF(F686='Refined Compare'!$D$2,TRUE,IF(G686='Refined Compare'!$D$2,TRUE,FALSE)))</f>
        <v>0</v>
      </c>
      <c r="AY686" s="174" t="b">
        <f>IF('Refined Compare'!$D$3="All",TRUE,IF(F686='Refined Compare'!$D$3,TRUE,IF(G686='Refined Compare'!$D$3,TRUE,FALSE)))</f>
        <v>1</v>
      </c>
      <c r="AZ686" s="174" t="b">
        <f t="shared" si="175"/>
        <v>0</v>
      </c>
    </row>
    <row r="687" spans="1:52" ht="15" thickBot="1" x14ac:dyDescent="0.4">
      <c r="A687">
        <f t="shared" si="176"/>
        <v>686</v>
      </c>
      <c r="B687" s="18">
        <v>606</v>
      </c>
      <c r="C687" s="61">
        <v>5</v>
      </c>
      <c r="D687" s="118" t="b">
        <v>1</v>
      </c>
      <c r="E687" s="61"/>
      <c r="F687" s="66" t="s">
        <v>817</v>
      </c>
      <c r="G687" s="66" t="s">
        <v>827</v>
      </c>
      <c r="H687" s="38" t="s">
        <v>152</v>
      </c>
      <c r="I687" s="39">
        <f t="shared" si="179"/>
        <v>75</v>
      </c>
      <c r="J687" s="40">
        <f t="shared" si="180"/>
        <v>75</v>
      </c>
      <c r="K687" s="41">
        <f t="shared" si="181"/>
        <v>75</v>
      </c>
      <c r="L687" s="42">
        <f t="shared" si="182"/>
        <v>125</v>
      </c>
      <c r="M687" s="43">
        <f t="shared" si="183"/>
        <v>95</v>
      </c>
      <c r="N687" s="44">
        <f t="shared" si="184"/>
        <v>40</v>
      </c>
      <c r="O687" s="45">
        <f t="shared" si="185"/>
        <v>485</v>
      </c>
      <c r="P687" s="19">
        <f t="shared" si="186"/>
        <v>80.83</v>
      </c>
      <c r="Q687" s="177">
        <v>75</v>
      </c>
      <c r="R687" s="40">
        <v>75</v>
      </c>
      <c r="S687" s="41">
        <v>75</v>
      </c>
      <c r="T687" s="42">
        <v>125</v>
      </c>
      <c r="U687" s="43">
        <v>95</v>
      </c>
      <c r="V687" s="44">
        <v>40</v>
      </c>
      <c r="W687" s="45">
        <f t="shared" si="177"/>
        <v>485</v>
      </c>
      <c r="X687" s="19">
        <f t="shared" si="178"/>
        <v>80.83</v>
      </c>
      <c r="Y687" s="3">
        <v>75</v>
      </c>
      <c r="Z687" s="4">
        <v>75</v>
      </c>
      <c r="AA687" s="5">
        <v>75</v>
      </c>
      <c r="AB687" s="6">
        <v>125</v>
      </c>
      <c r="AC687" s="7">
        <v>95</v>
      </c>
      <c r="AD687" s="8">
        <v>40</v>
      </c>
      <c r="AE687" s="1">
        <v>485</v>
      </c>
      <c r="AF687" s="19">
        <v>80.83</v>
      </c>
      <c r="AG687" s="154">
        <v>75</v>
      </c>
      <c r="AH687" s="155">
        <v>75</v>
      </c>
      <c r="AI687" s="156">
        <v>75</v>
      </c>
      <c r="AJ687" s="157">
        <v>125</v>
      </c>
      <c r="AK687" s="158">
        <v>95</v>
      </c>
      <c r="AL687" s="159">
        <v>40</v>
      </c>
      <c r="AM687" s="160">
        <v>485</v>
      </c>
      <c r="AN687" s="161">
        <v>80.83</v>
      </c>
      <c r="AV687" s="174"/>
      <c r="AW687" s="45"/>
      <c r="AX687" s="174" t="b">
        <f>IF('Refined Compare'!$D$2="All",TRUE,IF(F687='Refined Compare'!$D$2,TRUE,IF(G687='Refined Compare'!$D$2,TRUE,FALSE)))</f>
        <v>0</v>
      </c>
      <c r="AY687" s="174" t="b">
        <f>IF('Refined Compare'!$D$3="All",TRUE,IF(F687='Refined Compare'!$D$3,TRUE,IF(G687='Refined Compare'!$D$3,TRUE,FALSE)))</f>
        <v>1</v>
      </c>
      <c r="AZ687" s="174" t="b">
        <f t="shared" si="175"/>
        <v>0</v>
      </c>
    </row>
    <row r="688" spans="1:52" ht="15" thickTop="1" x14ac:dyDescent="0.35">
      <c r="A688">
        <f t="shared" si="176"/>
        <v>687</v>
      </c>
      <c r="B688" s="18">
        <v>607</v>
      </c>
      <c r="C688" s="61">
        <v>5</v>
      </c>
      <c r="D688" s="61" t="b">
        <v>0</v>
      </c>
      <c r="E688" s="61"/>
      <c r="F688" s="66" t="s">
        <v>821</v>
      </c>
      <c r="G688" s="66" t="s">
        <v>808</v>
      </c>
      <c r="H688" s="38" t="s">
        <v>28</v>
      </c>
      <c r="I688" s="39">
        <f t="shared" si="179"/>
        <v>50</v>
      </c>
      <c r="J688" s="40">
        <f t="shared" si="180"/>
        <v>30</v>
      </c>
      <c r="K688" s="41">
        <f t="shared" si="181"/>
        <v>55</v>
      </c>
      <c r="L688" s="42">
        <f t="shared" si="182"/>
        <v>65</v>
      </c>
      <c r="M688" s="43">
        <f t="shared" si="183"/>
        <v>55</v>
      </c>
      <c r="N688" s="44">
        <f t="shared" si="184"/>
        <v>20</v>
      </c>
      <c r="O688" s="45">
        <f t="shared" si="185"/>
        <v>275</v>
      </c>
      <c r="P688" s="19">
        <f t="shared" si="186"/>
        <v>45.83</v>
      </c>
      <c r="Q688" s="177">
        <v>50</v>
      </c>
      <c r="R688" s="40">
        <v>30</v>
      </c>
      <c r="S688" s="41">
        <v>55</v>
      </c>
      <c r="T688" s="42">
        <v>65</v>
      </c>
      <c r="U688" s="43">
        <v>55</v>
      </c>
      <c r="V688" s="44">
        <v>20</v>
      </c>
      <c r="W688" s="45">
        <f t="shared" si="177"/>
        <v>275</v>
      </c>
      <c r="X688" s="19">
        <f t="shared" si="178"/>
        <v>45.83</v>
      </c>
      <c r="Y688" s="3">
        <v>50</v>
      </c>
      <c r="Z688" s="4">
        <v>30</v>
      </c>
      <c r="AA688" s="5">
        <v>55</v>
      </c>
      <c r="AB688" s="6">
        <v>65</v>
      </c>
      <c r="AC688" s="7">
        <v>55</v>
      </c>
      <c r="AD688" s="8">
        <v>20</v>
      </c>
      <c r="AE688" s="1">
        <v>275</v>
      </c>
      <c r="AF688" s="19">
        <v>45.83</v>
      </c>
      <c r="AG688" s="139">
        <v>50</v>
      </c>
      <c r="AH688" s="140">
        <v>30</v>
      </c>
      <c r="AI688" s="141">
        <v>55</v>
      </c>
      <c r="AJ688" s="142">
        <v>65</v>
      </c>
      <c r="AK688" s="143">
        <v>55</v>
      </c>
      <c r="AL688" s="144">
        <v>20</v>
      </c>
      <c r="AM688" s="138">
        <v>275</v>
      </c>
      <c r="AN688" s="165">
        <v>45.83</v>
      </c>
      <c r="AV688" s="174"/>
      <c r="AW688" s="45"/>
      <c r="AX688" s="174" t="b">
        <f>IF('Refined Compare'!$D$2="All",TRUE,IF(F688='Refined Compare'!$D$2,TRUE,IF(G688='Refined Compare'!$D$2,TRUE,FALSE)))</f>
        <v>0</v>
      </c>
      <c r="AY688" s="174" t="b">
        <f>IF('Refined Compare'!$D$3="All",TRUE,IF(F688='Refined Compare'!$D$3,TRUE,IF(G688='Refined Compare'!$D$3,TRUE,FALSE)))</f>
        <v>0</v>
      </c>
      <c r="AZ688" s="174" t="b">
        <f t="shared" si="175"/>
        <v>0</v>
      </c>
    </row>
    <row r="689" spans="1:52" x14ac:dyDescent="0.35">
      <c r="A689">
        <f t="shared" si="176"/>
        <v>688</v>
      </c>
      <c r="B689" s="18">
        <v>608</v>
      </c>
      <c r="C689" s="61">
        <v>5</v>
      </c>
      <c r="D689" s="61" t="b">
        <v>0</v>
      </c>
      <c r="E689" s="61"/>
      <c r="F689" s="66" t="s">
        <v>821</v>
      </c>
      <c r="G689" s="66" t="s">
        <v>808</v>
      </c>
      <c r="H689" s="38" t="s">
        <v>290</v>
      </c>
      <c r="I689" s="39">
        <f t="shared" si="179"/>
        <v>60</v>
      </c>
      <c r="J689" s="40">
        <f t="shared" si="180"/>
        <v>40</v>
      </c>
      <c r="K689" s="41">
        <f t="shared" si="181"/>
        <v>60</v>
      </c>
      <c r="L689" s="42">
        <f t="shared" si="182"/>
        <v>95</v>
      </c>
      <c r="M689" s="43">
        <f t="shared" si="183"/>
        <v>60</v>
      </c>
      <c r="N689" s="44">
        <f t="shared" si="184"/>
        <v>55</v>
      </c>
      <c r="O689" s="45">
        <f t="shared" si="185"/>
        <v>370</v>
      </c>
      <c r="P689" s="19">
        <f t="shared" si="186"/>
        <v>61.67</v>
      </c>
      <c r="Q689" s="177">
        <v>60</v>
      </c>
      <c r="R689" s="40">
        <v>40</v>
      </c>
      <c r="S689" s="41">
        <v>60</v>
      </c>
      <c r="T689" s="42">
        <v>95</v>
      </c>
      <c r="U689" s="43">
        <v>60</v>
      </c>
      <c r="V689" s="44">
        <v>55</v>
      </c>
      <c r="W689" s="45">
        <f t="shared" si="177"/>
        <v>370</v>
      </c>
      <c r="X689" s="19">
        <f t="shared" si="178"/>
        <v>61.67</v>
      </c>
      <c r="Y689" s="3">
        <v>60</v>
      </c>
      <c r="Z689" s="4">
        <v>40</v>
      </c>
      <c r="AA689" s="5">
        <v>60</v>
      </c>
      <c r="AB689" s="6">
        <v>95</v>
      </c>
      <c r="AC689" s="7">
        <v>60</v>
      </c>
      <c r="AD689" s="8">
        <v>55</v>
      </c>
      <c r="AE689" s="1">
        <v>370</v>
      </c>
      <c r="AF689" s="19">
        <v>61.67</v>
      </c>
      <c r="AG689" s="139">
        <v>60</v>
      </c>
      <c r="AH689" s="140">
        <v>40</v>
      </c>
      <c r="AI689" s="141">
        <v>60</v>
      </c>
      <c r="AJ689" s="142">
        <v>95</v>
      </c>
      <c r="AK689" s="143">
        <v>60</v>
      </c>
      <c r="AL689" s="144">
        <v>55</v>
      </c>
      <c r="AM689" s="138">
        <v>370</v>
      </c>
      <c r="AN689" s="165">
        <v>61.67</v>
      </c>
      <c r="AV689" s="174"/>
      <c r="AW689" s="45"/>
      <c r="AX689" s="174" t="b">
        <f>IF('Refined Compare'!$D$2="All",TRUE,IF(F689='Refined Compare'!$D$2,TRUE,IF(G689='Refined Compare'!$D$2,TRUE,FALSE)))</f>
        <v>0</v>
      </c>
      <c r="AY689" s="174" t="b">
        <f>IF('Refined Compare'!$D$3="All",TRUE,IF(F689='Refined Compare'!$D$3,TRUE,IF(G689='Refined Compare'!$D$3,TRUE,FALSE)))</f>
        <v>0</v>
      </c>
      <c r="AZ689" s="174" t="b">
        <f t="shared" si="175"/>
        <v>0</v>
      </c>
    </row>
    <row r="690" spans="1:52" x14ac:dyDescent="0.35">
      <c r="A690">
        <f t="shared" si="176"/>
        <v>689</v>
      </c>
      <c r="B690" s="18">
        <v>609</v>
      </c>
      <c r="C690" s="61">
        <v>5</v>
      </c>
      <c r="D690" s="118" t="b">
        <v>1</v>
      </c>
      <c r="E690" s="61"/>
      <c r="F690" s="66" t="s">
        <v>821</v>
      </c>
      <c r="G690" s="66" t="s">
        <v>808</v>
      </c>
      <c r="H690" s="38" t="s">
        <v>524</v>
      </c>
      <c r="I690" s="39">
        <f t="shared" si="179"/>
        <v>60</v>
      </c>
      <c r="J690" s="40">
        <f t="shared" si="180"/>
        <v>55</v>
      </c>
      <c r="K690" s="41">
        <f t="shared" si="181"/>
        <v>90</v>
      </c>
      <c r="L690" s="42">
        <f t="shared" si="182"/>
        <v>145</v>
      </c>
      <c r="M690" s="43">
        <f t="shared" si="183"/>
        <v>90</v>
      </c>
      <c r="N690" s="44">
        <f t="shared" si="184"/>
        <v>80</v>
      </c>
      <c r="O690" s="45">
        <f t="shared" si="185"/>
        <v>520</v>
      </c>
      <c r="P690" s="19">
        <f t="shared" si="186"/>
        <v>86.67</v>
      </c>
      <c r="Q690" s="177">
        <v>60</v>
      </c>
      <c r="R690" s="40">
        <v>55</v>
      </c>
      <c r="S690" s="41">
        <v>90</v>
      </c>
      <c r="T690" s="42">
        <v>145</v>
      </c>
      <c r="U690" s="43">
        <v>90</v>
      </c>
      <c r="V690" s="44">
        <v>80</v>
      </c>
      <c r="W690" s="45">
        <f t="shared" si="177"/>
        <v>520</v>
      </c>
      <c r="X690" s="19">
        <f t="shared" si="178"/>
        <v>86.67</v>
      </c>
      <c r="Y690" s="3">
        <v>60</v>
      </c>
      <c r="Z690" s="4">
        <v>55</v>
      </c>
      <c r="AA690" s="5">
        <v>90</v>
      </c>
      <c r="AB690" s="6">
        <v>145</v>
      </c>
      <c r="AC690" s="7">
        <v>90</v>
      </c>
      <c r="AD690" s="8">
        <v>80</v>
      </c>
      <c r="AE690" s="1">
        <v>520</v>
      </c>
      <c r="AF690" s="19">
        <v>86.67</v>
      </c>
      <c r="AG690" s="139">
        <v>60</v>
      </c>
      <c r="AH690" s="140">
        <v>55</v>
      </c>
      <c r="AI690" s="141">
        <v>90</v>
      </c>
      <c r="AJ690" s="142">
        <v>145</v>
      </c>
      <c r="AK690" s="143">
        <v>90</v>
      </c>
      <c r="AL690" s="144">
        <v>80</v>
      </c>
      <c r="AM690" s="138">
        <v>520</v>
      </c>
      <c r="AN690" s="165">
        <v>86.67</v>
      </c>
      <c r="AV690" s="174"/>
      <c r="AW690" s="45"/>
      <c r="AX690" s="174" t="b">
        <f>IF('Refined Compare'!$D$2="All",TRUE,IF(F690='Refined Compare'!$D$2,TRUE,IF(G690='Refined Compare'!$D$2,TRUE,FALSE)))</f>
        <v>0</v>
      </c>
      <c r="AY690" s="174" t="b">
        <f>IF('Refined Compare'!$D$3="All",TRUE,IF(F690='Refined Compare'!$D$3,TRUE,IF(G690='Refined Compare'!$D$3,TRUE,FALSE)))</f>
        <v>0</v>
      </c>
      <c r="AZ690" s="174" t="b">
        <f t="shared" si="175"/>
        <v>0</v>
      </c>
    </row>
    <row r="691" spans="1:52" x14ac:dyDescent="0.35">
      <c r="A691">
        <f t="shared" si="176"/>
        <v>690</v>
      </c>
      <c r="B691" s="18">
        <v>610</v>
      </c>
      <c r="C691" s="61">
        <v>5</v>
      </c>
      <c r="D691" s="61" t="b">
        <v>0</v>
      </c>
      <c r="E691" s="61"/>
      <c r="F691" s="66" t="s">
        <v>822</v>
      </c>
      <c r="G691" s="66" t="s">
        <v>827</v>
      </c>
      <c r="H691" s="38" t="s">
        <v>299</v>
      </c>
      <c r="I691" s="39">
        <f t="shared" si="179"/>
        <v>46</v>
      </c>
      <c r="J691" s="40">
        <f t="shared" si="180"/>
        <v>87</v>
      </c>
      <c r="K691" s="41">
        <f t="shared" si="181"/>
        <v>60</v>
      </c>
      <c r="L691" s="42">
        <f t="shared" si="182"/>
        <v>30</v>
      </c>
      <c r="M691" s="43">
        <f t="shared" si="183"/>
        <v>40</v>
      </c>
      <c r="N691" s="44">
        <f t="shared" si="184"/>
        <v>57</v>
      </c>
      <c r="O691" s="45">
        <f t="shared" si="185"/>
        <v>320</v>
      </c>
      <c r="P691" s="19">
        <f t="shared" si="186"/>
        <v>53.33</v>
      </c>
      <c r="Q691" s="177">
        <v>46</v>
      </c>
      <c r="R691" s="40">
        <v>87</v>
      </c>
      <c r="S691" s="41">
        <v>60</v>
      </c>
      <c r="T691" s="42">
        <v>30</v>
      </c>
      <c r="U691" s="43">
        <v>40</v>
      </c>
      <c r="V691" s="44">
        <v>57</v>
      </c>
      <c r="W691" s="45">
        <f t="shared" si="177"/>
        <v>320</v>
      </c>
      <c r="X691" s="19">
        <f t="shared" si="178"/>
        <v>53.33</v>
      </c>
      <c r="Y691" s="3">
        <v>46</v>
      </c>
      <c r="Z691" s="4">
        <v>87</v>
      </c>
      <c r="AA691" s="5">
        <v>60</v>
      </c>
      <c r="AB691" s="6">
        <v>30</v>
      </c>
      <c r="AC691" s="7">
        <v>40</v>
      </c>
      <c r="AD691" s="8">
        <v>57</v>
      </c>
      <c r="AE691" s="1">
        <v>320</v>
      </c>
      <c r="AF691" s="19">
        <v>53.33</v>
      </c>
      <c r="AG691" s="139">
        <v>46</v>
      </c>
      <c r="AH691" s="140">
        <v>87</v>
      </c>
      <c r="AI691" s="141">
        <v>60</v>
      </c>
      <c r="AJ691" s="142">
        <v>30</v>
      </c>
      <c r="AK691" s="143">
        <v>40</v>
      </c>
      <c r="AL691" s="144">
        <v>57</v>
      </c>
      <c r="AM691" s="138">
        <v>320</v>
      </c>
      <c r="AN691" s="165">
        <v>53.33</v>
      </c>
      <c r="AV691" s="174"/>
      <c r="AW691" s="45"/>
      <c r="AX691" s="174" t="b">
        <f>IF('Refined Compare'!$D$2="All",TRUE,IF(F691='Refined Compare'!$D$2,TRUE,IF(G691='Refined Compare'!$D$2,TRUE,FALSE)))</f>
        <v>0</v>
      </c>
      <c r="AY691" s="174" t="b">
        <f>IF('Refined Compare'!$D$3="All",TRUE,IF(F691='Refined Compare'!$D$3,TRUE,IF(G691='Refined Compare'!$D$3,TRUE,FALSE)))</f>
        <v>1</v>
      </c>
      <c r="AZ691" s="174" t="b">
        <f t="shared" si="175"/>
        <v>0</v>
      </c>
    </row>
    <row r="692" spans="1:52" x14ac:dyDescent="0.35">
      <c r="A692">
        <f t="shared" si="176"/>
        <v>691</v>
      </c>
      <c r="B692" s="18">
        <v>611</v>
      </c>
      <c r="C692" s="61">
        <v>5</v>
      </c>
      <c r="D692" s="61" t="b">
        <v>0</v>
      </c>
      <c r="E692" s="61"/>
      <c r="F692" s="66" t="s">
        <v>822</v>
      </c>
      <c r="G692" s="66" t="s">
        <v>827</v>
      </c>
      <c r="H692" s="38" t="s">
        <v>409</v>
      </c>
      <c r="I692" s="39">
        <f t="shared" si="179"/>
        <v>66</v>
      </c>
      <c r="J692" s="40">
        <f t="shared" si="180"/>
        <v>117</v>
      </c>
      <c r="K692" s="41">
        <f t="shared" si="181"/>
        <v>70</v>
      </c>
      <c r="L692" s="42">
        <f t="shared" si="182"/>
        <v>40</v>
      </c>
      <c r="M692" s="43">
        <f t="shared" si="183"/>
        <v>50</v>
      </c>
      <c r="N692" s="44">
        <f t="shared" si="184"/>
        <v>67</v>
      </c>
      <c r="O692" s="45">
        <f t="shared" si="185"/>
        <v>410</v>
      </c>
      <c r="P692" s="19">
        <f t="shared" si="186"/>
        <v>68.33</v>
      </c>
      <c r="Q692" s="177">
        <v>66</v>
      </c>
      <c r="R692" s="40">
        <v>117</v>
      </c>
      <c r="S692" s="41">
        <v>70</v>
      </c>
      <c r="T692" s="42">
        <v>40</v>
      </c>
      <c r="U692" s="43">
        <v>50</v>
      </c>
      <c r="V692" s="44">
        <v>67</v>
      </c>
      <c r="W692" s="45">
        <f t="shared" si="177"/>
        <v>410</v>
      </c>
      <c r="X692" s="19">
        <f t="shared" si="178"/>
        <v>68.33</v>
      </c>
      <c r="Y692" s="3">
        <v>66</v>
      </c>
      <c r="Z692" s="4">
        <v>117</v>
      </c>
      <c r="AA692" s="5">
        <v>70</v>
      </c>
      <c r="AB692" s="6">
        <v>40</v>
      </c>
      <c r="AC692" s="7">
        <v>50</v>
      </c>
      <c r="AD692" s="8">
        <v>67</v>
      </c>
      <c r="AE692" s="1">
        <v>410</v>
      </c>
      <c r="AF692" s="19">
        <v>68.33</v>
      </c>
      <c r="AG692" s="139">
        <v>66</v>
      </c>
      <c r="AH692" s="140">
        <v>117</v>
      </c>
      <c r="AI692" s="141">
        <v>70</v>
      </c>
      <c r="AJ692" s="142">
        <v>40</v>
      </c>
      <c r="AK692" s="143">
        <v>50</v>
      </c>
      <c r="AL692" s="144">
        <v>67</v>
      </c>
      <c r="AM692" s="138">
        <v>410</v>
      </c>
      <c r="AN692" s="165">
        <v>68.33</v>
      </c>
      <c r="AV692" s="174"/>
      <c r="AW692" s="45"/>
      <c r="AX692" s="174" t="b">
        <f>IF('Refined Compare'!$D$2="All",TRUE,IF(F692='Refined Compare'!$D$2,TRUE,IF(G692='Refined Compare'!$D$2,TRUE,FALSE)))</f>
        <v>0</v>
      </c>
      <c r="AY692" s="174" t="b">
        <f>IF('Refined Compare'!$D$3="All",TRUE,IF(F692='Refined Compare'!$D$3,TRUE,IF(G692='Refined Compare'!$D$3,TRUE,FALSE)))</f>
        <v>1</v>
      </c>
      <c r="AZ692" s="174" t="b">
        <f t="shared" si="175"/>
        <v>0</v>
      </c>
    </row>
    <row r="693" spans="1:52" x14ac:dyDescent="0.35">
      <c r="A693">
        <f t="shared" si="176"/>
        <v>692</v>
      </c>
      <c r="B693" s="18">
        <v>612</v>
      </c>
      <c r="C693" s="61">
        <v>5</v>
      </c>
      <c r="D693" s="118" t="b">
        <v>1</v>
      </c>
      <c r="E693" s="61"/>
      <c r="F693" s="66" t="s">
        <v>822</v>
      </c>
      <c r="G693" s="66" t="s">
        <v>827</v>
      </c>
      <c r="H693" s="38" t="s">
        <v>644</v>
      </c>
      <c r="I693" s="39">
        <f t="shared" si="179"/>
        <v>76</v>
      </c>
      <c r="J693" s="40">
        <f t="shared" si="180"/>
        <v>147</v>
      </c>
      <c r="K693" s="41">
        <f t="shared" si="181"/>
        <v>90</v>
      </c>
      <c r="L693" s="42">
        <f t="shared" si="182"/>
        <v>60</v>
      </c>
      <c r="M693" s="43">
        <f t="shared" si="183"/>
        <v>70</v>
      </c>
      <c r="N693" s="44">
        <f t="shared" si="184"/>
        <v>97</v>
      </c>
      <c r="O693" s="45">
        <f t="shared" si="185"/>
        <v>540</v>
      </c>
      <c r="P693" s="19">
        <f t="shared" si="186"/>
        <v>90</v>
      </c>
      <c r="Q693" s="177">
        <v>76</v>
      </c>
      <c r="R693" s="40">
        <v>147</v>
      </c>
      <c r="S693" s="41">
        <v>90</v>
      </c>
      <c r="T693" s="42">
        <v>60</v>
      </c>
      <c r="U693" s="43">
        <v>70</v>
      </c>
      <c r="V693" s="44">
        <v>97</v>
      </c>
      <c r="W693" s="45">
        <f t="shared" si="177"/>
        <v>540</v>
      </c>
      <c r="X693" s="19">
        <f t="shared" si="178"/>
        <v>90</v>
      </c>
      <c r="Y693" s="3">
        <v>76</v>
      </c>
      <c r="Z693" s="4">
        <v>147</v>
      </c>
      <c r="AA693" s="5">
        <v>90</v>
      </c>
      <c r="AB693" s="6">
        <v>60</v>
      </c>
      <c r="AC693" s="7">
        <v>70</v>
      </c>
      <c r="AD693" s="8">
        <v>97</v>
      </c>
      <c r="AE693" s="1">
        <v>540</v>
      </c>
      <c r="AF693" s="19">
        <v>90</v>
      </c>
      <c r="AG693" s="139">
        <v>76</v>
      </c>
      <c r="AH693" s="140">
        <v>147</v>
      </c>
      <c r="AI693" s="141">
        <v>90</v>
      </c>
      <c r="AJ693" s="142">
        <v>60</v>
      </c>
      <c r="AK693" s="143">
        <v>70</v>
      </c>
      <c r="AL693" s="144">
        <v>97</v>
      </c>
      <c r="AM693" s="138">
        <v>540</v>
      </c>
      <c r="AN693" s="165">
        <v>90</v>
      </c>
      <c r="AV693" s="174"/>
      <c r="AW693" s="45"/>
      <c r="AX693" s="174" t="b">
        <f>IF('Refined Compare'!$D$2="All",TRUE,IF(F693='Refined Compare'!$D$2,TRUE,IF(G693='Refined Compare'!$D$2,TRUE,FALSE)))</f>
        <v>0</v>
      </c>
      <c r="AY693" s="174" t="b">
        <f>IF('Refined Compare'!$D$3="All",TRUE,IF(F693='Refined Compare'!$D$3,TRUE,IF(G693='Refined Compare'!$D$3,TRUE,FALSE)))</f>
        <v>1</v>
      </c>
      <c r="AZ693" s="174" t="b">
        <f t="shared" si="175"/>
        <v>0</v>
      </c>
    </row>
    <row r="694" spans="1:52" x14ac:dyDescent="0.35">
      <c r="A694">
        <f t="shared" si="176"/>
        <v>693</v>
      </c>
      <c r="B694" s="18">
        <v>613</v>
      </c>
      <c r="C694" s="61">
        <v>5</v>
      </c>
      <c r="D694" s="61" t="b">
        <v>0</v>
      </c>
      <c r="E694" s="61"/>
      <c r="F694" s="66" t="s">
        <v>820</v>
      </c>
      <c r="G694" s="66" t="s">
        <v>827</v>
      </c>
      <c r="H694" s="38" t="s">
        <v>153</v>
      </c>
      <c r="I694" s="39">
        <f t="shared" si="179"/>
        <v>55</v>
      </c>
      <c r="J694" s="40">
        <f t="shared" si="180"/>
        <v>70</v>
      </c>
      <c r="K694" s="41">
        <f t="shared" si="181"/>
        <v>40</v>
      </c>
      <c r="L694" s="42">
        <f t="shared" si="182"/>
        <v>60</v>
      </c>
      <c r="M694" s="43">
        <f t="shared" si="183"/>
        <v>40</v>
      </c>
      <c r="N694" s="44">
        <f t="shared" si="184"/>
        <v>40</v>
      </c>
      <c r="O694" s="45">
        <f t="shared" si="185"/>
        <v>305</v>
      </c>
      <c r="P694" s="19">
        <f t="shared" si="186"/>
        <v>50.83</v>
      </c>
      <c r="Q694" s="177">
        <v>55</v>
      </c>
      <c r="R694" s="40">
        <v>70</v>
      </c>
      <c r="S694" s="41">
        <v>40</v>
      </c>
      <c r="T694" s="42">
        <v>60</v>
      </c>
      <c r="U694" s="43">
        <v>40</v>
      </c>
      <c r="V694" s="44">
        <v>40</v>
      </c>
      <c r="W694" s="45">
        <f t="shared" si="177"/>
        <v>305</v>
      </c>
      <c r="X694" s="19">
        <f t="shared" si="178"/>
        <v>50.83</v>
      </c>
      <c r="Y694" s="3">
        <v>55</v>
      </c>
      <c r="Z694" s="4">
        <v>70</v>
      </c>
      <c r="AA694" s="5">
        <v>40</v>
      </c>
      <c r="AB694" s="6">
        <v>60</v>
      </c>
      <c r="AC694" s="7">
        <v>40</v>
      </c>
      <c r="AD694" s="8">
        <v>40</v>
      </c>
      <c r="AE694" s="1">
        <v>305</v>
      </c>
      <c r="AF694" s="19">
        <v>50.83</v>
      </c>
      <c r="AG694" s="139">
        <v>55</v>
      </c>
      <c r="AH694" s="140">
        <v>70</v>
      </c>
      <c r="AI694" s="141">
        <v>40</v>
      </c>
      <c r="AJ694" s="142">
        <v>60</v>
      </c>
      <c r="AK694" s="143">
        <v>40</v>
      </c>
      <c r="AL694" s="144">
        <v>40</v>
      </c>
      <c r="AM694" s="138">
        <v>305</v>
      </c>
      <c r="AN694" s="165">
        <v>50.83</v>
      </c>
      <c r="AV694" s="174"/>
      <c r="AW694" s="45"/>
      <c r="AX694" s="174" t="b">
        <f>IF('Refined Compare'!$D$2="All",TRUE,IF(F694='Refined Compare'!$D$2,TRUE,IF(G694='Refined Compare'!$D$2,TRUE,FALSE)))</f>
        <v>0</v>
      </c>
      <c r="AY694" s="174" t="b">
        <f>IF('Refined Compare'!$D$3="All",TRUE,IF(F694='Refined Compare'!$D$3,TRUE,IF(G694='Refined Compare'!$D$3,TRUE,FALSE)))</f>
        <v>1</v>
      </c>
      <c r="AZ694" s="174" t="b">
        <f t="shared" si="175"/>
        <v>0</v>
      </c>
    </row>
    <row r="695" spans="1:52" x14ac:dyDescent="0.35">
      <c r="A695">
        <f t="shared" si="176"/>
        <v>694</v>
      </c>
      <c r="B695" s="18">
        <v>614</v>
      </c>
      <c r="C695" s="61">
        <v>5</v>
      </c>
      <c r="D695" s="118" t="b">
        <v>1</v>
      </c>
      <c r="E695" s="61"/>
      <c r="F695" s="66" t="s">
        <v>820</v>
      </c>
      <c r="G695" s="66" t="s">
        <v>827</v>
      </c>
      <c r="H695" s="38" t="s">
        <v>253</v>
      </c>
      <c r="I695" s="39">
        <f t="shared" si="179"/>
        <v>95</v>
      </c>
      <c r="J695" s="40">
        <f t="shared" si="180"/>
        <v>110</v>
      </c>
      <c r="K695" s="41">
        <f t="shared" si="181"/>
        <v>80</v>
      </c>
      <c r="L695" s="42">
        <f t="shared" si="182"/>
        <v>70</v>
      </c>
      <c r="M695" s="43">
        <f t="shared" si="183"/>
        <v>80</v>
      </c>
      <c r="N695" s="44">
        <f t="shared" si="184"/>
        <v>50</v>
      </c>
      <c r="O695" s="45">
        <f t="shared" si="185"/>
        <v>485</v>
      </c>
      <c r="P695" s="19">
        <f t="shared" si="186"/>
        <v>80.83</v>
      </c>
      <c r="Q695" s="177">
        <v>95</v>
      </c>
      <c r="R695" s="40">
        <v>130</v>
      </c>
      <c r="S695" s="41">
        <v>80</v>
      </c>
      <c r="T695" s="42">
        <v>70</v>
      </c>
      <c r="U695" s="43">
        <v>80</v>
      </c>
      <c r="V695" s="44">
        <v>50</v>
      </c>
      <c r="W695" s="45">
        <f t="shared" si="177"/>
        <v>505</v>
      </c>
      <c r="X695" s="19">
        <f t="shared" si="178"/>
        <v>84.17</v>
      </c>
      <c r="Y695" s="3">
        <v>95</v>
      </c>
      <c r="Z695" s="4">
        <v>110</v>
      </c>
      <c r="AA695" s="5">
        <v>80</v>
      </c>
      <c r="AB695" s="6">
        <v>70</v>
      </c>
      <c r="AC695" s="7">
        <v>80</v>
      </c>
      <c r="AD695" s="8">
        <v>50</v>
      </c>
      <c r="AE695" s="1">
        <v>485</v>
      </c>
      <c r="AF695" s="19">
        <v>80.83</v>
      </c>
      <c r="AG695" s="139">
        <v>95</v>
      </c>
      <c r="AH695" s="140">
        <v>110</v>
      </c>
      <c r="AI695" s="141">
        <v>80</v>
      </c>
      <c r="AJ695" s="142">
        <v>70</v>
      </c>
      <c r="AK695" s="143">
        <v>80</v>
      </c>
      <c r="AL695" s="144">
        <v>50</v>
      </c>
      <c r="AM695" s="138">
        <v>485</v>
      </c>
      <c r="AN695" s="165">
        <v>80.83</v>
      </c>
      <c r="AV695" s="174"/>
      <c r="AW695" s="45"/>
      <c r="AX695" s="174" t="b">
        <f>IF('Refined Compare'!$D$2="All",TRUE,IF(F695='Refined Compare'!$D$2,TRUE,IF(G695='Refined Compare'!$D$2,TRUE,FALSE)))</f>
        <v>0</v>
      </c>
      <c r="AY695" s="174" t="b">
        <f>IF('Refined Compare'!$D$3="All",TRUE,IF(F695='Refined Compare'!$D$3,TRUE,IF(G695='Refined Compare'!$D$3,TRUE,FALSE)))</f>
        <v>1</v>
      </c>
      <c r="AZ695" s="174" t="b">
        <f t="shared" si="175"/>
        <v>0</v>
      </c>
    </row>
    <row r="696" spans="1:52" x14ac:dyDescent="0.35">
      <c r="A696">
        <f t="shared" si="176"/>
        <v>695</v>
      </c>
      <c r="B696" s="18">
        <v>615</v>
      </c>
      <c r="C696" s="61">
        <v>5</v>
      </c>
      <c r="D696" s="118" t="b">
        <v>1</v>
      </c>
      <c r="E696" s="61"/>
      <c r="F696" s="66" t="s">
        <v>820</v>
      </c>
      <c r="G696" s="66" t="s">
        <v>827</v>
      </c>
      <c r="H696" s="38" t="s">
        <v>703</v>
      </c>
      <c r="I696" s="39">
        <f t="shared" si="179"/>
        <v>70</v>
      </c>
      <c r="J696" s="40">
        <f t="shared" si="180"/>
        <v>50</v>
      </c>
      <c r="K696" s="41">
        <f t="shared" si="181"/>
        <v>30</v>
      </c>
      <c r="L696" s="42">
        <f t="shared" si="182"/>
        <v>95</v>
      </c>
      <c r="M696" s="43">
        <f t="shared" si="183"/>
        <v>135</v>
      </c>
      <c r="N696" s="44">
        <f t="shared" si="184"/>
        <v>105</v>
      </c>
      <c r="O696" s="45">
        <f t="shared" si="185"/>
        <v>485</v>
      </c>
      <c r="P696" s="19">
        <f t="shared" si="186"/>
        <v>80.83</v>
      </c>
      <c r="Q696" s="177">
        <v>80</v>
      </c>
      <c r="R696" s="40">
        <v>50</v>
      </c>
      <c r="S696" s="41">
        <v>50</v>
      </c>
      <c r="T696" s="42">
        <v>95</v>
      </c>
      <c r="U696" s="43">
        <v>135</v>
      </c>
      <c r="V696" s="44">
        <v>105</v>
      </c>
      <c r="W696" s="45">
        <f t="shared" si="177"/>
        <v>515</v>
      </c>
      <c r="X696" s="19">
        <f t="shared" si="178"/>
        <v>85.83</v>
      </c>
      <c r="Y696" s="3">
        <v>70</v>
      </c>
      <c r="Z696" s="4">
        <v>50</v>
      </c>
      <c r="AA696" s="5">
        <v>30</v>
      </c>
      <c r="AB696" s="6">
        <v>95</v>
      </c>
      <c r="AC696" s="7">
        <v>135</v>
      </c>
      <c r="AD696" s="8">
        <v>105</v>
      </c>
      <c r="AE696" s="1">
        <v>485</v>
      </c>
      <c r="AF696" s="19">
        <v>80.83</v>
      </c>
      <c r="AG696" s="139">
        <v>70</v>
      </c>
      <c r="AH696" s="140">
        <v>50</v>
      </c>
      <c r="AI696" s="141">
        <v>30</v>
      </c>
      <c r="AJ696" s="142">
        <v>95</v>
      </c>
      <c r="AK696" s="143">
        <v>135</v>
      </c>
      <c r="AL696" s="144">
        <v>105</v>
      </c>
      <c r="AM696" s="138">
        <v>485</v>
      </c>
      <c r="AN696" s="165">
        <v>80.83</v>
      </c>
      <c r="AV696" s="174"/>
      <c r="AW696" s="45"/>
      <c r="AX696" s="174" t="b">
        <f>IF('Refined Compare'!$D$2="All",TRUE,IF(F696='Refined Compare'!$D$2,TRUE,IF(G696='Refined Compare'!$D$2,TRUE,FALSE)))</f>
        <v>0</v>
      </c>
      <c r="AY696" s="174" t="b">
        <f>IF('Refined Compare'!$D$3="All",TRUE,IF(F696='Refined Compare'!$D$3,TRUE,IF(G696='Refined Compare'!$D$3,TRUE,FALSE)))</f>
        <v>1</v>
      </c>
      <c r="AZ696" s="174" t="b">
        <f t="shared" si="175"/>
        <v>0</v>
      </c>
    </row>
    <row r="697" spans="1:52" x14ac:dyDescent="0.35">
      <c r="A697">
        <f t="shared" si="176"/>
        <v>696</v>
      </c>
      <c r="B697" s="18">
        <v>616</v>
      </c>
      <c r="C697" s="61">
        <v>5</v>
      </c>
      <c r="D697" s="61" t="b">
        <v>0</v>
      </c>
      <c r="E697" s="61"/>
      <c r="F697" s="66" t="s">
        <v>811</v>
      </c>
      <c r="G697" s="66" t="s">
        <v>827</v>
      </c>
      <c r="H697" s="38" t="s">
        <v>44</v>
      </c>
      <c r="I697" s="39">
        <f t="shared" si="179"/>
        <v>50</v>
      </c>
      <c r="J697" s="40">
        <f t="shared" si="180"/>
        <v>40</v>
      </c>
      <c r="K697" s="41">
        <f t="shared" si="181"/>
        <v>85</v>
      </c>
      <c r="L697" s="42">
        <f t="shared" si="182"/>
        <v>40</v>
      </c>
      <c r="M697" s="43">
        <f t="shared" si="183"/>
        <v>65</v>
      </c>
      <c r="N697" s="44">
        <f t="shared" si="184"/>
        <v>25</v>
      </c>
      <c r="O697" s="45">
        <f t="shared" si="185"/>
        <v>305</v>
      </c>
      <c r="P697" s="19">
        <f t="shared" si="186"/>
        <v>50.83</v>
      </c>
      <c r="Q697" s="177">
        <v>50</v>
      </c>
      <c r="R697" s="40">
        <v>40</v>
      </c>
      <c r="S697" s="41">
        <v>85</v>
      </c>
      <c r="T697" s="42">
        <v>40</v>
      </c>
      <c r="U697" s="43">
        <v>65</v>
      </c>
      <c r="V697" s="44">
        <v>25</v>
      </c>
      <c r="W697" s="45">
        <f t="shared" si="177"/>
        <v>305</v>
      </c>
      <c r="X697" s="19">
        <f t="shared" si="178"/>
        <v>50.83</v>
      </c>
      <c r="Y697" s="3">
        <v>50</v>
      </c>
      <c r="Z697" s="4">
        <v>40</v>
      </c>
      <c r="AA697" s="5">
        <v>85</v>
      </c>
      <c r="AB697" s="6">
        <v>40</v>
      </c>
      <c r="AC697" s="7">
        <v>65</v>
      </c>
      <c r="AD697" s="8">
        <v>25</v>
      </c>
      <c r="AE697" s="1">
        <v>305</v>
      </c>
      <c r="AF697" s="19">
        <v>50.83</v>
      </c>
      <c r="AG697" s="139">
        <v>50</v>
      </c>
      <c r="AH697" s="140">
        <v>40</v>
      </c>
      <c r="AI697" s="141">
        <v>85</v>
      </c>
      <c r="AJ697" s="142">
        <v>40</v>
      </c>
      <c r="AK697" s="143">
        <v>65</v>
      </c>
      <c r="AL697" s="144">
        <v>25</v>
      </c>
      <c r="AM697" s="138">
        <v>305</v>
      </c>
      <c r="AN697" s="165">
        <v>50.83</v>
      </c>
      <c r="AV697" s="174"/>
      <c r="AW697" s="45"/>
      <c r="AX697" s="174" t="b">
        <f>IF('Refined Compare'!$D$2="All",TRUE,IF(F697='Refined Compare'!$D$2,TRUE,IF(G697='Refined Compare'!$D$2,TRUE,FALSE)))</f>
        <v>0</v>
      </c>
      <c r="AY697" s="174" t="b">
        <f>IF('Refined Compare'!$D$3="All",TRUE,IF(F697='Refined Compare'!$D$3,TRUE,IF(G697='Refined Compare'!$D$3,TRUE,FALSE)))</f>
        <v>1</v>
      </c>
      <c r="AZ697" s="174" t="b">
        <f t="shared" si="175"/>
        <v>0</v>
      </c>
    </row>
    <row r="698" spans="1:52" x14ac:dyDescent="0.35">
      <c r="A698">
        <f t="shared" si="176"/>
        <v>697</v>
      </c>
      <c r="B698" s="18">
        <v>617</v>
      </c>
      <c r="C698" s="61">
        <v>5</v>
      </c>
      <c r="D698" s="118" t="b">
        <v>1</v>
      </c>
      <c r="E698" s="61"/>
      <c r="F698" s="66" t="s">
        <v>811</v>
      </c>
      <c r="G698" s="66" t="s">
        <v>827</v>
      </c>
      <c r="H698" s="38" t="s">
        <v>774</v>
      </c>
      <c r="I698" s="39">
        <f t="shared" si="179"/>
        <v>80</v>
      </c>
      <c r="J698" s="40">
        <f t="shared" si="180"/>
        <v>70</v>
      </c>
      <c r="K698" s="41">
        <f t="shared" si="181"/>
        <v>40</v>
      </c>
      <c r="L698" s="42">
        <f t="shared" si="182"/>
        <v>100</v>
      </c>
      <c r="M698" s="43">
        <f t="shared" si="183"/>
        <v>60</v>
      </c>
      <c r="N698" s="44">
        <f t="shared" si="184"/>
        <v>145</v>
      </c>
      <c r="O698" s="45">
        <f t="shared" si="185"/>
        <v>495</v>
      </c>
      <c r="P698" s="19">
        <f t="shared" si="186"/>
        <v>82.5</v>
      </c>
      <c r="Q698" s="177">
        <v>80</v>
      </c>
      <c r="R698" s="40">
        <v>70</v>
      </c>
      <c r="S698" s="41">
        <v>40</v>
      </c>
      <c r="T698" s="42">
        <v>100</v>
      </c>
      <c r="U698" s="43">
        <v>60</v>
      </c>
      <c r="V698" s="44">
        <v>145</v>
      </c>
      <c r="W698" s="45">
        <f t="shared" si="177"/>
        <v>495</v>
      </c>
      <c r="X698" s="19">
        <f t="shared" si="178"/>
        <v>82.5</v>
      </c>
      <c r="Y698" s="3">
        <v>80</v>
      </c>
      <c r="Z698" s="4">
        <v>70</v>
      </c>
      <c r="AA698" s="5">
        <v>40</v>
      </c>
      <c r="AB698" s="6">
        <v>100</v>
      </c>
      <c r="AC698" s="7">
        <v>60</v>
      </c>
      <c r="AD698" s="8">
        <v>145</v>
      </c>
      <c r="AE698" s="1">
        <v>495</v>
      </c>
      <c r="AF698" s="19">
        <v>82.5</v>
      </c>
      <c r="AG698" s="139">
        <v>80</v>
      </c>
      <c r="AH698" s="140">
        <v>70</v>
      </c>
      <c r="AI698" s="141">
        <v>40</v>
      </c>
      <c r="AJ698" s="142">
        <v>100</v>
      </c>
      <c r="AK698" s="143">
        <v>60</v>
      </c>
      <c r="AL698" s="144">
        <v>145</v>
      </c>
      <c r="AM698" s="138">
        <v>495</v>
      </c>
      <c r="AN698" s="165">
        <v>82.5</v>
      </c>
      <c r="AV698" s="174"/>
      <c r="AW698" s="45"/>
      <c r="AX698" s="174" t="b">
        <f>IF('Refined Compare'!$D$2="All",TRUE,IF(F698='Refined Compare'!$D$2,TRUE,IF(G698='Refined Compare'!$D$2,TRUE,FALSE)))</f>
        <v>0</v>
      </c>
      <c r="AY698" s="174" t="b">
        <f>IF('Refined Compare'!$D$3="All",TRUE,IF(F698='Refined Compare'!$D$3,TRUE,IF(G698='Refined Compare'!$D$3,TRUE,FALSE)))</f>
        <v>1</v>
      </c>
      <c r="AZ698" s="174" t="b">
        <f t="shared" si="175"/>
        <v>0</v>
      </c>
    </row>
    <row r="699" spans="1:52" x14ac:dyDescent="0.35">
      <c r="A699">
        <f t="shared" si="176"/>
        <v>698</v>
      </c>
      <c r="B699" s="18">
        <v>618</v>
      </c>
      <c r="C699" s="61">
        <v>5</v>
      </c>
      <c r="D699" s="118" t="b">
        <v>1</v>
      </c>
      <c r="E699" s="61"/>
      <c r="F699" s="66" t="s">
        <v>814</v>
      </c>
      <c r="G699" s="66" t="s">
        <v>813</v>
      </c>
      <c r="H699" s="38" t="s">
        <v>91</v>
      </c>
      <c r="I699" s="39">
        <f t="shared" si="179"/>
        <v>109</v>
      </c>
      <c r="J699" s="40">
        <f t="shared" si="180"/>
        <v>66</v>
      </c>
      <c r="K699" s="41">
        <f t="shared" si="181"/>
        <v>84</v>
      </c>
      <c r="L699" s="42">
        <f t="shared" si="182"/>
        <v>81</v>
      </c>
      <c r="M699" s="43">
        <f t="shared" si="183"/>
        <v>99</v>
      </c>
      <c r="N699" s="44">
        <f t="shared" si="184"/>
        <v>32</v>
      </c>
      <c r="O699" s="45">
        <f t="shared" si="185"/>
        <v>471</v>
      </c>
      <c r="P699" s="19">
        <f t="shared" si="186"/>
        <v>78.5</v>
      </c>
      <c r="Q699" s="177">
        <v>109</v>
      </c>
      <c r="R699" s="40">
        <v>66</v>
      </c>
      <c r="S699" s="41">
        <v>84</v>
      </c>
      <c r="T699" s="42">
        <v>81</v>
      </c>
      <c r="U699" s="43">
        <v>99</v>
      </c>
      <c r="V699" s="44">
        <v>32</v>
      </c>
      <c r="W699" s="45">
        <f t="shared" si="177"/>
        <v>471</v>
      </c>
      <c r="X699" s="19">
        <f t="shared" si="178"/>
        <v>78.5</v>
      </c>
      <c r="Y699" s="3">
        <v>109</v>
      </c>
      <c r="Z699" s="4">
        <v>66</v>
      </c>
      <c r="AA699" s="5">
        <v>84</v>
      </c>
      <c r="AB699" s="6">
        <v>81</v>
      </c>
      <c r="AC699" s="7">
        <v>99</v>
      </c>
      <c r="AD699" s="8">
        <v>32</v>
      </c>
      <c r="AE699" s="1">
        <v>471</v>
      </c>
      <c r="AF699" s="19">
        <v>78.5</v>
      </c>
      <c r="AG699" s="139">
        <v>109</v>
      </c>
      <c r="AH699" s="140">
        <v>66</v>
      </c>
      <c r="AI699" s="141">
        <v>84</v>
      </c>
      <c r="AJ699" s="142">
        <v>81</v>
      </c>
      <c r="AK699" s="143">
        <v>99</v>
      </c>
      <c r="AL699" s="144">
        <v>32</v>
      </c>
      <c r="AM699" s="138">
        <v>471</v>
      </c>
      <c r="AN699" s="165">
        <v>78.5</v>
      </c>
      <c r="AV699" s="174"/>
      <c r="AW699" s="45"/>
      <c r="AX699" s="174" t="b">
        <f>IF('Refined Compare'!$D$2="All",TRUE,IF(F699='Refined Compare'!$D$2,TRUE,IF(G699='Refined Compare'!$D$2,TRUE,FALSE)))</f>
        <v>0</v>
      </c>
      <c r="AY699" s="174" t="b">
        <f>IF('Refined Compare'!$D$3="All",TRUE,IF(F699='Refined Compare'!$D$3,TRUE,IF(G699='Refined Compare'!$D$3,TRUE,FALSE)))</f>
        <v>0</v>
      </c>
      <c r="AZ699" s="174" t="b">
        <f t="shared" si="175"/>
        <v>0</v>
      </c>
    </row>
    <row r="700" spans="1:52" x14ac:dyDescent="0.35">
      <c r="A700">
        <f t="shared" si="176"/>
        <v>699</v>
      </c>
      <c r="B700" s="18">
        <v>619</v>
      </c>
      <c r="C700" s="61">
        <v>5</v>
      </c>
      <c r="D700" s="61" t="b">
        <v>0</v>
      </c>
      <c r="E700" s="61"/>
      <c r="F700" s="66" t="s">
        <v>816</v>
      </c>
      <c r="G700" s="66" t="s">
        <v>827</v>
      </c>
      <c r="H700" s="38" t="s">
        <v>400</v>
      </c>
      <c r="I700" s="39">
        <f t="shared" si="179"/>
        <v>45</v>
      </c>
      <c r="J700" s="40">
        <f t="shared" si="180"/>
        <v>85</v>
      </c>
      <c r="K700" s="41">
        <f t="shared" si="181"/>
        <v>50</v>
      </c>
      <c r="L700" s="42">
        <f t="shared" si="182"/>
        <v>55</v>
      </c>
      <c r="M700" s="43">
        <f t="shared" si="183"/>
        <v>50</v>
      </c>
      <c r="N700" s="44">
        <f t="shared" si="184"/>
        <v>65</v>
      </c>
      <c r="O700" s="45">
        <f t="shared" si="185"/>
        <v>350</v>
      </c>
      <c r="P700" s="19">
        <f t="shared" si="186"/>
        <v>58.33</v>
      </c>
      <c r="Q700" s="177">
        <v>45</v>
      </c>
      <c r="R700" s="40">
        <v>85</v>
      </c>
      <c r="S700" s="41">
        <v>50</v>
      </c>
      <c r="T700" s="42">
        <v>55</v>
      </c>
      <c r="U700" s="43">
        <v>50</v>
      </c>
      <c r="V700" s="44">
        <v>65</v>
      </c>
      <c r="W700" s="45">
        <f t="shared" si="177"/>
        <v>350</v>
      </c>
      <c r="X700" s="19">
        <f t="shared" si="178"/>
        <v>58.33</v>
      </c>
      <c r="Y700" s="3">
        <v>45</v>
      </c>
      <c r="Z700" s="4">
        <v>85</v>
      </c>
      <c r="AA700" s="5">
        <v>50</v>
      </c>
      <c r="AB700" s="6">
        <v>55</v>
      </c>
      <c r="AC700" s="7">
        <v>50</v>
      </c>
      <c r="AD700" s="8">
        <v>65</v>
      </c>
      <c r="AE700" s="1">
        <v>350</v>
      </c>
      <c r="AF700" s="19">
        <v>58.33</v>
      </c>
      <c r="AG700" s="139">
        <v>45</v>
      </c>
      <c r="AH700" s="140">
        <v>85</v>
      </c>
      <c r="AI700" s="141">
        <v>50</v>
      </c>
      <c r="AJ700" s="142">
        <v>55</v>
      </c>
      <c r="AK700" s="143">
        <v>50</v>
      </c>
      <c r="AL700" s="144">
        <v>65</v>
      </c>
      <c r="AM700" s="138">
        <v>350</v>
      </c>
      <c r="AN700" s="165">
        <v>58.33</v>
      </c>
      <c r="AV700" s="174"/>
      <c r="AW700" s="45"/>
      <c r="AX700" s="174" t="b">
        <f>IF('Refined Compare'!$D$2="All",TRUE,IF(F700='Refined Compare'!$D$2,TRUE,IF(G700='Refined Compare'!$D$2,TRUE,FALSE)))</f>
        <v>0</v>
      </c>
      <c r="AY700" s="174" t="b">
        <f>IF('Refined Compare'!$D$3="All",TRUE,IF(F700='Refined Compare'!$D$3,TRUE,IF(G700='Refined Compare'!$D$3,TRUE,FALSE)))</f>
        <v>1</v>
      </c>
      <c r="AZ700" s="174" t="b">
        <f t="shared" si="175"/>
        <v>0</v>
      </c>
    </row>
    <row r="701" spans="1:52" x14ac:dyDescent="0.35">
      <c r="A701">
        <f t="shared" si="176"/>
        <v>700</v>
      </c>
      <c r="B701" s="18">
        <v>620</v>
      </c>
      <c r="C701" s="61">
        <v>5</v>
      </c>
      <c r="D701" s="118" t="b">
        <v>1</v>
      </c>
      <c r="E701" s="61"/>
      <c r="F701" s="66" t="s">
        <v>816</v>
      </c>
      <c r="G701" s="66" t="s">
        <v>827</v>
      </c>
      <c r="H701" s="38" t="s">
        <v>704</v>
      </c>
      <c r="I701" s="39">
        <f t="shared" si="179"/>
        <v>65</v>
      </c>
      <c r="J701" s="40">
        <f t="shared" si="180"/>
        <v>125</v>
      </c>
      <c r="K701" s="41">
        <f t="shared" si="181"/>
        <v>60</v>
      </c>
      <c r="L701" s="42">
        <f t="shared" si="182"/>
        <v>95</v>
      </c>
      <c r="M701" s="43">
        <f t="shared" si="183"/>
        <v>60</v>
      </c>
      <c r="N701" s="44">
        <f t="shared" si="184"/>
        <v>105</v>
      </c>
      <c r="O701" s="45">
        <f t="shared" si="185"/>
        <v>510</v>
      </c>
      <c r="P701" s="19">
        <f t="shared" si="186"/>
        <v>85</v>
      </c>
      <c r="Q701" s="177">
        <v>65</v>
      </c>
      <c r="R701" s="40">
        <v>125</v>
      </c>
      <c r="S701" s="41">
        <v>60</v>
      </c>
      <c r="T701" s="42">
        <v>95</v>
      </c>
      <c r="U701" s="43">
        <v>60</v>
      </c>
      <c r="V701" s="44">
        <v>105</v>
      </c>
      <c r="W701" s="45">
        <f t="shared" si="177"/>
        <v>510</v>
      </c>
      <c r="X701" s="19">
        <f t="shared" si="178"/>
        <v>85</v>
      </c>
      <c r="Y701" s="3">
        <v>65</v>
      </c>
      <c r="Z701" s="4">
        <v>125</v>
      </c>
      <c r="AA701" s="5">
        <v>60</v>
      </c>
      <c r="AB701" s="6">
        <v>95</v>
      </c>
      <c r="AC701" s="7">
        <v>60</v>
      </c>
      <c r="AD701" s="8">
        <v>105</v>
      </c>
      <c r="AE701" s="1">
        <v>510</v>
      </c>
      <c r="AF701" s="19">
        <v>85</v>
      </c>
      <c r="AG701" s="139">
        <v>65</v>
      </c>
      <c r="AH701" s="140">
        <v>125</v>
      </c>
      <c r="AI701" s="141">
        <v>60</v>
      </c>
      <c r="AJ701" s="142">
        <v>95</v>
      </c>
      <c r="AK701" s="143">
        <v>60</v>
      </c>
      <c r="AL701" s="144">
        <v>105</v>
      </c>
      <c r="AM701" s="138">
        <v>510</v>
      </c>
      <c r="AN701" s="165">
        <v>85</v>
      </c>
      <c r="AV701" s="174"/>
      <c r="AW701" s="45"/>
      <c r="AX701" s="174" t="b">
        <f>IF('Refined Compare'!$D$2="All",TRUE,IF(F701='Refined Compare'!$D$2,TRUE,IF(G701='Refined Compare'!$D$2,TRUE,FALSE)))</f>
        <v>0</v>
      </c>
      <c r="AY701" s="174" t="b">
        <f>IF('Refined Compare'!$D$3="All",TRUE,IF(F701='Refined Compare'!$D$3,TRUE,IF(G701='Refined Compare'!$D$3,TRUE,FALSE)))</f>
        <v>1</v>
      </c>
      <c r="AZ701" s="174" t="b">
        <f t="shared" si="175"/>
        <v>0</v>
      </c>
    </row>
    <row r="702" spans="1:52" x14ac:dyDescent="0.35">
      <c r="A702">
        <f t="shared" si="176"/>
        <v>701</v>
      </c>
      <c r="B702" s="18">
        <v>621</v>
      </c>
      <c r="C702" s="61">
        <v>5</v>
      </c>
      <c r="D702" s="118" t="b">
        <v>1</v>
      </c>
      <c r="E702" s="61"/>
      <c r="F702" s="66" t="s">
        <v>822</v>
      </c>
      <c r="G702" s="66" t="s">
        <v>827</v>
      </c>
      <c r="H702" s="38" t="s">
        <v>208</v>
      </c>
      <c r="I702" s="39">
        <f t="shared" si="179"/>
        <v>77</v>
      </c>
      <c r="J702" s="40">
        <f t="shared" si="180"/>
        <v>120</v>
      </c>
      <c r="K702" s="41">
        <f t="shared" si="181"/>
        <v>90</v>
      </c>
      <c r="L702" s="42">
        <f t="shared" si="182"/>
        <v>60</v>
      </c>
      <c r="M702" s="43">
        <f t="shared" si="183"/>
        <v>90</v>
      </c>
      <c r="N702" s="44">
        <f t="shared" si="184"/>
        <v>48</v>
      </c>
      <c r="O702" s="45">
        <f t="shared" si="185"/>
        <v>485</v>
      </c>
      <c r="P702" s="19">
        <f t="shared" si="186"/>
        <v>80.83</v>
      </c>
      <c r="Q702" s="177">
        <v>77</v>
      </c>
      <c r="R702" s="40">
        <v>120</v>
      </c>
      <c r="S702" s="41">
        <v>90</v>
      </c>
      <c r="T702" s="42">
        <v>60</v>
      </c>
      <c r="U702" s="43">
        <v>90</v>
      </c>
      <c r="V702" s="44">
        <v>48</v>
      </c>
      <c r="W702" s="45">
        <f t="shared" si="177"/>
        <v>485</v>
      </c>
      <c r="X702" s="19">
        <f t="shared" si="178"/>
        <v>80.83</v>
      </c>
      <c r="Y702" s="3">
        <v>77</v>
      </c>
      <c r="Z702" s="4">
        <v>120</v>
      </c>
      <c r="AA702" s="5">
        <v>90</v>
      </c>
      <c r="AB702" s="6">
        <v>60</v>
      </c>
      <c r="AC702" s="7">
        <v>90</v>
      </c>
      <c r="AD702" s="8">
        <v>48</v>
      </c>
      <c r="AE702" s="1">
        <v>485</v>
      </c>
      <c r="AF702" s="19">
        <v>80.83</v>
      </c>
      <c r="AG702" s="139">
        <v>77</v>
      </c>
      <c r="AH702" s="140">
        <v>120</v>
      </c>
      <c r="AI702" s="141">
        <v>90</v>
      </c>
      <c r="AJ702" s="142">
        <v>60</v>
      </c>
      <c r="AK702" s="143">
        <v>90</v>
      </c>
      <c r="AL702" s="144">
        <v>48</v>
      </c>
      <c r="AM702" s="138">
        <v>485</v>
      </c>
      <c r="AN702" s="165">
        <v>80.83</v>
      </c>
      <c r="AV702" s="174"/>
      <c r="AW702" s="45"/>
      <c r="AX702" s="174" t="b">
        <f>IF('Refined Compare'!$D$2="All",TRUE,IF(F702='Refined Compare'!$D$2,TRUE,IF(G702='Refined Compare'!$D$2,TRUE,FALSE)))</f>
        <v>0</v>
      </c>
      <c r="AY702" s="174" t="b">
        <f>IF('Refined Compare'!$D$3="All",TRUE,IF(F702='Refined Compare'!$D$3,TRUE,IF(G702='Refined Compare'!$D$3,TRUE,FALSE)))</f>
        <v>1</v>
      </c>
      <c r="AZ702" s="174" t="b">
        <f t="shared" si="175"/>
        <v>0</v>
      </c>
    </row>
    <row r="703" spans="1:52" x14ac:dyDescent="0.35">
      <c r="A703">
        <f t="shared" si="176"/>
        <v>702</v>
      </c>
      <c r="B703" s="18">
        <v>622</v>
      </c>
      <c r="C703" s="61">
        <v>5</v>
      </c>
      <c r="D703" s="61" t="b">
        <v>0</v>
      </c>
      <c r="E703" s="61"/>
      <c r="F703" s="66" t="s">
        <v>814</v>
      </c>
      <c r="G703" s="66" t="s">
        <v>821</v>
      </c>
      <c r="H703" s="38" t="s">
        <v>114</v>
      </c>
      <c r="I703" s="39">
        <f t="shared" si="179"/>
        <v>59</v>
      </c>
      <c r="J703" s="40">
        <f t="shared" si="180"/>
        <v>74</v>
      </c>
      <c r="K703" s="41">
        <f t="shared" si="181"/>
        <v>50</v>
      </c>
      <c r="L703" s="42">
        <f t="shared" si="182"/>
        <v>35</v>
      </c>
      <c r="M703" s="43">
        <f t="shared" si="183"/>
        <v>50</v>
      </c>
      <c r="N703" s="44">
        <f t="shared" si="184"/>
        <v>35</v>
      </c>
      <c r="O703" s="45">
        <f t="shared" si="185"/>
        <v>303</v>
      </c>
      <c r="P703" s="19">
        <f t="shared" si="186"/>
        <v>50.5</v>
      </c>
      <c r="Q703" s="177">
        <v>59</v>
      </c>
      <c r="R703" s="40">
        <v>74</v>
      </c>
      <c r="S703" s="41">
        <v>50</v>
      </c>
      <c r="T703" s="42">
        <v>35</v>
      </c>
      <c r="U703" s="43">
        <v>50</v>
      </c>
      <c r="V703" s="44">
        <v>35</v>
      </c>
      <c r="W703" s="45">
        <f t="shared" si="177"/>
        <v>303</v>
      </c>
      <c r="X703" s="19">
        <f t="shared" si="178"/>
        <v>50.5</v>
      </c>
      <c r="Y703" s="3">
        <v>59</v>
      </c>
      <c r="Z703" s="4">
        <v>74</v>
      </c>
      <c r="AA703" s="5">
        <v>50</v>
      </c>
      <c r="AB703" s="6">
        <v>35</v>
      </c>
      <c r="AC703" s="7">
        <v>50</v>
      </c>
      <c r="AD703" s="8">
        <v>35</v>
      </c>
      <c r="AE703" s="1">
        <v>303</v>
      </c>
      <c r="AF703" s="19">
        <v>50.5</v>
      </c>
      <c r="AG703" s="139">
        <v>59</v>
      </c>
      <c r="AH703" s="140">
        <v>74</v>
      </c>
      <c r="AI703" s="141">
        <v>50</v>
      </c>
      <c r="AJ703" s="142">
        <v>35</v>
      </c>
      <c r="AK703" s="143">
        <v>50</v>
      </c>
      <c r="AL703" s="144">
        <v>35</v>
      </c>
      <c r="AM703" s="138">
        <v>303</v>
      </c>
      <c r="AN703" s="165">
        <v>50.5</v>
      </c>
      <c r="AV703" s="174"/>
      <c r="AW703" s="45"/>
      <c r="AX703" s="174" t="b">
        <f>IF('Refined Compare'!$D$2="All",TRUE,IF(F703='Refined Compare'!$D$2,TRUE,IF(G703='Refined Compare'!$D$2,TRUE,FALSE)))</f>
        <v>0</v>
      </c>
      <c r="AY703" s="174" t="b">
        <f>IF('Refined Compare'!$D$3="All",TRUE,IF(F703='Refined Compare'!$D$3,TRUE,IF(G703='Refined Compare'!$D$3,TRUE,FALSE)))</f>
        <v>0</v>
      </c>
      <c r="AZ703" s="174" t="b">
        <f t="shared" si="175"/>
        <v>0</v>
      </c>
    </row>
    <row r="704" spans="1:52" x14ac:dyDescent="0.35">
      <c r="A704">
        <f t="shared" si="176"/>
        <v>703</v>
      </c>
      <c r="B704" s="18">
        <v>623</v>
      </c>
      <c r="C704" s="61">
        <v>5</v>
      </c>
      <c r="D704" s="118" t="b">
        <v>1</v>
      </c>
      <c r="E704" s="61"/>
      <c r="F704" s="66" t="s">
        <v>814</v>
      </c>
      <c r="G704" s="66" t="s">
        <v>821</v>
      </c>
      <c r="H704" s="38" t="s">
        <v>291</v>
      </c>
      <c r="I704" s="39">
        <f t="shared" si="179"/>
        <v>89</v>
      </c>
      <c r="J704" s="40">
        <f t="shared" si="180"/>
        <v>124</v>
      </c>
      <c r="K704" s="41">
        <f t="shared" si="181"/>
        <v>80</v>
      </c>
      <c r="L704" s="42">
        <f t="shared" si="182"/>
        <v>55</v>
      </c>
      <c r="M704" s="43">
        <f t="shared" si="183"/>
        <v>80</v>
      </c>
      <c r="N704" s="44">
        <f t="shared" si="184"/>
        <v>55</v>
      </c>
      <c r="O704" s="45">
        <f t="shared" si="185"/>
        <v>483</v>
      </c>
      <c r="P704" s="19">
        <f t="shared" si="186"/>
        <v>80.5</v>
      </c>
      <c r="Q704" s="177">
        <v>89</v>
      </c>
      <c r="R704" s="40">
        <v>124</v>
      </c>
      <c r="S704" s="41">
        <v>80</v>
      </c>
      <c r="T704" s="42">
        <v>55</v>
      </c>
      <c r="U704" s="43">
        <v>80</v>
      </c>
      <c r="V704" s="44">
        <v>55</v>
      </c>
      <c r="W704" s="45">
        <f t="shared" si="177"/>
        <v>483</v>
      </c>
      <c r="X704" s="19">
        <f t="shared" si="178"/>
        <v>80.5</v>
      </c>
      <c r="Y704" s="3">
        <v>89</v>
      </c>
      <c r="Z704" s="4">
        <v>124</v>
      </c>
      <c r="AA704" s="5">
        <v>80</v>
      </c>
      <c r="AB704" s="6">
        <v>55</v>
      </c>
      <c r="AC704" s="7">
        <v>80</v>
      </c>
      <c r="AD704" s="8">
        <v>55</v>
      </c>
      <c r="AE704" s="1">
        <v>483</v>
      </c>
      <c r="AF704" s="19">
        <v>80.5</v>
      </c>
      <c r="AG704" s="139">
        <v>89</v>
      </c>
      <c r="AH704" s="140">
        <v>124</v>
      </c>
      <c r="AI704" s="141">
        <v>80</v>
      </c>
      <c r="AJ704" s="142">
        <v>55</v>
      </c>
      <c r="AK704" s="143">
        <v>80</v>
      </c>
      <c r="AL704" s="144">
        <v>55</v>
      </c>
      <c r="AM704" s="138">
        <v>483</v>
      </c>
      <c r="AN704" s="165">
        <v>80.5</v>
      </c>
      <c r="AV704" s="174"/>
      <c r="AW704" s="45"/>
      <c r="AX704" s="174" t="b">
        <f>IF('Refined Compare'!$D$2="All",TRUE,IF(F704='Refined Compare'!$D$2,TRUE,IF(G704='Refined Compare'!$D$2,TRUE,FALSE)))</f>
        <v>0</v>
      </c>
      <c r="AY704" s="174" t="b">
        <f>IF('Refined Compare'!$D$3="All",TRUE,IF(F704='Refined Compare'!$D$3,TRUE,IF(G704='Refined Compare'!$D$3,TRUE,FALSE)))</f>
        <v>0</v>
      </c>
      <c r="AZ704" s="174" t="b">
        <f t="shared" si="175"/>
        <v>0</v>
      </c>
    </row>
    <row r="705" spans="1:52" x14ac:dyDescent="0.35">
      <c r="A705">
        <f t="shared" si="176"/>
        <v>704</v>
      </c>
      <c r="B705" s="18">
        <v>624</v>
      </c>
      <c r="C705" s="61">
        <v>5</v>
      </c>
      <c r="D705" s="61" t="b">
        <v>0</v>
      </c>
      <c r="E705" s="61"/>
      <c r="F705" s="66" t="s">
        <v>823</v>
      </c>
      <c r="G705" s="66" t="s">
        <v>819</v>
      </c>
      <c r="H705" s="38" t="s">
        <v>347</v>
      </c>
      <c r="I705" s="39">
        <f t="shared" si="179"/>
        <v>45</v>
      </c>
      <c r="J705" s="40">
        <f t="shared" si="180"/>
        <v>85</v>
      </c>
      <c r="K705" s="41">
        <f t="shared" si="181"/>
        <v>70</v>
      </c>
      <c r="L705" s="42">
        <f t="shared" si="182"/>
        <v>40</v>
      </c>
      <c r="M705" s="43">
        <f t="shared" si="183"/>
        <v>40</v>
      </c>
      <c r="N705" s="44">
        <f t="shared" si="184"/>
        <v>60</v>
      </c>
      <c r="O705" s="45">
        <f t="shared" si="185"/>
        <v>340</v>
      </c>
      <c r="P705" s="19">
        <f t="shared" si="186"/>
        <v>56.67</v>
      </c>
      <c r="Q705" s="177">
        <v>45</v>
      </c>
      <c r="R705" s="40">
        <v>85</v>
      </c>
      <c r="S705" s="41">
        <v>70</v>
      </c>
      <c r="T705" s="42">
        <v>40</v>
      </c>
      <c r="U705" s="43">
        <v>40</v>
      </c>
      <c r="V705" s="44">
        <v>60</v>
      </c>
      <c r="W705" s="45">
        <f t="shared" si="177"/>
        <v>340</v>
      </c>
      <c r="X705" s="19">
        <f t="shared" si="178"/>
        <v>56.67</v>
      </c>
      <c r="Y705" s="3">
        <v>45</v>
      </c>
      <c r="Z705" s="4">
        <v>85</v>
      </c>
      <c r="AA705" s="5">
        <v>70</v>
      </c>
      <c r="AB705" s="6">
        <v>40</v>
      </c>
      <c r="AC705" s="7">
        <v>40</v>
      </c>
      <c r="AD705" s="8">
        <v>60</v>
      </c>
      <c r="AE705" s="1">
        <v>340</v>
      </c>
      <c r="AF705" s="19">
        <v>56.67</v>
      </c>
      <c r="AG705" s="139">
        <v>45</v>
      </c>
      <c r="AH705" s="140">
        <v>85</v>
      </c>
      <c r="AI705" s="141">
        <v>70</v>
      </c>
      <c r="AJ705" s="142">
        <v>40</v>
      </c>
      <c r="AK705" s="143">
        <v>40</v>
      </c>
      <c r="AL705" s="144">
        <v>60</v>
      </c>
      <c r="AM705" s="138">
        <v>340</v>
      </c>
      <c r="AN705" s="165">
        <v>56.67</v>
      </c>
      <c r="AV705" s="174"/>
      <c r="AW705" s="45"/>
      <c r="AX705" s="174" t="b">
        <f>IF('Refined Compare'!$D$2="All",TRUE,IF(F705='Refined Compare'!$D$2,TRUE,IF(G705='Refined Compare'!$D$2,TRUE,FALSE)))</f>
        <v>1</v>
      </c>
      <c r="AY705" s="174" t="b">
        <f>IF('Refined Compare'!$D$3="All",TRUE,IF(F705='Refined Compare'!$D$3,TRUE,IF(G705='Refined Compare'!$D$3,TRUE,FALSE)))</f>
        <v>0</v>
      </c>
      <c r="AZ705" s="174" t="b">
        <f t="shared" si="175"/>
        <v>0</v>
      </c>
    </row>
    <row r="706" spans="1:52" x14ac:dyDescent="0.35">
      <c r="A706">
        <f t="shared" si="176"/>
        <v>705</v>
      </c>
      <c r="B706" s="18">
        <v>625</v>
      </c>
      <c r="C706" s="61">
        <v>5</v>
      </c>
      <c r="D706" s="118" t="b">
        <v>1</v>
      </c>
      <c r="E706" s="61"/>
      <c r="F706" s="66" t="s">
        <v>823</v>
      </c>
      <c r="G706" s="66" t="s">
        <v>819</v>
      </c>
      <c r="H706" s="38" t="s">
        <v>451</v>
      </c>
      <c r="I706" s="39">
        <f t="shared" si="179"/>
        <v>65</v>
      </c>
      <c r="J706" s="40">
        <f t="shared" si="180"/>
        <v>125</v>
      </c>
      <c r="K706" s="41">
        <f t="shared" si="181"/>
        <v>100</v>
      </c>
      <c r="L706" s="42">
        <f t="shared" si="182"/>
        <v>60</v>
      </c>
      <c r="M706" s="43">
        <f t="shared" si="183"/>
        <v>70</v>
      </c>
      <c r="N706" s="44">
        <f t="shared" si="184"/>
        <v>70</v>
      </c>
      <c r="O706" s="45">
        <f t="shared" si="185"/>
        <v>490</v>
      </c>
      <c r="P706" s="19">
        <f t="shared" si="186"/>
        <v>81.67</v>
      </c>
      <c r="Q706" s="177">
        <v>65</v>
      </c>
      <c r="R706" s="40">
        <v>125</v>
      </c>
      <c r="S706" s="41">
        <v>100</v>
      </c>
      <c r="T706" s="42">
        <v>60</v>
      </c>
      <c r="U706" s="43">
        <v>70</v>
      </c>
      <c r="V706" s="44">
        <v>70</v>
      </c>
      <c r="W706" s="45">
        <f t="shared" si="177"/>
        <v>490</v>
      </c>
      <c r="X706" s="19">
        <f t="shared" si="178"/>
        <v>81.67</v>
      </c>
      <c r="Y706" s="3">
        <v>65</v>
      </c>
      <c r="Z706" s="4">
        <v>125</v>
      </c>
      <c r="AA706" s="5">
        <v>100</v>
      </c>
      <c r="AB706" s="6">
        <v>60</v>
      </c>
      <c r="AC706" s="7">
        <v>70</v>
      </c>
      <c r="AD706" s="8">
        <v>70</v>
      </c>
      <c r="AE706" s="1">
        <v>490</v>
      </c>
      <c r="AF706" s="19">
        <v>81.67</v>
      </c>
      <c r="AG706" s="139">
        <v>65</v>
      </c>
      <c r="AH706" s="140">
        <v>125</v>
      </c>
      <c r="AI706" s="141">
        <v>100</v>
      </c>
      <c r="AJ706" s="142">
        <v>60</v>
      </c>
      <c r="AK706" s="143">
        <v>70</v>
      </c>
      <c r="AL706" s="144">
        <v>70</v>
      </c>
      <c r="AM706" s="138">
        <v>490</v>
      </c>
      <c r="AN706" s="165">
        <v>81.67</v>
      </c>
      <c r="AV706" s="174"/>
      <c r="AW706" s="45"/>
      <c r="AX706" s="174" t="b">
        <f>IF('Refined Compare'!$D$2="All",TRUE,IF(F706='Refined Compare'!$D$2,TRUE,IF(G706='Refined Compare'!$D$2,TRUE,FALSE)))</f>
        <v>1</v>
      </c>
      <c r="AY706" s="174" t="b">
        <f>IF('Refined Compare'!$D$3="All",TRUE,IF(F706='Refined Compare'!$D$3,TRUE,IF(G706='Refined Compare'!$D$3,TRUE,FALSE)))</f>
        <v>0</v>
      </c>
      <c r="AZ706" s="174" t="b">
        <f t="shared" ref="AZ706:AZ769" si="187">IF(C706&lt;=$AW$2,TRUE,FALSE)</f>
        <v>0</v>
      </c>
    </row>
    <row r="707" spans="1:52" x14ac:dyDescent="0.35">
      <c r="A707">
        <f t="shared" si="176"/>
        <v>706</v>
      </c>
      <c r="B707" s="18">
        <v>626</v>
      </c>
      <c r="C707" s="61">
        <v>5</v>
      </c>
      <c r="D707" s="118" t="b">
        <v>1</v>
      </c>
      <c r="E707" s="61"/>
      <c r="F707" s="66" t="s">
        <v>812</v>
      </c>
      <c r="G707" s="66" t="s">
        <v>827</v>
      </c>
      <c r="H707" s="38" t="s">
        <v>292</v>
      </c>
      <c r="I707" s="39">
        <f t="shared" si="179"/>
        <v>95</v>
      </c>
      <c r="J707" s="40">
        <f t="shared" si="180"/>
        <v>110</v>
      </c>
      <c r="K707" s="41">
        <f t="shared" si="181"/>
        <v>95</v>
      </c>
      <c r="L707" s="42">
        <f t="shared" si="182"/>
        <v>40</v>
      </c>
      <c r="M707" s="43">
        <f t="shared" si="183"/>
        <v>95</v>
      </c>
      <c r="N707" s="44">
        <f t="shared" si="184"/>
        <v>55</v>
      </c>
      <c r="O707" s="45">
        <f t="shared" si="185"/>
        <v>490</v>
      </c>
      <c r="P707" s="19">
        <f t="shared" si="186"/>
        <v>81.67</v>
      </c>
      <c r="Q707" s="177">
        <v>95</v>
      </c>
      <c r="R707" s="40">
        <v>110</v>
      </c>
      <c r="S707" s="41">
        <v>95</v>
      </c>
      <c r="T707" s="42">
        <v>40</v>
      </c>
      <c r="U707" s="43">
        <v>95</v>
      </c>
      <c r="V707" s="44">
        <v>55</v>
      </c>
      <c r="W707" s="45">
        <f t="shared" si="177"/>
        <v>490</v>
      </c>
      <c r="X707" s="19">
        <f t="shared" si="178"/>
        <v>81.67</v>
      </c>
      <c r="Y707" s="3">
        <v>95</v>
      </c>
      <c r="Z707" s="4">
        <v>110</v>
      </c>
      <c r="AA707" s="5">
        <v>95</v>
      </c>
      <c r="AB707" s="6">
        <v>40</v>
      </c>
      <c r="AC707" s="7">
        <v>95</v>
      </c>
      <c r="AD707" s="8">
        <v>55</v>
      </c>
      <c r="AE707" s="1">
        <v>490</v>
      </c>
      <c r="AF707" s="19">
        <v>81.67</v>
      </c>
      <c r="AG707" s="139">
        <v>95</v>
      </c>
      <c r="AH707" s="140">
        <v>110</v>
      </c>
      <c r="AI707" s="141">
        <v>95</v>
      </c>
      <c r="AJ707" s="142">
        <v>40</v>
      </c>
      <c r="AK707" s="143">
        <v>95</v>
      </c>
      <c r="AL707" s="144">
        <v>55</v>
      </c>
      <c r="AM707" s="138">
        <v>490</v>
      </c>
      <c r="AN707" s="165">
        <v>81.67</v>
      </c>
      <c r="AV707" s="174"/>
      <c r="AW707" s="45"/>
      <c r="AX707" s="174" t="b">
        <f>IF('Refined Compare'!$D$2="All",TRUE,IF(F707='Refined Compare'!$D$2,TRUE,IF(G707='Refined Compare'!$D$2,TRUE,FALSE)))</f>
        <v>0</v>
      </c>
      <c r="AY707" s="174" t="b">
        <f>IF('Refined Compare'!$D$3="All",TRUE,IF(F707='Refined Compare'!$D$3,TRUE,IF(G707='Refined Compare'!$D$3,TRUE,FALSE)))</f>
        <v>1</v>
      </c>
      <c r="AZ707" s="174" t="b">
        <f t="shared" si="187"/>
        <v>0</v>
      </c>
    </row>
    <row r="708" spans="1:52" x14ac:dyDescent="0.35">
      <c r="A708">
        <f t="shared" si="176"/>
        <v>707</v>
      </c>
      <c r="B708" s="18">
        <v>627</v>
      </c>
      <c r="C708" s="61">
        <v>5</v>
      </c>
      <c r="D708" s="118" t="b">
        <v>0</v>
      </c>
      <c r="E708" s="61"/>
      <c r="F708" s="66" t="s">
        <v>812</v>
      </c>
      <c r="G708" s="66" t="s">
        <v>809</v>
      </c>
      <c r="H708" s="38" t="s">
        <v>348</v>
      </c>
      <c r="I708" s="39">
        <f t="shared" si="179"/>
        <v>70</v>
      </c>
      <c r="J708" s="40">
        <f t="shared" si="180"/>
        <v>83</v>
      </c>
      <c r="K708" s="41">
        <f t="shared" si="181"/>
        <v>50</v>
      </c>
      <c r="L708" s="42">
        <f t="shared" si="182"/>
        <v>37</v>
      </c>
      <c r="M708" s="43">
        <f t="shared" si="183"/>
        <v>50</v>
      </c>
      <c r="N708" s="44">
        <f t="shared" si="184"/>
        <v>60</v>
      </c>
      <c r="O708" s="45">
        <f t="shared" si="185"/>
        <v>350</v>
      </c>
      <c r="P708" s="19">
        <f t="shared" si="186"/>
        <v>58.33</v>
      </c>
      <c r="Q708" s="177">
        <v>70</v>
      </c>
      <c r="R708" s="40">
        <v>83</v>
      </c>
      <c r="S708" s="41">
        <v>50</v>
      </c>
      <c r="T708" s="42">
        <v>37</v>
      </c>
      <c r="U708" s="43">
        <v>50</v>
      </c>
      <c r="V708" s="44">
        <v>60</v>
      </c>
      <c r="W708" s="45">
        <f t="shared" si="177"/>
        <v>350</v>
      </c>
      <c r="X708" s="19">
        <f t="shared" si="178"/>
        <v>58.33</v>
      </c>
      <c r="Y708" s="3">
        <v>70</v>
      </c>
      <c r="Z708" s="4">
        <v>83</v>
      </c>
      <c r="AA708" s="5">
        <v>50</v>
      </c>
      <c r="AB708" s="6">
        <v>37</v>
      </c>
      <c r="AC708" s="7">
        <v>50</v>
      </c>
      <c r="AD708" s="8">
        <v>60</v>
      </c>
      <c r="AE708" s="1">
        <v>350</v>
      </c>
      <c r="AF708" s="19">
        <v>58.33</v>
      </c>
      <c r="AG708" s="139">
        <v>70</v>
      </c>
      <c r="AH708" s="140">
        <v>83</v>
      </c>
      <c r="AI708" s="141">
        <v>50</v>
      </c>
      <c r="AJ708" s="142">
        <v>37</v>
      </c>
      <c r="AK708" s="143">
        <v>50</v>
      </c>
      <c r="AL708" s="144">
        <v>60</v>
      </c>
      <c r="AM708" s="138">
        <v>350</v>
      </c>
      <c r="AN708" s="165">
        <v>58.33</v>
      </c>
      <c r="AV708" s="174"/>
      <c r="AW708" s="45"/>
      <c r="AX708" s="174" t="b">
        <f>IF('Refined Compare'!$D$2="All",TRUE,IF(F708='Refined Compare'!$D$2,TRUE,IF(G708='Refined Compare'!$D$2,TRUE,FALSE)))</f>
        <v>0</v>
      </c>
      <c r="AY708" s="174" t="b">
        <f>IF('Refined Compare'!$D$3="All",TRUE,IF(F708='Refined Compare'!$D$3,TRUE,IF(G708='Refined Compare'!$D$3,TRUE,FALSE)))</f>
        <v>0</v>
      </c>
      <c r="AZ708" s="174" t="b">
        <f t="shared" si="187"/>
        <v>0</v>
      </c>
    </row>
    <row r="709" spans="1:52" x14ac:dyDescent="0.35">
      <c r="A709">
        <f t="shared" si="176"/>
        <v>708</v>
      </c>
      <c r="B709" s="18">
        <v>628</v>
      </c>
      <c r="C709" s="61">
        <v>5</v>
      </c>
      <c r="D709" s="118" t="b">
        <v>1</v>
      </c>
      <c r="E709" s="61"/>
      <c r="F709" s="66" t="s">
        <v>812</v>
      </c>
      <c r="G709" s="66" t="s">
        <v>809</v>
      </c>
      <c r="H709" s="38" t="s">
        <v>525</v>
      </c>
      <c r="I709" s="39">
        <f t="shared" si="179"/>
        <v>100</v>
      </c>
      <c r="J709" s="40">
        <f t="shared" si="180"/>
        <v>123</v>
      </c>
      <c r="K709" s="41">
        <f t="shared" si="181"/>
        <v>75</v>
      </c>
      <c r="L709" s="42">
        <f t="shared" si="182"/>
        <v>57</v>
      </c>
      <c r="M709" s="43">
        <f t="shared" si="183"/>
        <v>75</v>
      </c>
      <c r="N709" s="44">
        <f t="shared" si="184"/>
        <v>80</v>
      </c>
      <c r="O709" s="45">
        <f t="shared" si="185"/>
        <v>510</v>
      </c>
      <c r="P709" s="19">
        <f t="shared" si="186"/>
        <v>85</v>
      </c>
      <c r="Q709" s="177">
        <v>100</v>
      </c>
      <c r="R709" s="40">
        <v>123</v>
      </c>
      <c r="S709" s="41">
        <v>75</v>
      </c>
      <c r="T709" s="42">
        <v>57</v>
      </c>
      <c r="U709" s="43">
        <v>75</v>
      </c>
      <c r="V709" s="44">
        <v>80</v>
      </c>
      <c r="W709" s="45">
        <f t="shared" si="177"/>
        <v>510</v>
      </c>
      <c r="X709" s="19">
        <f t="shared" si="178"/>
        <v>85</v>
      </c>
      <c r="Y709" s="3">
        <v>100</v>
      </c>
      <c r="Z709" s="4">
        <v>123</v>
      </c>
      <c r="AA709" s="5">
        <v>75</v>
      </c>
      <c r="AB709" s="6">
        <v>57</v>
      </c>
      <c r="AC709" s="7">
        <v>75</v>
      </c>
      <c r="AD709" s="8">
        <v>80</v>
      </c>
      <c r="AE709" s="1">
        <v>510</v>
      </c>
      <c r="AF709" s="19">
        <v>85</v>
      </c>
      <c r="AG709" s="139">
        <v>100</v>
      </c>
      <c r="AH709" s="140">
        <v>123</v>
      </c>
      <c r="AI709" s="141">
        <v>75</v>
      </c>
      <c r="AJ709" s="142">
        <v>57</v>
      </c>
      <c r="AK709" s="143">
        <v>75</v>
      </c>
      <c r="AL709" s="144">
        <v>80</v>
      </c>
      <c r="AM709" s="138">
        <v>510</v>
      </c>
      <c r="AN709" s="165">
        <v>85</v>
      </c>
      <c r="AV709" s="174"/>
      <c r="AW709" s="45"/>
      <c r="AX709" s="174" t="b">
        <f>IF('Refined Compare'!$D$2="All",TRUE,IF(F709='Refined Compare'!$D$2,TRUE,IF(G709='Refined Compare'!$D$2,TRUE,FALSE)))</f>
        <v>0</v>
      </c>
      <c r="AY709" s="174" t="b">
        <f>IF('Refined Compare'!$D$3="All",TRUE,IF(F709='Refined Compare'!$D$3,TRUE,IF(G709='Refined Compare'!$D$3,TRUE,FALSE)))</f>
        <v>0</v>
      </c>
      <c r="AZ709" s="174" t="b">
        <f t="shared" si="187"/>
        <v>0</v>
      </c>
    </row>
    <row r="710" spans="1:52" x14ac:dyDescent="0.35">
      <c r="A710">
        <f t="shared" si="176"/>
        <v>709</v>
      </c>
      <c r="B710" s="18">
        <v>629</v>
      </c>
      <c r="C710" s="61">
        <v>5</v>
      </c>
      <c r="D710" s="61" t="b">
        <v>0</v>
      </c>
      <c r="E710" s="61"/>
      <c r="F710" s="66" t="s">
        <v>823</v>
      </c>
      <c r="G710" s="66" t="s">
        <v>809</v>
      </c>
      <c r="H710" s="38" t="s">
        <v>349</v>
      </c>
      <c r="I710" s="39">
        <f t="shared" si="179"/>
        <v>70</v>
      </c>
      <c r="J710" s="40">
        <f t="shared" si="180"/>
        <v>55</v>
      </c>
      <c r="K710" s="41">
        <f t="shared" si="181"/>
        <v>75</v>
      </c>
      <c r="L710" s="42">
        <f t="shared" si="182"/>
        <v>45</v>
      </c>
      <c r="M710" s="43">
        <f t="shared" si="183"/>
        <v>65</v>
      </c>
      <c r="N710" s="44">
        <f t="shared" si="184"/>
        <v>60</v>
      </c>
      <c r="O710" s="45">
        <f t="shared" si="185"/>
        <v>370</v>
      </c>
      <c r="P710" s="19">
        <f t="shared" si="186"/>
        <v>61.67</v>
      </c>
      <c r="Q710" s="177">
        <v>70</v>
      </c>
      <c r="R710" s="40">
        <v>55</v>
      </c>
      <c r="S710" s="41">
        <v>75</v>
      </c>
      <c r="T710" s="42">
        <v>45</v>
      </c>
      <c r="U710" s="43">
        <v>65</v>
      </c>
      <c r="V710" s="44">
        <v>60</v>
      </c>
      <c r="W710" s="45">
        <f t="shared" si="177"/>
        <v>370</v>
      </c>
      <c r="X710" s="19">
        <f t="shared" si="178"/>
        <v>61.67</v>
      </c>
      <c r="Y710" s="3">
        <v>70</v>
      </c>
      <c r="Z710" s="4">
        <v>55</v>
      </c>
      <c r="AA710" s="5">
        <v>75</v>
      </c>
      <c r="AB710" s="6">
        <v>45</v>
      </c>
      <c r="AC710" s="7">
        <v>65</v>
      </c>
      <c r="AD710" s="8">
        <v>60</v>
      </c>
      <c r="AE710" s="1">
        <v>370</v>
      </c>
      <c r="AF710" s="19">
        <v>61.67</v>
      </c>
      <c r="AG710" s="139">
        <v>70</v>
      </c>
      <c r="AH710" s="140">
        <v>55</v>
      </c>
      <c r="AI710" s="141">
        <v>75</v>
      </c>
      <c r="AJ710" s="142">
        <v>45</v>
      </c>
      <c r="AK710" s="143">
        <v>65</v>
      </c>
      <c r="AL710" s="144">
        <v>60</v>
      </c>
      <c r="AM710" s="138">
        <v>370</v>
      </c>
      <c r="AN710" s="165">
        <v>61.67</v>
      </c>
      <c r="AV710" s="174"/>
      <c r="AW710" s="45"/>
      <c r="AX710" s="174" t="b">
        <f>IF('Refined Compare'!$D$2="All",TRUE,IF(F710='Refined Compare'!$D$2,TRUE,IF(G710='Refined Compare'!$D$2,TRUE,FALSE)))</f>
        <v>1</v>
      </c>
      <c r="AY710" s="174" t="b">
        <f>IF('Refined Compare'!$D$3="All",TRUE,IF(F710='Refined Compare'!$D$3,TRUE,IF(G710='Refined Compare'!$D$3,TRUE,FALSE)))</f>
        <v>0</v>
      </c>
      <c r="AZ710" s="174" t="b">
        <f t="shared" si="187"/>
        <v>0</v>
      </c>
    </row>
    <row r="711" spans="1:52" x14ac:dyDescent="0.35">
      <c r="A711">
        <f t="shared" si="176"/>
        <v>710</v>
      </c>
      <c r="B711" s="18">
        <v>630</v>
      </c>
      <c r="C711" s="61">
        <v>5</v>
      </c>
      <c r="D711" s="118" t="b">
        <v>1</v>
      </c>
      <c r="E711" s="61"/>
      <c r="F711" s="66" t="s">
        <v>823</v>
      </c>
      <c r="G711" s="66" t="s">
        <v>809</v>
      </c>
      <c r="H711" s="38" t="s">
        <v>526</v>
      </c>
      <c r="I711" s="39">
        <f t="shared" si="179"/>
        <v>110</v>
      </c>
      <c r="J711" s="40">
        <f t="shared" si="180"/>
        <v>65</v>
      </c>
      <c r="K711" s="41">
        <f t="shared" si="181"/>
        <v>105</v>
      </c>
      <c r="L711" s="42">
        <f t="shared" si="182"/>
        <v>55</v>
      </c>
      <c r="M711" s="43">
        <f t="shared" si="183"/>
        <v>95</v>
      </c>
      <c r="N711" s="44">
        <f t="shared" si="184"/>
        <v>80</v>
      </c>
      <c r="O711" s="45">
        <f t="shared" si="185"/>
        <v>510</v>
      </c>
      <c r="P711" s="19">
        <f t="shared" si="186"/>
        <v>85</v>
      </c>
      <c r="Q711" s="177">
        <v>110</v>
      </c>
      <c r="R711" s="40">
        <v>65</v>
      </c>
      <c r="S711" s="41">
        <v>105</v>
      </c>
      <c r="T711" s="42">
        <v>55</v>
      </c>
      <c r="U711" s="43">
        <v>95</v>
      </c>
      <c r="V711" s="44">
        <v>80</v>
      </c>
      <c r="W711" s="45">
        <f t="shared" si="177"/>
        <v>510</v>
      </c>
      <c r="X711" s="19">
        <f t="shared" si="178"/>
        <v>85</v>
      </c>
      <c r="Y711" s="3">
        <v>110</v>
      </c>
      <c r="Z711" s="4">
        <v>65</v>
      </c>
      <c r="AA711" s="5">
        <v>105</v>
      </c>
      <c r="AB711" s="6">
        <v>55</v>
      </c>
      <c r="AC711" s="7">
        <v>95</v>
      </c>
      <c r="AD711" s="8">
        <v>80</v>
      </c>
      <c r="AE711" s="1">
        <v>510</v>
      </c>
      <c r="AF711" s="19">
        <v>85</v>
      </c>
      <c r="AG711" s="139">
        <v>110</v>
      </c>
      <c r="AH711" s="140">
        <v>65</v>
      </c>
      <c r="AI711" s="141">
        <v>105</v>
      </c>
      <c r="AJ711" s="142">
        <v>55</v>
      </c>
      <c r="AK711" s="143">
        <v>95</v>
      </c>
      <c r="AL711" s="144">
        <v>80</v>
      </c>
      <c r="AM711" s="138">
        <v>510</v>
      </c>
      <c r="AN711" s="165">
        <v>85</v>
      </c>
      <c r="AV711" s="174"/>
      <c r="AW711" s="45"/>
      <c r="AX711" s="174" t="b">
        <f>IF('Refined Compare'!$D$2="All",TRUE,IF(F711='Refined Compare'!$D$2,TRUE,IF(G711='Refined Compare'!$D$2,TRUE,FALSE)))</f>
        <v>1</v>
      </c>
      <c r="AY711" s="174" t="b">
        <f>IF('Refined Compare'!$D$3="All",TRUE,IF(F711='Refined Compare'!$D$3,TRUE,IF(G711='Refined Compare'!$D$3,TRUE,FALSE)))</f>
        <v>0</v>
      </c>
      <c r="AZ711" s="174" t="b">
        <f t="shared" si="187"/>
        <v>0</v>
      </c>
    </row>
    <row r="712" spans="1:52" x14ac:dyDescent="0.35">
      <c r="A712">
        <f t="shared" si="176"/>
        <v>711</v>
      </c>
      <c r="B712" s="18">
        <v>631</v>
      </c>
      <c r="C712" s="61">
        <v>5</v>
      </c>
      <c r="D712" s="118" t="b">
        <v>1</v>
      </c>
      <c r="E712" s="61"/>
      <c r="F712" s="66" t="s">
        <v>808</v>
      </c>
      <c r="G712" s="66" t="s">
        <v>827</v>
      </c>
      <c r="H712" s="38" t="s">
        <v>401</v>
      </c>
      <c r="I712" s="39">
        <f t="shared" si="179"/>
        <v>85</v>
      </c>
      <c r="J712" s="40">
        <f t="shared" si="180"/>
        <v>97</v>
      </c>
      <c r="K712" s="41">
        <f t="shared" si="181"/>
        <v>66</v>
      </c>
      <c r="L712" s="42">
        <f t="shared" si="182"/>
        <v>105</v>
      </c>
      <c r="M712" s="43">
        <f t="shared" si="183"/>
        <v>66</v>
      </c>
      <c r="N712" s="44">
        <f t="shared" si="184"/>
        <v>65</v>
      </c>
      <c r="O712" s="45">
        <f t="shared" si="185"/>
        <v>484</v>
      </c>
      <c r="P712" s="19">
        <f t="shared" si="186"/>
        <v>80.67</v>
      </c>
      <c r="Q712" s="177">
        <v>85</v>
      </c>
      <c r="R712" s="40">
        <v>97</v>
      </c>
      <c r="S712" s="41">
        <v>66</v>
      </c>
      <c r="T712" s="42">
        <v>105</v>
      </c>
      <c r="U712" s="43">
        <v>66</v>
      </c>
      <c r="V712" s="44">
        <v>65</v>
      </c>
      <c r="W712" s="45">
        <f t="shared" si="177"/>
        <v>484</v>
      </c>
      <c r="X712" s="19">
        <f t="shared" si="178"/>
        <v>80.67</v>
      </c>
      <c r="Y712" s="3">
        <v>85</v>
      </c>
      <c r="Z712" s="4">
        <v>97</v>
      </c>
      <c r="AA712" s="5">
        <v>66</v>
      </c>
      <c r="AB712" s="6">
        <v>105</v>
      </c>
      <c r="AC712" s="7">
        <v>66</v>
      </c>
      <c r="AD712" s="8">
        <v>65</v>
      </c>
      <c r="AE712" s="1">
        <v>484</v>
      </c>
      <c r="AF712" s="19">
        <v>80.67</v>
      </c>
      <c r="AG712" s="139">
        <v>85</v>
      </c>
      <c r="AH712" s="140">
        <v>97</v>
      </c>
      <c r="AI712" s="141">
        <v>66</v>
      </c>
      <c r="AJ712" s="142">
        <v>105</v>
      </c>
      <c r="AK712" s="143">
        <v>66</v>
      </c>
      <c r="AL712" s="144">
        <v>65</v>
      </c>
      <c r="AM712" s="138">
        <v>484</v>
      </c>
      <c r="AN712" s="165">
        <v>80.67</v>
      </c>
      <c r="AV712" s="174"/>
      <c r="AW712" s="45"/>
      <c r="AX712" s="174" t="b">
        <f>IF('Refined Compare'!$D$2="All",TRUE,IF(F712='Refined Compare'!$D$2,TRUE,IF(G712='Refined Compare'!$D$2,TRUE,FALSE)))</f>
        <v>0</v>
      </c>
      <c r="AY712" s="174" t="b">
        <f>IF('Refined Compare'!$D$3="All",TRUE,IF(F712='Refined Compare'!$D$3,TRUE,IF(G712='Refined Compare'!$D$3,TRUE,FALSE)))</f>
        <v>1</v>
      </c>
      <c r="AZ712" s="174" t="b">
        <f t="shared" si="187"/>
        <v>0</v>
      </c>
    </row>
    <row r="713" spans="1:52" x14ac:dyDescent="0.35">
      <c r="A713">
        <f t="shared" si="176"/>
        <v>712</v>
      </c>
      <c r="B713" s="18">
        <v>632</v>
      </c>
      <c r="C713" s="61">
        <v>5</v>
      </c>
      <c r="D713" s="118" t="b">
        <v>1</v>
      </c>
      <c r="E713" s="61"/>
      <c r="F713" s="66" t="s">
        <v>811</v>
      </c>
      <c r="G713" s="66" t="s">
        <v>819</v>
      </c>
      <c r="H713" s="38" t="s">
        <v>713</v>
      </c>
      <c r="I713" s="39">
        <f t="shared" si="179"/>
        <v>58</v>
      </c>
      <c r="J713" s="40">
        <f t="shared" si="180"/>
        <v>109</v>
      </c>
      <c r="K713" s="41">
        <f t="shared" si="181"/>
        <v>112</v>
      </c>
      <c r="L713" s="42">
        <f t="shared" si="182"/>
        <v>48</v>
      </c>
      <c r="M713" s="43">
        <f t="shared" si="183"/>
        <v>48</v>
      </c>
      <c r="N713" s="44">
        <f t="shared" si="184"/>
        <v>109</v>
      </c>
      <c r="O713" s="45">
        <f t="shared" si="185"/>
        <v>484</v>
      </c>
      <c r="P713" s="19">
        <f t="shared" si="186"/>
        <v>80.67</v>
      </c>
      <c r="Q713" s="177">
        <v>58</v>
      </c>
      <c r="R713" s="40">
        <v>109</v>
      </c>
      <c r="S713" s="41">
        <v>112</v>
      </c>
      <c r="T713" s="42">
        <v>48</v>
      </c>
      <c r="U713" s="43">
        <v>48</v>
      </c>
      <c r="V713" s="44">
        <v>109</v>
      </c>
      <c r="W713" s="45">
        <f t="shared" si="177"/>
        <v>484</v>
      </c>
      <c r="X713" s="19">
        <f t="shared" si="178"/>
        <v>80.67</v>
      </c>
      <c r="Y713" s="3">
        <v>58</v>
      </c>
      <c r="Z713" s="4">
        <v>109</v>
      </c>
      <c r="AA713" s="5">
        <v>112</v>
      </c>
      <c r="AB713" s="6">
        <v>48</v>
      </c>
      <c r="AC713" s="7">
        <v>48</v>
      </c>
      <c r="AD713" s="8">
        <v>109</v>
      </c>
      <c r="AE713" s="1">
        <v>484</v>
      </c>
      <c r="AF713" s="19">
        <v>80.67</v>
      </c>
      <c r="AG713" s="139">
        <v>58</v>
      </c>
      <c r="AH713" s="140">
        <v>109</v>
      </c>
      <c r="AI713" s="141">
        <v>112</v>
      </c>
      <c r="AJ713" s="142">
        <v>48</v>
      </c>
      <c r="AK713" s="143">
        <v>48</v>
      </c>
      <c r="AL713" s="144">
        <v>109</v>
      </c>
      <c r="AM713" s="138">
        <v>484</v>
      </c>
      <c r="AN713" s="165">
        <v>80.67</v>
      </c>
      <c r="AV713" s="174"/>
      <c r="AW713" s="45"/>
      <c r="AX713" s="174" t="b">
        <f>IF('Refined Compare'!$D$2="All",TRUE,IF(F713='Refined Compare'!$D$2,TRUE,IF(G713='Refined Compare'!$D$2,TRUE,FALSE)))</f>
        <v>0</v>
      </c>
      <c r="AY713" s="174" t="b">
        <f>IF('Refined Compare'!$D$3="All",TRUE,IF(F713='Refined Compare'!$D$3,TRUE,IF(G713='Refined Compare'!$D$3,TRUE,FALSE)))</f>
        <v>0</v>
      </c>
      <c r="AZ713" s="174" t="b">
        <f t="shared" si="187"/>
        <v>0</v>
      </c>
    </row>
    <row r="714" spans="1:52" x14ac:dyDescent="0.35">
      <c r="A714">
        <f t="shared" si="176"/>
        <v>713</v>
      </c>
      <c r="B714" s="18">
        <v>633</v>
      </c>
      <c r="C714" s="61">
        <v>5</v>
      </c>
      <c r="D714" s="61" t="b">
        <v>0</v>
      </c>
      <c r="E714" s="61"/>
      <c r="F714" s="66" t="s">
        <v>823</v>
      </c>
      <c r="G714" s="66" t="s">
        <v>822</v>
      </c>
      <c r="H714" s="38" t="s">
        <v>119</v>
      </c>
      <c r="I714" s="39">
        <f t="shared" si="179"/>
        <v>52</v>
      </c>
      <c r="J714" s="40">
        <f t="shared" si="180"/>
        <v>65</v>
      </c>
      <c r="K714" s="41">
        <f t="shared" si="181"/>
        <v>50</v>
      </c>
      <c r="L714" s="42">
        <f t="shared" si="182"/>
        <v>45</v>
      </c>
      <c r="M714" s="43">
        <f t="shared" si="183"/>
        <v>50</v>
      </c>
      <c r="N714" s="44">
        <f t="shared" si="184"/>
        <v>38</v>
      </c>
      <c r="O714" s="45">
        <f t="shared" si="185"/>
        <v>300</v>
      </c>
      <c r="P714" s="19">
        <f t="shared" si="186"/>
        <v>50</v>
      </c>
      <c r="Q714" s="177">
        <v>52</v>
      </c>
      <c r="R714" s="40">
        <v>65</v>
      </c>
      <c r="S714" s="41">
        <v>50</v>
      </c>
      <c r="T714" s="42">
        <v>45</v>
      </c>
      <c r="U714" s="43">
        <v>50</v>
      </c>
      <c r="V714" s="44">
        <v>38</v>
      </c>
      <c r="W714" s="45">
        <f t="shared" si="177"/>
        <v>300</v>
      </c>
      <c r="X714" s="19">
        <f t="shared" si="178"/>
        <v>50</v>
      </c>
      <c r="Y714" s="3">
        <v>52</v>
      </c>
      <c r="Z714" s="4">
        <v>65</v>
      </c>
      <c r="AA714" s="5">
        <v>50</v>
      </c>
      <c r="AB714" s="6">
        <v>45</v>
      </c>
      <c r="AC714" s="7">
        <v>50</v>
      </c>
      <c r="AD714" s="8">
        <v>38</v>
      </c>
      <c r="AE714" s="1">
        <v>300</v>
      </c>
      <c r="AF714" s="19">
        <v>50</v>
      </c>
      <c r="AG714" s="139">
        <v>52</v>
      </c>
      <c r="AH714" s="140">
        <v>65</v>
      </c>
      <c r="AI714" s="141">
        <v>50</v>
      </c>
      <c r="AJ714" s="142">
        <v>45</v>
      </c>
      <c r="AK714" s="143">
        <v>50</v>
      </c>
      <c r="AL714" s="144">
        <v>38</v>
      </c>
      <c r="AM714" s="138">
        <v>300</v>
      </c>
      <c r="AN714" s="165">
        <v>50</v>
      </c>
      <c r="AV714" s="174"/>
      <c r="AW714" s="45"/>
      <c r="AX714" s="174" t="b">
        <f>IF('Refined Compare'!$D$2="All",TRUE,IF(F714='Refined Compare'!$D$2,TRUE,IF(G714='Refined Compare'!$D$2,TRUE,FALSE)))</f>
        <v>1</v>
      </c>
      <c r="AY714" s="174" t="b">
        <f>IF('Refined Compare'!$D$3="All",TRUE,IF(F714='Refined Compare'!$D$3,TRUE,IF(G714='Refined Compare'!$D$3,TRUE,FALSE)))</f>
        <v>0</v>
      </c>
      <c r="AZ714" s="174" t="b">
        <f t="shared" si="187"/>
        <v>0</v>
      </c>
    </row>
    <row r="715" spans="1:52" x14ac:dyDescent="0.35">
      <c r="A715">
        <f t="shared" si="176"/>
        <v>714</v>
      </c>
      <c r="B715" s="18">
        <v>634</v>
      </c>
      <c r="C715" s="61">
        <v>5</v>
      </c>
      <c r="D715" s="61" t="b">
        <v>0</v>
      </c>
      <c r="E715" s="61"/>
      <c r="F715" s="66" t="s">
        <v>823</v>
      </c>
      <c r="G715" s="66" t="s">
        <v>822</v>
      </c>
      <c r="H715" s="38" t="s">
        <v>307</v>
      </c>
      <c r="I715" s="39">
        <f t="shared" si="179"/>
        <v>72</v>
      </c>
      <c r="J715" s="40">
        <f t="shared" si="180"/>
        <v>85</v>
      </c>
      <c r="K715" s="41">
        <f t="shared" si="181"/>
        <v>70</v>
      </c>
      <c r="L715" s="42">
        <f t="shared" si="182"/>
        <v>65</v>
      </c>
      <c r="M715" s="43">
        <f t="shared" si="183"/>
        <v>70</v>
      </c>
      <c r="N715" s="44">
        <f t="shared" si="184"/>
        <v>58</v>
      </c>
      <c r="O715" s="45">
        <f t="shared" si="185"/>
        <v>420</v>
      </c>
      <c r="P715" s="19">
        <f t="shared" si="186"/>
        <v>70</v>
      </c>
      <c r="Q715" s="177">
        <v>72</v>
      </c>
      <c r="R715" s="40">
        <v>85</v>
      </c>
      <c r="S715" s="41">
        <v>70</v>
      </c>
      <c r="T715" s="42">
        <v>65</v>
      </c>
      <c r="U715" s="43">
        <v>70</v>
      </c>
      <c r="V715" s="44">
        <v>58</v>
      </c>
      <c r="W715" s="45">
        <f t="shared" si="177"/>
        <v>420</v>
      </c>
      <c r="X715" s="19">
        <f t="shared" si="178"/>
        <v>70</v>
      </c>
      <c r="Y715" s="3">
        <v>72</v>
      </c>
      <c r="Z715" s="4">
        <v>85</v>
      </c>
      <c r="AA715" s="5">
        <v>70</v>
      </c>
      <c r="AB715" s="6">
        <v>65</v>
      </c>
      <c r="AC715" s="7">
        <v>70</v>
      </c>
      <c r="AD715" s="8">
        <v>58</v>
      </c>
      <c r="AE715" s="1">
        <v>420</v>
      </c>
      <c r="AF715" s="19">
        <v>70</v>
      </c>
      <c r="AG715" s="139">
        <v>72</v>
      </c>
      <c r="AH715" s="140">
        <v>85</v>
      </c>
      <c r="AI715" s="141">
        <v>70</v>
      </c>
      <c r="AJ715" s="142">
        <v>65</v>
      </c>
      <c r="AK715" s="143">
        <v>70</v>
      </c>
      <c r="AL715" s="144">
        <v>58</v>
      </c>
      <c r="AM715" s="138">
        <v>420</v>
      </c>
      <c r="AN715" s="165">
        <v>70</v>
      </c>
      <c r="AV715" s="174"/>
      <c r="AW715" s="45"/>
      <c r="AX715" s="174" t="b">
        <f>IF('Refined Compare'!$D$2="All",TRUE,IF(F715='Refined Compare'!$D$2,TRUE,IF(G715='Refined Compare'!$D$2,TRUE,FALSE)))</f>
        <v>1</v>
      </c>
      <c r="AY715" s="174" t="b">
        <f>IF('Refined Compare'!$D$3="All",TRUE,IF(F715='Refined Compare'!$D$3,TRUE,IF(G715='Refined Compare'!$D$3,TRUE,FALSE)))</f>
        <v>0</v>
      </c>
      <c r="AZ715" s="174" t="b">
        <f t="shared" si="187"/>
        <v>0</v>
      </c>
    </row>
    <row r="716" spans="1:52" x14ac:dyDescent="0.35">
      <c r="A716">
        <f t="shared" si="176"/>
        <v>715</v>
      </c>
      <c r="B716" s="18">
        <v>635</v>
      </c>
      <c r="C716" s="61">
        <v>5</v>
      </c>
      <c r="D716" s="118" t="b">
        <v>1</v>
      </c>
      <c r="E716" s="61"/>
      <c r="F716" s="66" t="s">
        <v>823</v>
      </c>
      <c r="G716" s="66" t="s">
        <v>822</v>
      </c>
      <c r="H716" s="38" t="s">
        <v>648</v>
      </c>
      <c r="I716" s="39">
        <f t="shared" si="179"/>
        <v>92</v>
      </c>
      <c r="J716" s="40">
        <f t="shared" si="180"/>
        <v>105</v>
      </c>
      <c r="K716" s="41">
        <f t="shared" si="181"/>
        <v>90</v>
      </c>
      <c r="L716" s="42">
        <f t="shared" si="182"/>
        <v>125</v>
      </c>
      <c r="M716" s="43">
        <f t="shared" si="183"/>
        <v>90</v>
      </c>
      <c r="N716" s="44">
        <f t="shared" si="184"/>
        <v>98</v>
      </c>
      <c r="O716" s="45">
        <f t="shared" si="185"/>
        <v>600</v>
      </c>
      <c r="P716" s="19">
        <f t="shared" si="186"/>
        <v>100</v>
      </c>
      <c r="Q716" s="177">
        <v>92</v>
      </c>
      <c r="R716" s="40">
        <v>105</v>
      </c>
      <c r="S716" s="41">
        <v>90</v>
      </c>
      <c r="T716" s="42">
        <v>125</v>
      </c>
      <c r="U716" s="43">
        <v>90</v>
      </c>
      <c r="V716" s="44">
        <v>98</v>
      </c>
      <c r="W716" s="45">
        <f t="shared" si="177"/>
        <v>600</v>
      </c>
      <c r="X716" s="19">
        <f t="shared" si="178"/>
        <v>100</v>
      </c>
      <c r="Y716" s="3">
        <v>92</v>
      </c>
      <c r="Z716" s="4">
        <v>105</v>
      </c>
      <c r="AA716" s="5">
        <v>90</v>
      </c>
      <c r="AB716" s="6">
        <v>125</v>
      </c>
      <c r="AC716" s="7">
        <v>90</v>
      </c>
      <c r="AD716" s="8">
        <v>98</v>
      </c>
      <c r="AE716" s="1">
        <v>600</v>
      </c>
      <c r="AF716" s="19">
        <v>100</v>
      </c>
      <c r="AG716" s="139">
        <v>92</v>
      </c>
      <c r="AH716" s="140">
        <v>105</v>
      </c>
      <c r="AI716" s="141">
        <v>90</v>
      </c>
      <c r="AJ716" s="142">
        <v>125</v>
      </c>
      <c r="AK716" s="143">
        <v>90</v>
      </c>
      <c r="AL716" s="144">
        <v>98</v>
      </c>
      <c r="AM716" s="138">
        <v>600</v>
      </c>
      <c r="AN716" s="165">
        <v>100</v>
      </c>
      <c r="AV716" s="174"/>
      <c r="AW716" s="45"/>
      <c r="AX716" s="174" t="b">
        <f>IF('Refined Compare'!$D$2="All",TRUE,IF(F716='Refined Compare'!$D$2,TRUE,IF(G716='Refined Compare'!$D$2,TRUE,FALSE)))</f>
        <v>1</v>
      </c>
      <c r="AY716" s="174" t="b">
        <f>IF('Refined Compare'!$D$3="All",TRUE,IF(F716='Refined Compare'!$D$3,TRUE,IF(G716='Refined Compare'!$D$3,TRUE,FALSE)))</f>
        <v>0</v>
      </c>
      <c r="AZ716" s="174" t="b">
        <f t="shared" si="187"/>
        <v>0</v>
      </c>
    </row>
    <row r="717" spans="1:52" x14ac:dyDescent="0.35">
      <c r="A717">
        <f t="shared" si="176"/>
        <v>716</v>
      </c>
      <c r="B717" s="18">
        <v>636</v>
      </c>
      <c r="C717" s="61">
        <v>5</v>
      </c>
      <c r="D717" s="61" t="b">
        <v>0</v>
      </c>
      <c r="E717" s="61"/>
      <c r="F717" s="66" t="s">
        <v>811</v>
      </c>
      <c r="G717" s="66" t="s">
        <v>808</v>
      </c>
      <c r="H717" s="38" t="s">
        <v>350</v>
      </c>
      <c r="I717" s="39">
        <f t="shared" si="179"/>
        <v>55</v>
      </c>
      <c r="J717" s="40">
        <f t="shared" si="180"/>
        <v>85</v>
      </c>
      <c r="K717" s="41">
        <f t="shared" si="181"/>
        <v>55</v>
      </c>
      <c r="L717" s="42">
        <f t="shared" si="182"/>
        <v>50</v>
      </c>
      <c r="M717" s="43">
        <f t="shared" si="183"/>
        <v>55</v>
      </c>
      <c r="N717" s="44">
        <f t="shared" si="184"/>
        <v>60</v>
      </c>
      <c r="O717" s="45">
        <f t="shared" si="185"/>
        <v>360</v>
      </c>
      <c r="P717" s="19">
        <f t="shared" si="186"/>
        <v>60</v>
      </c>
      <c r="Q717" s="177">
        <v>55</v>
      </c>
      <c r="R717" s="40">
        <v>85</v>
      </c>
      <c r="S717" s="41">
        <v>55</v>
      </c>
      <c r="T717" s="42">
        <v>50</v>
      </c>
      <c r="U717" s="43">
        <v>55</v>
      </c>
      <c r="V717" s="44">
        <v>60</v>
      </c>
      <c r="W717" s="45">
        <f t="shared" si="177"/>
        <v>360</v>
      </c>
      <c r="X717" s="19">
        <f t="shared" si="178"/>
        <v>60</v>
      </c>
      <c r="Y717" s="3">
        <v>55</v>
      </c>
      <c r="Z717" s="4">
        <v>85</v>
      </c>
      <c r="AA717" s="5">
        <v>55</v>
      </c>
      <c r="AB717" s="6">
        <v>50</v>
      </c>
      <c r="AC717" s="7">
        <v>55</v>
      </c>
      <c r="AD717" s="8">
        <v>60</v>
      </c>
      <c r="AE717" s="1">
        <v>360</v>
      </c>
      <c r="AF717" s="19">
        <v>60</v>
      </c>
      <c r="AG717" s="139">
        <v>55</v>
      </c>
      <c r="AH717" s="140">
        <v>85</v>
      </c>
      <c r="AI717" s="141">
        <v>55</v>
      </c>
      <c r="AJ717" s="142">
        <v>50</v>
      </c>
      <c r="AK717" s="143">
        <v>55</v>
      </c>
      <c r="AL717" s="144">
        <v>60</v>
      </c>
      <c r="AM717" s="138">
        <v>360</v>
      </c>
      <c r="AN717" s="165">
        <v>60</v>
      </c>
      <c r="AV717" s="174"/>
      <c r="AW717" s="45"/>
      <c r="AX717" s="174" t="b">
        <f>IF('Refined Compare'!$D$2="All",TRUE,IF(F717='Refined Compare'!$D$2,TRUE,IF(G717='Refined Compare'!$D$2,TRUE,FALSE)))</f>
        <v>0</v>
      </c>
      <c r="AY717" s="174" t="b">
        <f>IF('Refined Compare'!$D$3="All",TRUE,IF(F717='Refined Compare'!$D$3,TRUE,IF(G717='Refined Compare'!$D$3,TRUE,FALSE)))</f>
        <v>0</v>
      </c>
      <c r="AZ717" s="174" t="b">
        <f t="shared" si="187"/>
        <v>0</v>
      </c>
    </row>
    <row r="718" spans="1:52" x14ac:dyDescent="0.35">
      <c r="A718">
        <f t="shared" si="176"/>
        <v>717</v>
      </c>
      <c r="B718" s="18">
        <v>637</v>
      </c>
      <c r="C718" s="61">
        <v>5</v>
      </c>
      <c r="D718" s="118" t="b">
        <v>1</v>
      </c>
      <c r="E718" s="61"/>
      <c r="F718" s="66" t="s">
        <v>811</v>
      </c>
      <c r="G718" s="66" t="s">
        <v>808</v>
      </c>
      <c r="H718" s="38" t="s">
        <v>682</v>
      </c>
      <c r="I718" s="39">
        <f t="shared" si="179"/>
        <v>85</v>
      </c>
      <c r="J718" s="40">
        <f t="shared" si="180"/>
        <v>60</v>
      </c>
      <c r="K718" s="41">
        <f t="shared" si="181"/>
        <v>65</v>
      </c>
      <c r="L718" s="42">
        <f t="shared" si="182"/>
        <v>135</v>
      </c>
      <c r="M718" s="43">
        <f t="shared" si="183"/>
        <v>105</v>
      </c>
      <c r="N718" s="44">
        <f t="shared" si="184"/>
        <v>100</v>
      </c>
      <c r="O718" s="45">
        <f t="shared" si="185"/>
        <v>550</v>
      </c>
      <c r="P718" s="19">
        <f t="shared" si="186"/>
        <v>91.67</v>
      </c>
      <c r="Q718" s="177">
        <v>85</v>
      </c>
      <c r="R718" s="40">
        <v>60</v>
      </c>
      <c r="S718" s="41">
        <v>65</v>
      </c>
      <c r="T718" s="42">
        <v>135</v>
      </c>
      <c r="U718" s="43">
        <v>105</v>
      </c>
      <c r="V718" s="44">
        <v>100</v>
      </c>
      <c r="W718" s="45">
        <f t="shared" si="177"/>
        <v>550</v>
      </c>
      <c r="X718" s="19">
        <f t="shared" si="178"/>
        <v>91.67</v>
      </c>
      <c r="Y718" s="3">
        <v>85</v>
      </c>
      <c r="Z718" s="4">
        <v>60</v>
      </c>
      <c r="AA718" s="5">
        <v>65</v>
      </c>
      <c r="AB718" s="6">
        <v>135</v>
      </c>
      <c r="AC718" s="7">
        <v>105</v>
      </c>
      <c r="AD718" s="8">
        <v>100</v>
      </c>
      <c r="AE718" s="1">
        <v>550</v>
      </c>
      <c r="AF718" s="19">
        <v>91.67</v>
      </c>
      <c r="AG718" s="139">
        <v>85</v>
      </c>
      <c r="AH718" s="140">
        <v>60</v>
      </c>
      <c r="AI718" s="141">
        <v>65</v>
      </c>
      <c r="AJ718" s="142">
        <v>135</v>
      </c>
      <c r="AK718" s="143">
        <v>105</v>
      </c>
      <c r="AL718" s="144">
        <v>100</v>
      </c>
      <c r="AM718" s="138">
        <v>550</v>
      </c>
      <c r="AN718" s="165">
        <v>91.67</v>
      </c>
      <c r="AV718" s="174"/>
      <c r="AW718" s="45"/>
      <c r="AX718" s="174" t="b">
        <f>IF('Refined Compare'!$D$2="All",TRUE,IF(F718='Refined Compare'!$D$2,TRUE,IF(G718='Refined Compare'!$D$2,TRUE,FALSE)))</f>
        <v>0</v>
      </c>
      <c r="AY718" s="174" t="b">
        <f>IF('Refined Compare'!$D$3="All",TRUE,IF(F718='Refined Compare'!$D$3,TRUE,IF(G718='Refined Compare'!$D$3,TRUE,FALSE)))</f>
        <v>0</v>
      </c>
      <c r="AZ718" s="174" t="b">
        <f t="shared" si="187"/>
        <v>0</v>
      </c>
    </row>
    <row r="719" spans="1:52" x14ac:dyDescent="0.35">
      <c r="A719">
        <f t="shared" ref="A719:A782" si="188">A718+1</f>
        <v>718</v>
      </c>
      <c r="B719" s="18">
        <v>638</v>
      </c>
      <c r="C719" s="61">
        <v>5</v>
      </c>
      <c r="D719" s="118" t="b">
        <v>1</v>
      </c>
      <c r="E719" s="61"/>
      <c r="F719" s="66" t="s">
        <v>819</v>
      </c>
      <c r="G719" s="66" t="s">
        <v>816</v>
      </c>
      <c r="H719" s="38" t="s">
        <v>709</v>
      </c>
      <c r="I719" s="39">
        <f t="shared" si="179"/>
        <v>91</v>
      </c>
      <c r="J719" s="40">
        <f t="shared" si="180"/>
        <v>90</v>
      </c>
      <c r="K719" s="41">
        <f t="shared" si="181"/>
        <v>129</v>
      </c>
      <c r="L719" s="42">
        <f t="shared" si="182"/>
        <v>90</v>
      </c>
      <c r="M719" s="43">
        <f t="shared" si="183"/>
        <v>72</v>
      </c>
      <c r="N719" s="44">
        <f t="shared" si="184"/>
        <v>108</v>
      </c>
      <c r="O719" s="45">
        <f t="shared" si="185"/>
        <v>580</v>
      </c>
      <c r="P719" s="19">
        <f t="shared" si="186"/>
        <v>96.67</v>
      </c>
      <c r="Q719" s="177">
        <v>91</v>
      </c>
      <c r="R719" s="40">
        <v>90</v>
      </c>
      <c r="S719" s="41">
        <v>129</v>
      </c>
      <c r="T719" s="42">
        <v>90</v>
      </c>
      <c r="U719" s="43">
        <v>72</v>
      </c>
      <c r="V719" s="44">
        <v>108</v>
      </c>
      <c r="W719" s="45">
        <f t="shared" si="177"/>
        <v>580</v>
      </c>
      <c r="X719" s="19">
        <f t="shared" si="178"/>
        <v>96.67</v>
      </c>
      <c r="Y719" s="3">
        <v>91</v>
      </c>
      <c r="Z719" s="4">
        <v>90</v>
      </c>
      <c r="AA719" s="5">
        <v>129</v>
      </c>
      <c r="AB719" s="6">
        <v>90</v>
      </c>
      <c r="AC719" s="7">
        <v>72</v>
      </c>
      <c r="AD719" s="8">
        <v>108</v>
      </c>
      <c r="AE719" s="1">
        <v>580</v>
      </c>
      <c r="AF719" s="19">
        <v>96.67</v>
      </c>
      <c r="AG719" s="139">
        <v>91</v>
      </c>
      <c r="AH719" s="140">
        <v>90</v>
      </c>
      <c r="AI719" s="141">
        <v>129</v>
      </c>
      <c r="AJ719" s="142">
        <v>90</v>
      </c>
      <c r="AK719" s="143">
        <v>72</v>
      </c>
      <c r="AL719" s="144">
        <v>108</v>
      </c>
      <c r="AM719" s="138">
        <v>580</v>
      </c>
      <c r="AN719" s="165">
        <v>96.67</v>
      </c>
      <c r="AV719" s="174"/>
      <c r="AW719" s="45"/>
      <c r="AX719" s="174" t="b">
        <f>IF('Refined Compare'!$D$2="All",TRUE,IF(F719='Refined Compare'!$D$2,TRUE,IF(G719='Refined Compare'!$D$2,TRUE,FALSE)))</f>
        <v>0</v>
      </c>
      <c r="AY719" s="174" t="b">
        <f>IF('Refined Compare'!$D$3="All",TRUE,IF(F719='Refined Compare'!$D$3,TRUE,IF(G719='Refined Compare'!$D$3,TRUE,FALSE)))</f>
        <v>0</v>
      </c>
      <c r="AZ719" s="174" t="b">
        <f t="shared" si="187"/>
        <v>0</v>
      </c>
    </row>
    <row r="720" spans="1:52" x14ac:dyDescent="0.35">
      <c r="A720">
        <f t="shared" si="188"/>
        <v>719</v>
      </c>
      <c r="B720" s="18">
        <v>639</v>
      </c>
      <c r="C720" s="61">
        <v>5</v>
      </c>
      <c r="D720" s="118" t="b">
        <v>1</v>
      </c>
      <c r="E720" s="61"/>
      <c r="F720" s="66" t="s">
        <v>818</v>
      </c>
      <c r="G720" s="66" t="s">
        <v>816</v>
      </c>
      <c r="H720" s="38" t="s">
        <v>710</v>
      </c>
      <c r="I720" s="39">
        <f t="shared" si="179"/>
        <v>91</v>
      </c>
      <c r="J720" s="40">
        <f t="shared" si="180"/>
        <v>129</v>
      </c>
      <c r="K720" s="41">
        <f t="shared" si="181"/>
        <v>90</v>
      </c>
      <c r="L720" s="42">
        <f t="shared" si="182"/>
        <v>72</v>
      </c>
      <c r="M720" s="43">
        <f t="shared" si="183"/>
        <v>90</v>
      </c>
      <c r="N720" s="44">
        <f t="shared" si="184"/>
        <v>108</v>
      </c>
      <c r="O720" s="45">
        <f t="shared" si="185"/>
        <v>580</v>
      </c>
      <c r="P720" s="19">
        <f t="shared" si="186"/>
        <v>96.67</v>
      </c>
      <c r="Q720" s="177">
        <v>91</v>
      </c>
      <c r="R720" s="40">
        <v>129</v>
      </c>
      <c r="S720" s="41">
        <v>90</v>
      </c>
      <c r="T720" s="42">
        <v>72</v>
      </c>
      <c r="U720" s="43">
        <v>90</v>
      </c>
      <c r="V720" s="44">
        <v>108</v>
      </c>
      <c r="W720" s="45">
        <f t="shared" si="177"/>
        <v>580</v>
      </c>
      <c r="X720" s="19">
        <f t="shared" si="178"/>
        <v>96.67</v>
      </c>
      <c r="Y720" s="3">
        <v>91</v>
      </c>
      <c r="Z720" s="4">
        <v>129</v>
      </c>
      <c r="AA720" s="5">
        <v>90</v>
      </c>
      <c r="AB720" s="6">
        <v>72</v>
      </c>
      <c r="AC720" s="7">
        <v>90</v>
      </c>
      <c r="AD720" s="8">
        <v>108</v>
      </c>
      <c r="AE720" s="1">
        <v>580</v>
      </c>
      <c r="AF720" s="19">
        <v>96.67</v>
      </c>
      <c r="AG720" s="139">
        <v>91</v>
      </c>
      <c r="AH720" s="140">
        <v>129</v>
      </c>
      <c r="AI720" s="141">
        <v>90</v>
      </c>
      <c r="AJ720" s="142">
        <v>72</v>
      </c>
      <c r="AK720" s="143">
        <v>90</v>
      </c>
      <c r="AL720" s="144">
        <v>108</v>
      </c>
      <c r="AM720" s="138">
        <v>580</v>
      </c>
      <c r="AN720" s="165">
        <v>96.67</v>
      </c>
      <c r="AV720" s="174"/>
      <c r="AW720" s="45"/>
      <c r="AX720" s="174" t="b">
        <f>IF('Refined Compare'!$D$2="All",TRUE,IF(F720='Refined Compare'!$D$2,TRUE,IF(G720='Refined Compare'!$D$2,TRUE,FALSE)))</f>
        <v>0</v>
      </c>
      <c r="AY720" s="174" t="b">
        <f>IF('Refined Compare'!$D$3="All",TRUE,IF(F720='Refined Compare'!$D$3,TRUE,IF(G720='Refined Compare'!$D$3,TRUE,FALSE)))</f>
        <v>0</v>
      </c>
      <c r="AZ720" s="174" t="b">
        <f t="shared" si="187"/>
        <v>0</v>
      </c>
    </row>
    <row r="721" spans="1:52" x14ac:dyDescent="0.35">
      <c r="A721">
        <f t="shared" si="188"/>
        <v>720</v>
      </c>
      <c r="B721" s="18">
        <v>640</v>
      </c>
      <c r="C721" s="61">
        <v>5</v>
      </c>
      <c r="D721" s="118" t="b">
        <v>1</v>
      </c>
      <c r="E721" s="61"/>
      <c r="F721" s="66" t="s">
        <v>806</v>
      </c>
      <c r="G721" s="66" t="s">
        <v>816</v>
      </c>
      <c r="H721" s="38" t="s">
        <v>711</v>
      </c>
      <c r="I721" s="39">
        <f t="shared" si="179"/>
        <v>91</v>
      </c>
      <c r="J721" s="40">
        <f t="shared" si="180"/>
        <v>90</v>
      </c>
      <c r="K721" s="41">
        <f t="shared" si="181"/>
        <v>72</v>
      </c>
      <c r="L721" s="42">
        <f t="shared" si="182"/>
        <v>90</v>
      </c>
      <c r="M721" s="43">
        <f t="shared" si="183"/>
        <v>129</v>
      </c>
      <c r="N721" s="44">
        <f t="shared" si="184"/>
        <v>108</v>
      </c>
      <c r="O721" s="45">
        <f t="shared" si="185"/>
        <v>580</v>
      </c>
      <c r="P721" s="19">
        <f t="shared" si="186"/>
        <v>96.67</v>
      </c>
      <c r="Q721" s="177">
        <v>91</v>
      </c>
      <c r="R721" s="40">
        <v>90</v>
      </c>
      <c r="S721" s="41">
        <v>72</v>
      </c>
      <c r="T721" s="42">
        <v>90</v>
      </c>
      <c r="U721" s="43">
        <v>129</v>
      </c>
      <c r="V721" s="44">
        <v>108</v>
      </c>
      <c r="W721" s="45">
        <f t="shared" si="177"/>
        <v>580</v>
      </c>
      <c r="X721" s="19">
        <f t="shared" si="178"/>
        <v>96.67</v>
      </c>
      <c r="Y721" s="3">
        <v>91</v>
      </c>
      <c r="Z721" s="4">
        <v>90</v>
      </c>
      <c r="AA721" s="5">
        <v>72</v>
      </c>
      <c r="AB721" s="6">
        <v>90</v>
      </c>
      <c r="AC721" s="7">
        <v>129</v>
      </c>
      <c r="AD721" s="8">
        <v>108</v>
      </c>
      <c r="AE721" s="1">
        <v>580</v>
      </c>
      <c r="AF721" s="19">
        <v>96.67</v>
      </c>
      <c r="AG721" s="139">
        <v>91</v>
      </c>
      <c r="AH721" s="140">
        <v>90</v>
      </c>
      <c r="AI721" s="141">
        <v>72</v>
      </c>
      <c r="AJ721" s="142">
        <v>90</v>
      </c>
      <c r="AK721" s="143">
        <v>129</v>
      </c>
      <c r="AL721" s="144">
        <v>108</v>
      </c>
      <c r="AM721" s="138">
        <v>580</v>
      </c>
      <c r="AN721" s="165">
        <v>96.67</v>
      </c>
      <c r="AV721" s="174"/>
      <c r="AW721" s="45"/>
      <c r="AX721" s="174" t="b">
        <f>IF('Refined Compare'!$D$2="All",TRUE,IF(F721='Refined Compare'!$D$2,TRUE,IF(G721='Refined Compare'!$D$2,TRUE,FALSE)))</f>
        <v>0</v>
      </c>
      <c r="AY721" s="174" t="b">
        <f>IF('Refined Compare'!$D$3="All",TRUE,IF(F721='Refined Compare'!$D$3,TRUE,IF(G721='Refined Compare'!$D$3,TRUE,FALSE)))</f>
        <v>0</v>
      </c>
      <c r="AZ721" s="174" t="b">
        <f t="shared" si="187"/>
        <v>0</v>
      </c>
    </row>
    <row r="722" spans="1:52" x14ac:dyDescent="0.35">
      <c r="A722">
        <f t="shared" si="188"/>
        <v>721</v>
      </c>
      <c r="B722" s="18">
        <v>641</v>
      </c>
      <c r="C722" s="61">
        <v>5</v>
      </c>
      <c r="D722" s="118" t="b">
        <v>1</v>
      </c>
      <c r="E722" s="61"/>
      <c r="F722" s="66" t="s">
        <v>809</v>
      </c>
      <c r="G722" s="66" t="s">
        <v>827</v>
      </c>
      <c r="H722" s="38" t="s">
        <v>824</v>
      </c>
      <c r="I722" s="39">
        <f t="shared" si="179"/>
        <v>79</v>
      </c>
      <c r="J722" s="40">
        <f t="shared" si="180"/>
        <v>115</v>
      </c>
      <c r="K722" s="41">
        <f t="shared" si="181"/>
        <v>70</v>
      </c>
      <c r="L722" s="42">
        <f t="shared" si="182"/>
        <v>125</v>
      </c>
      <c r="M722" s="43">
        <f t="shared" si="183"/>
        <v>80</v>
      </c>
      <c r="N722" s="44">
        <f t="shared" si="184"/>
        <v>111</v>
      </c>
      <c r="O722" s="45">
        <f t="shared" si="185"/>
        <v>580</v>
      </c>
      <c r="P722" s="19">
        <f t="shared" si="186"/>
        <v>96.67</v>
      </c>
      <c r="Q722" s="177">
        <v>79</v>
      </c>
      <c r="R722" s="40">
        <v>115</v>
      </c>
      <c r="S722" s="41">
        <v>70</v>
      </c>
      <c r="T722" s="42">
        <v>125</v>
      </c>
      <c r="U722" s="43">
        <v>80</v>
      </c>
      <c r="V722" s="44">
        <v>111</v>
      </c>
      <c r="W722" s="45">
        <f t="shared" si="177"/>
        <v>580</v>
      </c>
      <c r="X722" s="19">
        <f t="shared" si="178"/>
        <v>96.67</v>
      </c>
      <c r="Y722" s="3">
        <v>79</v>
      </c>
      <c r="Z722" s="4">
        <v>115</v>
      </c>
      <c r="AA722" s="5">
        <v>70</v>
      </c>
      <c r="AB722" s="6">
        <v>125</v>
      </c>
      <c r="AC722" s="7">
        <v>80</v>
      </c>
      <c r="AD722" s="8">
        <v>111</v>
      </c>
      <c r="AE722" s="1">
        <v>580</v>
      </c>
      <c r="AF722" s="19">
        <v>96.67</v>
      </c>
      <c r="AG722" s="139">
        <v>79</v>
      </c>
      <c r="AH722" s="140">
        <v>115</v>
      </c>
      <c r="AI722" s="141">
        <v>70</v>
      </c>
      <c r="AJ722" s="142">
        <v>125</v>
      </c>
      <c r="AK722" s="143">
        <v>80</v>
      </c>
      <c r="AL722" s="144">
        <v>111</v>
      </c>
      <c r="AM722" s="138">
        <v>580</v>
      </c>
      <c r="AN722" s="165">
        <v>96.67</v>
      </c>
      <c r="AV722" s="174"/>
      <c r="AW722" s="45"/>
      <c r="AX722" s="174" t="b">
        <f>IF('Refined Compare'!$D$2="All",TRUE,IF(F722='Refined Compare'!$D$2,TRUE,IF(G722='Refined Compare'!$D$2,TRUE,FALSE)))</f>
        <v>0</v>
      </c>
      <c r="AY722" s="174" t="b">
        <f>IF('Refined Compare'!$D$3="All",TRUE,IF(F722='Refined Compare'!$D$3,TRUE,IF(G722='Refined Compare'!$D$3,TRUE,FALSE)))</f>
        <v>1</v>
      </c>
      <c r="AZ722" s="174" t="b">
        <f t="shared" si="187"/>
        <v>0</v>
      </c>
    </row>
    <row r="723" spans="1:52" x14ac:dyDescent="0.35">
      <c r="A723">
        <f t="shared" si="188"/>
        <v>722</v>
      </c>
      <c r="B723" s="18">
        <v>641</v>
      </c>
      <c r="C723" s="61">
        <v>5</v>
      </c>
      <c r="D723" s="118" t="b">
        <v>1</v>
      </c>
      <c r="E723" s="61"/>
      <c r="F723" s="66" t="s">
        <v>809</v>
      </c>
      <c r="G723" s="66" t="s">
        <v>827</v>
      </c>
      <c r="H723" s="38" t="s">
        <v>754</v>
      </c>
      <c r="I723" s="39">
        <f t="shared" si="179"/>
        <v>79</v>
      </c>
      <c r="J723" s="40">
        <f t="shared" si="180"/>
        <v>100</v>
      </c>
      <c r="K723" s="41">
        <f t="shared" si="181"/>
        <v>80</v>
      </c>
      <c r="L723" s="42">
        <f t="shared" si="182"/>
        <v>110</v>
      </c>
      <c r="M723" s="43">
        <f t="shared" si="183"/>
        <v>90</v>
      </c>
      <c r="N723" s="44">
        <f t="shared" si="184"/>
        <v>121</v>
      </c>
      <c r="O723" s="45">
        <f t="shared" si="185"/>
        <v>580</v>
      </c>
      <c r="P723" s="19">
        <f t="shared" si="186"/>
        <v>96.67</v>
      </c>
      <c r="Q723" s="177">
        <v>79</v>
      </c>
      <c r="R723" s="40">
        <v>100</v>
      </c>
      <c r="S723" s="41">
        <v>80</v>
      </c>
      <c r="T723" s="42">
        <v>110</v>
      </c>
      <c r="U723" s="43">
        <v>90</v>
      </c>
      <c r="V723" s="44">
        <v>121</v>
      </c>
      <c r="W723" s="45">
        <f t="shared" si="177"/>
        <v>580</v>
      </c>
      <c r="X723" s="19">
        <f t="shared" si="178"/>
        <v>96.67</v>
      </c>
      <c r="Y723" s="3">
        <v>79</v>
      </c>
      <c r="Z723" s="4">
        <v>100</v>
      </c>
      <c r="AA723" s="5">
        <v>80</v>
      </c>
      <c r="AB723" s="6">
        <v>110</v>
      </c>
      <c r="AC723" s="7">
        <v>90</v>
      </c>
      <c r="AD723" s="8">
        <v>121</v>
      </c>
      <c r="AE723" s="1">
        <v>580</v>
      </c>
      <c r="AF723" s="19">
        <v>96.67</v>
      </c>
      <c r="AG723" s="139">
        <v>79</v>
      </c>
      <c r="AH723" s="140">
        <v>100</v>
      </c>
      <c r="AI723" s="141">
        <v>80</v>
      </c>
      <c r="AJ723" s="142">
        <v>110</v>
      </c>
      <c r="AK723" s="143">
        <v>90</v>
      </c>
      <c r="AL723" s="144">
        <v>121</v>
      </c>
      <c r="AM723" s="138">
        <v>580</v>
      </c>
      <c r="AN723" s="165">
        <v>96.67</v>
      </c>
      <c r="AV723" s="174"/>
      <c r="AW723" s="45"/>
      <c r="AX723" s="174" t="b">
        <f>IF('Refined Compare'!$D$2="All",TRUE,IF(F723='Refined Compare'!$D$2,TRUE,IF(G723='Refined Compare'!$D$2,TRUE,FALSE)))</f>
        <v>0</v>
      </c>
      <c r="AY723" s="174" t="b">
        <f>IF('Refined Compare'!$D$3="All",TRUE,IF(F723='Refined Compare'!$D$3,TRUE,IF(G723='Refined Compare'!$D$3,TRUE,FALSE)))</f>
        <v>1</v>
      </c>
      <c r="AZ723" s="174" t="b">
        <f t="shared" si="187"/>
        <v>0</v>
      </c>
    </row>
    <row r="724" spans="1:52" x14ac:dyDescent="0.35">
      <c r="A724">
        <f t="shared" si="188"/>
        <v>723</v>
      </c>
      <c r="B724" s="18">
        <v>642</v>
      </c>
      <c r="C724" s="61">
        <v>5</v>
      </c>
      <c r="D724" s="118" t="b">
        <v>1</v>
      </c>
      <c r="E724" s="61"/>
      <c r="F724" s="66" t="s">
        <v>813</v>
      </c>
      <c r="G724" s="66" t="s">
        <v>809</v>
      </c>
      <c r="H724" s="38" t="s">
        <v>825</v>
      </c>
      <c r="I724" s="39">
        <f t="shared" si="179"/>
        <v>79</v>
      </c>
      <c r="J724" s="40">
        <f t="shared" si="180"/>
        <v>105</v>
      </c>
      <c r="K724" s="41">
        <f t="shared" si="181"/>
        <v>70</v>
      </c>
      <c r="L724" s="42">
        <f t="shared" si="182"/>
        <v>145</v>
      </c>
      <c r="M724" s="43">
        <f t="shared" si="183"/>
        <v>80</v>
      </c>
      <c r="N724" s="44">
        <f t="shared" si="184"/>
        <v>101</v>
      </c>
      <c r="O724" s="45">
        <f t="shared" si="185"/>
        <v>580</v>
      </c>
      <c r="P724" s="19">
        <f t="shared" si="186"/>
        <v>96.67</v>
      </c>
      <c r="Q724" s="177">
        <v>79</v>
      </c>
      <c r="R724" s="40">
        <v>115</v>
      </c>
      <c r="S724" s="41">
        <v>70</v>
      </c>
      <c r="T724" s="42">
        <v>125</v>
      </c>
      <c r="U724" s="43">
        <v>80</v>
      </c>
      <c r="V724" s="44">
        <v>111</v>
      </c>
      <c r="W724" s="45">
        <f t="shared" si="177"/>
        <v>580</v>
      </c>
      <c r="X724" s="19">
        <f t="shared" si="178"/>
        <v>96.67</v>
      </c>
      <c r="Y724" s="3">
        <v>79</v>
      </c>
      <c r="Z724" s="4">
        <v>105</v>
      </c>
      <c r="AA724" s="5">
        <v>70</v>
      </c>
      <c r="AB724" s="6">
        <v>145</v>
      </c>
      <c r="AC724" s="7">
        <v>80</v>
      </c>
      <c r="AD724" s="8">
        <v>101</v>
      </c>
      <c r="AE724" s="1">
        <v>580</v>
      </c>
      <c r="AF724" s="19">
        <v>96.67</v>
      </c>
      <c r="AG724" s="139">
        <v>79</v>
      </c>
      <c r="AH724" s="140">
        <v>105</v>
      </c>
      <c r="AI724" s="141">
        <v>70</v>
      </c>
      <c r="AJ724" s="142">
        <v>145</v>
      </c>
      <c r="AK724" s="143">
        <v>80</v>
      </c>
      <c r="AL724" s="144">
        <v>101</v>
      </c>
      <c r="AM724" s="138">
        <v>580</v>
      </c>
      <c r="AN724" s="165">
        <v>96.67</v>
      </c>
      <c r="AV724" s="174"/>
      <c r="AW724" s="45"/>
      <c r="AX724" s="174" t="b">
        <f>IF('Refined Compare'!$D$2="All",TRUE,IF(F724='Refined Compare'!$D$2,TRUE,IF(G724='Refined Compare'!$D$2,TRUE,FALSE)))</f>
        <v>0</v>
      </c>
      <c r="AY724" s="174" t="b">
        <f>IF('Refined Compare'!$D$3="All",TRUE,IF(F724='Refined Compare'!$D$3,TRUE,IF(G724='Refined Compare'!$D$3,TRUE,FALSE)))</f>
        <v>0</v>
      </c>
      <c r="AZ724" s="174" t="b">
        <f t="shared" si="187"/>
        <v>0</v>
      </c>
    </row>
    <row r="725" spans="1:52" x14ac:dyDescent="0.35">
      <c r="A725">
        <f t="shared" si="188"/>
        <v>724</v>
      </c>
      <c r="B725" s="18">
        <v>642</v>
      </c>
      <c r="C725" s="61">
        <v>5</v>
      </c>
      <c r="D725" s="118" t="b">
        <v>1</v>
      </c>
      <c r="E725" s="61"/>
      <c r="F725" s="66" t="s">
        <v>813</v>
      </c>
      <c r="G725" s="66" t="s">
        <v>809</v>
      </c>
      <c r="H725" s="38" t="s">
        <v>826</v>
      </c>
      <c r="I725" s="39">
        <f t="shared" si="179"/>
        <v>79</v>
      </c>
      <c r="J725" s="40">
        <f t="shared" si="180"/>
        <v>115</v>
      </c>
      <c r="K725" s="41">
        <f t="shared" si="181"/>
        <v>70</v>
      </c>
      <c r="L725" s="42">
        <f t="shared" si="182"/>
        <v>125</v>
      </c>
      <c r="M725" s="43">
        <f t="shared" si="183"/>
        <v>80</v>
      </c>
      <c r="N725" s="44">
        <f t="shared" si="184"/>
        <v>111</v>
      </c>
      <c r="O725" s="45">
        <f t="shared" si="185"/>
        <v>580</v>
      </c>
      <c r="P725" s="19">
        <f t="shared" si="186"/>
        <v>96.67</v>
      </c>
      <c r="Q725" s="177">
        <v>79</v>
      </c>
      <c r="R725" s="40">
        <v>105</v>
      </c>
      <c r="S725" s="41">
        <v>70</v>
      </c>
      <c r="T725" s="42">
        <v>145</v>
      </c>
      <c r="U725" s="43">
        <v>80</v>
      </c>
      <c r="V725" s="44">
        <v>101</v>
      </c>
      <c r="W725" s="45">
        <f t="shared" ref="W725:W788" si="189">SUM(Q725:V725)</f>
        <v>580</v>
      </c>
      <c r="X725" s="19">
        <f t="shared" ref="X725:X788" si="190">ROUND(AVERAGE(Q725:V725),2)</f>
        <v>96.67</v>
      </c>
      <c r="Y725" s="3">
        <v>79</v>
      </c>
      <c r="Z725" s="4">
        <v>115</v>
      </c>
      <c r="AA725" s="5">
        <v>70</v>
      </c>
      <c r="AB725" s="6">
        <v>125</v>
      </c>
      <c r="AC725" s="7">
        <v>80</v>
      </c>
      <c r="AD725" s="8">
        <v>111</v>
      </c>
      <c r="AE725" s="1">
        <v>580</v>
      </c>
      <c r="AF725" s="19">
        <v>96.67</v>
      </c>
      <c r="AG725" s="139">
        <v>79</v>
      </c>
      <c r="AH725" s="140">
        <v>115</v>
      </c>
      <c r="AI725" s="141">
        <v>70</v>
      </c>
      <c r="AJ725" s="142">
        <v>125</v>
      </c>
      <c r="AK725" s="143">
        <v>80</v>
      </c>
      <c r="AL725" s="144">
        <v>111</v>
      </c>
      <c r="AM725" s="138">
        <v>580</v>
      </c>
      <c r="AN725" s="165">
        <v>96.67</v>
      </c>
      <c r="AV725" s="174"/>
      <c r="AW725" s="45"/>
      <c r="AX725" s="174" t="b">
        <f>IF('Refined Compare'!$D$2="All",TRUE,IF(F725='Refined Compare'!$D$2,TRUE,IF(G725='Refined Compare'!$D$2,TRUE,FALSE)))</f>
        <v>0</v>
      </c>
      <c r="AY725" s="174" t="b">
        <f>IF('Refined Compare'!$D$3="All",TRUE,IF(F725='Refined Compare'!$D$3,TRUE,IF(G725='Refined Compare'!$D$3,TRUE,FALSE)))</f>
        <v>0</v>
      </c>
      <c r="AZ725" s="174" t="b">
        <f t="shared" si="187"/>
        <v>0</v>
      </c>
    </row>
    <row r="726" spans="1:52" x14ac:dyDescent="0.35">
      <c r="A726">
        <f t="shared" si="188"/>
        <v>725</v>
      </c>
      <c r="B726" s="18">
        <v>643</v>
      </c>
      <c r="C726" s="61">
        <v>5</v>
      </c>
      <c r="D726" s="118" t="b">
        <v>1</v>
      </c>
      <c r="E726" s="61"/>
      <c r="F726" s="66" t="s">
        <v>822</v>
      </c>
      <c r="G726" s="66" t="s">
        <v>808</v>
      </c>
      <c r="H726" s="38" t="s">
        <v>602</v>
      </c>
      <c r="I726" s="39">
        <f t="shared" ref="I726:I789" si="191">IF($AW$2=7,Q726,IF($AW$2=6,Y726,IF($AW$2=1,AO726,AG726)))</f>
        <v>100</v>
      </c>
      <c r="J726" s="40">
        <f t="shared" ref="J726:J789" si="192">IF($AW$2=7,R726,IF($AW$2=6,Z726,IF($AW$2=1,AP726,AH726)))</f>
        <v>120</v>
      </c>
      <c r="K726" s="41">
        <f t="shared" ref="K726:K789" si="193">IF($AW$2=7,S726,IF($AW$2=6,AA726,IF($AW$2=1,AQ726,AI726)))</f>
        <v>100</v>
      </c>
      <c r="L726" s="42">
        <f t="shared" ref="L726:L789" si="194">IF($AW$2=7,T726,IF($AW$2=6,AB726,IF($AW$2=1,AR726,AJ726)))</f>
        <v>150</v>
      </c>
      <c r="M726" s="43">
        <f t="shared" ref="M726:M789" si="195">IF($AW$2=7,U726,IF($AW$2=6,AC726,IF($AW$2=1,AS726,AK726)))</f>
        <v>120</v>
      </c>
      <c r="N726" s="44">
        <f t="shared" ref="N726:N789" si="196">IF($AW$2=7,V726,IF($AW$2=6,AD726,IF($AW$2=1,AT726,AL726)))</f>
        <v>90</v>
      </c>
      <c r="O726" s="45">
        <f t="shared" ref="O726:O789" si="197">IF($AW$2=7,W726,IF($AW$2=6,AE726,IF($AW$2=1,AU726,AM726)))</f>
        <v>680</v>
      </c>
      <c r="P726" s="19">
        <f t="shared" ref="P726:P789" si="198">IF($AW$2=7,X726,IF($AW$2=6,AF726,IF($AW$2=1,AV726,AN726)))</f>
        <v>113.33</v>
      </c>
      <c r="Q726" s="177">
        <v>100</v>
      </c>
      <c r="R726" s="40">
        <v>120</v>
      </c>
      <c r="S726" s="41">
        <v>100</v>
      </c>
      <c r="T726" s="42">
        <v>150</v>
      </c>
      <c r="U726" s="43">
        <v>120</v>
      </c>
      <c r="V726" s="44">
        <v>90</v>
      </c>
      <c r="W726" s="45">
        <f t="shared" si="189"/>
        <v>680</v>
      </c>
      <c r="X726" s="19">
        <f t="shared" si="190"/>
        <v>113.33</v>
      </c>
      <c r="Y726" s="3">
        <v>100</v>
      </c>
      <c r="Z726" s="4">
        <v>120</v>
      </c>
      <c r="AA726" s="5">
        <v>100</v>
      </c>
      <c r="AB726" s="6">
        <v>150</v>
      </c>
      <c r="AC726" s="7">
        <v>120</v>
      </c>
      <c r="AD726" s="8">
        <v>90</v>
      </c>
      <c r="AE726" s="1">
        <v>680</v>
      </c>
      <c r="AF726" s="19">
        <v>113.33</v>
      </c>
      <c r="AG726" s="139">
        <v>100</v>
      </c>
      <c r="AH726" s="140">
        <v>120</v>
      </c>
      <c r="AI726" s="141">
        <v>100</v>
      </c>
      <c r="AJ726" s="142">
        <v>150</v>
      </c>
      <c r="AK726" s="143">
        <v>120</v>
      </c>
      <c r="AL726" s="144">
        <v>90</v>
      </c>
      <c r="AM726" s="138">
        <v>680</v>
      </c>
      <c r="AN726" s="165">
        <v>113.33</v>
      </c>
      <c r="AV726" s="174"/>
      <c r="AW726" s="45"/>
      <c r="AX726" s="174" t="b">
        <f>IF('Refined Compare'!$D$2="All",TRUE,IF(F726='Refined Compare'!$D$2,TRUE,IF(G726='Refined Compare'!$D$2,TRUE,FALSE)))</f>
        <v>0</v>
      </c>
      <c r="AY726" s="174" t="b">
        <f>IF('Refined Compare'!$D$3="All",TRUE,IF(F726='Refined Compare'!$D$3,TRUE,IF(G726='Refined Compare'!$D$3,TRUE,FALSE)))</f>
        <v>0</v>
      </c>
      <c r="AZ726" s="174" t="b">
        <f t="shared" si="187"/>
        <v>0</v>
      </c>
    </row>
    <row r="727" spans="1:52" x14ac:dyDescent="0.35">
      <c r="A727">
        <f t="shared" si="188"/>
        <v>726</v>
      </c>
      <c r="B727" s="18">
        <v>644</v>
      </c>
      <c r="C727" s="61">
        <v>5</v>
      </c>
      <c r="D727" s="118" t="b">
        <v>1</v>
      </c>
      <c r="E727" s="61"/>
      <c r="F727" s="66" t="s">
        <v>822</v>
      </c>
      <c r="G727" s="66" t="s">
        <v>813</v>
      </c>
      <c r="H727" s="38" t="s">
        <v>603</v>
      </c>
      <c r="I727" s="39">
        <f t="shared" si="191"/>
        <v>100</v>
      </c>
      <c r="J727" s="40">
        <f t="shared" si="192"/>
        <v>150</v>
      </c>
      <c r="K727" s="41">
        <f t="shared" si="193"/>
        <v>120</v>
      </c>
      <c r="L727" s="42">
        <f t="shared" si="194"/>
        <v>120</v>
      </c>
      <c r="M727" s="43">
        <f t="shared" si="195"/>
        <v>100</v>
      </c>
      <c r="N727" s="44">
        <f t="shared" si="196"/>
        <v>90</v>
      </c>
      <c r="O727" s="45">
        <f t="shared" si="197"/>
        <v>680</v>
      </c>
      <c r="P727" s="19">
        <f t="shared" si="198"/>
        <v>113.33</v>
      </c>
      <c r="Q727" s="177">
        <v>100</v>
      </c>
      <c r="R727" s="40">
        <v>150</v>
      </c>
      <c r="S727" s="41">
        <v>120</v>
      </c>
      <c r="T727" s="42">
        <v>120</v>
      </c>
      <c r="U727" s="43">
        <v>100</v>
      </c>
      <c r="V727" s="44">
        <v>90</v>
      </c>
      <c r="W727" s="45">
        <f t="shared" si="189"/>
        <v>680</v>
      </c>
      <c r="X727" s="19">
        <f t="shared" si="190"/>
        <v>113.33</v>
      </c>
      <c r="Y727" s="3">
        <v>100</v>
      </c>
      <c r="Z727" s="4">
        <v>150</v>
      </c>
      <c r="AA727" s="5">
        <v>120</v>
      </c>
      <c r="AB727" s="6">
        <v>120</v>
      </c>
      <c r="AC727" s="7">
        <v>100</v>
      </c>
      <c r="AD727" s="8">
        <v>90</v>
      </c>
      <c r="AE727" s="1">
        <v>680</v>
      </c>
      <c r="AF727" s="19">
        <v>113.33</v>
      </c>
      <c r="AG727" s="139">
        <v>100</v>
      </c>
      <c r="AH727" s="140">
        <v>150</v>
      </c>
      <c r="AI727" s="141">
        <v>120</v>
      </c>
      <c r="AJ727" s="142">
        <v>120</v>
      </c>
      <c r="AK727" s="143">
        <v>100</v>
      </c>
      <c r="AL727" s="144">
        <v>90</v>
      </c>
      <c r="AM727" s="138">
        <v>680</v>
      </c>
      <c r="AN727" s="165">
        <v>113.33</v>
      </c>
      <c r="AV727" s="174"/>
      <c r="AW727" s="45"/>
      <c r="AX727" s="174" t="b">
        <f>IF('Refined Compare'!$D$2="All",TRUE,IF(F727='Refined Compare'!$D$2,TRUE,IF(G727='Refined Compare'!$D$2,TRUE,FALSE)))</f>
        <v>0</v>
      </c>
      <c r="AY727" s="174" t="b">
        <f>IF('Refined Compare'!$D$3="All",TRUE,IF(F727='Refined Compare'!$D$3,TRUE,IF(G727='Refined Compare'!$D$3,TRUE,FALSE)))</f>
        <v>0</v>
      </c>
      <c r="AZ727" s="174" t="b">
        <f t="shared" si="187"/>
        <v>0</v>
      </c>
    </row>
    <row r="728" spans="1:52" x14ac:dyDescent="0.35">
      <c r="A728">
        <f t="shared" si="188"/>
        <v>727</v>
      </c>
      <c r="B728" s="18">
        <v>645</v>
      </c>
      <c r="C728" s="61">
        <v>5</v>
      </c>
      <c r="D728" s="118" t="b">
        <v>1</v>
      </c>
      <c r="E728" s="61"/>
      <c r="F728" s="66" t="s">
        <v>814</v>
      </c>
      <c r="G728" s="66" t="s">
        <v>809</v>
      </c>
      <c r="H728" s="38" t="s">
        <v>841</v>
      </c>
      <c r="I728" s="39">
        <f t="shared" si="191"/>
        <v>89</v>
      </c>
      <c r="J728" s="40">
        <f t="shared" si="192"/>
        <v>125</v>
      </c>
      <c r="K728" s="41">
        <f t="shared" si="193"/>
        <v>90</v>
      </c>
      <c r="L728" s="42">
        <f t="shared" si="194"/>
        <v>115</v>
      </c>
      <c r="M728" s="43">
        <f t="shared" si="195"/>
        <v>80</v>
      </c>
      <c r="N728" s="44">
        <f t="shared" si="196"/>
        <v>101</v>
      </c>
      <c r="O728" s="45">
        <f t="shared" si="197"/>
        <v>600</v>
      </c>
      <c r="P728" s="19">
        <f t="shared" si="198"/>
        <v>100</v>
      </c>
      <c r="Q728" s="177">
        <v>89</v>
      </c>
      <c r="R728" s="40">
        <v>125</v>
      </c>
      <c r="S728" s="41">
        <v>90</v>
      </c>
      <c r="T728" s="42">
        <v>115</v>
      </c>
      <c r="U728" s="43">
        <v>80</v>
      </c>
      <c r="V728" s="44">
        <v>101</v>
      </c>
      <c r="W728" s="45">
        <f t="shared" si="189"/>
        <v>600</v>
      </c>
      <c r="X728" s="19">
        <f t="shared" si="190"/>
        <v>100</v>
      </c>
      <c r="Y728" s="3">
        <v>89</v>
      </c>
      <c r="Z728" s="4">
        <v>125</v>
      </c>
      <c r="AA728" s="5">
        <v>90</v>
      </c>
      <c r="AB728" s="6">
        <v>115</v>
      </c>
      <c r="AC728" s="7">
        <v>80</v>
      </c>
      <c r="AD728" s="8">
        <v>101</v>
      </c>
      <c r="AE728" s="1">
        <v>600</v>
      </c>
      <c r="AF728" s="19">
        <v>100</v>
      </c>
      <c r="AG728" s="139">
        <v>89</v>
      </c>
      <c r="AH728" s="140">
        <v>125</v>
      </c>
      <c r="AI728" s="141">
        <v>90</v>
      </c>
      <c r="AJ728" s="142">
        <v>115</v>
      </c>
      <c r="AK728" s="143">
        <v>80</v>
      </c>
      <c r="AL728" s="144">
        <v>101</v>
      </c>
      <c r="AM728" s="138">
        <v>600</v>
      </c>
      <c r="AN728" s="165">
        <v>100</v>
      </c>
      <c r="AV728" s="174"/>
      <c r="AW728" s="45"/>
      <c r="AX728" s="174" t="b">
        <f>IF('Refined Compare'!$D$2="All",TRUE,IF(F728='Refined Compare'!$D$2,TRUE,IF(G728='Refined Compare'!$D$2,TRUE,FALSE)))</f>
        <v>0</v>
      </c>
      <c r="AY728" s="174" t="b">
        <f>IF('Refined Compare'!$D$3="All",TRUE,IF(F728='Refined Compare'!$D$3,TRUE,IF(G728='Refined Compare'!$D$3,TRUE,FALSE)))</f>
        <v>0</v>
      </c>
      <c r="AZ728" s="174" t="b">
        <f t="shared" si="187"/>
        <v>0</v>
      </c>
    </row>
    <row r="729" spans="1:52" x14ac:dyDescent="0.35">
      <c r="A729">
        <f t="shared" si="188"/>
        <v>728</v>
      </c>
      <c r="B729" s="18">
        <v>645</v>
      </c>
      <c r="C729" s="61">
        <v>5</v>
      </c>
      <c r="D729" s="118" t="b">
        <v>1</v>
      </c>
      <c r="E729" s="61"/>
      <c r="F729" s="66" t="s">
        <v>814</v>
      </c>
      <c r="G729" s="66" t="s">
        <v>809</v>
      </c>
      <c r="H729" s="38" t="s">
        <v>609</v>
      </c>
      <c r="I729" s="39">
        <f t="shared" si="191"/>
        <v>89</v>
      </c>
      <c r="J729" s="40">
        <f t="shared" si="192"/>
        <v>145</v>
      </c>
      <c r="K729" s="41">
        <f t="shared" si="193"/>
        <v>90</v>
      </c>
      <c r="L729" s="42">
        <f t="shared" si="194"/>
        <v>105</v>
      </c>
      <c r="M729" s="43">
        <f t="shared" si="195"/>
        <v>80</v>
      </c>
      <c r="N729" s="44">
        <f t="shared" si="196"/>
        <v>91</v>
      </c>
      <c r="O729" s="45">
        <f t="shared" si="197"/>
        <v>600</v>
      </c>
      <c r="P729" s="19">
        <f t="shared" si="198"/>
        <v>100</v>
      </c>
      <c r="Q729" s="177">
        <v>89</v>
      </c>
      <c r="R729" s="40">
        <v>145</v>
      </c>
      <c r="S729" s="41">
        <v>90</v>
      </c>
      <c r="T729" s="42">
        <v>105</v>
      </c>
      <c r="U729" s="43">
        <v>80</v>
      </c>
      <c r="V729" s="44">
        <v>91</v>
      </c>
      <c r="W729" s="45">
        <f t="shared" si="189"/>
        <v>600</v>
      </c>
      <c r="X729" s="19">
        <f t="shared" si="190"/>
        <v>100</v>
      </c>
      <c r="Y729" s="3">
        <v>89</v>
      </c>
      <c r="Z729" s="4">
        <v>145</v>
      </c>
      <c r="AA729" s="5">
        <v>90</v>
      </c>
      <c r="AB729" s="6">
        <v>105</v>
      </c>
      <c r="AC729" s="7">
        <v>80</v>
      </c>
      <c r="AD729" s="8">
        <v>91</v>
      </c>
      <c r="AE729" s="1">
        <v>600</v>
      </c>
      <c r="AF729" s="19">
        <v>100</v>
      </c>
      <c r="AG729" s="139">
        <v>89</v>
      </c>
      <c r="AH729" s="140">
        <v>145</v>
      </c>
      <c r="AI729" s="141">
        <v>90</v>
      </c>
      <c r="AJ729" s="142">
        <v>105</v>
      </c>
      <c r="AK729" s="143">
        <v>80</v>
      </c>
      <c r="AL729" s="144">
        <v>91</v>
      </c>
      <c r="AM729" s="138">
        <v>600</v>
      </c>
      <c r="AN729" s="165">
        <v>100</v>
      </c>
      <c r="AV729" s="174"/>
      <c r="AW729" s="45"/>
      <c r="AX729" s="174" t="b">
        <f>IF('Refined Compare'!$D$2="All",TRUE,IF(F729='Refined Compare'!$D$2,TRUE,IF(G729='Refined Compare'!$D$2,TRUE,FALSE)))</f>
        <v>0</v>
      </c>
      <c r="AY729" s="174" t="b">
        <f>IF('Refined Compare'!$D$3="All",TRUE,IF(F729='Refined Compare'!$D$3,TRUE,IF(G729='Refined Compare'!$D$3,TRUE,FALSE)))</f>
        <v>0</v>
      </c>
      <c r="AZ729" s="174" t="b">
        <f t="shared" si="187"/>
        <v>0</v>
      </c>
    </row>
    <row r="730" spans="1:52" x14ac:dyDescent="0.35">
      <c r="A730">
        <f t="shared" si="188"/>
        <v>729</v>
      </c>
      <c r="B730" s="18">
        <v>646</v>
      </c>
      <c r="C730" s="61">
        <v>5</v>
      </c>
      <c r="D730" s="118" t="b">
        <v>1</v>
      </c>
      <c r="E730" s="61"/>
      <c r="F730" s="66" t="s">
        <v>822</v>
      </c>
      <c r="G730" s="66" t="s">
        <v>820</v>
      </c>
      <c r="H730" s="38" t="s">
        <v>639</v>
      </c>
      <c r="I730" s="39">
        <f t="shared" si="191"/>
        <v>125</v>
      </c>
      <c r="J730" s="40">
        <f t="shared" si="192"/>
        <v>120</v>
      </c>
      <c r="K730" s="41">
        <f t="shared" si="193"/>
        <v>90</v>
      </c>
      <c r="L730" s="42">
        <f t="shared" si="194"/>
        <v>170</v>
      </c>
      <c r="M730" s="43">
        <f t="shared" si="195"/>
        <v>100</v>
      </c>
      <c r="N730" s="44">
        <f t="shared" si="196"/>
        <v>95</v>
      </c>
      <c r="O730" s="45">
        <f t="shared" si="197"/>
        <v>700</v>
      </c>
      <c r="P730" s="19">
        <f t="shared" si="198"/>
        <v>116.67</v>
      </c>
      <c r="Q730" s="177">
        <v>125</v>
      </c>
      <c r="R730" s="40">
        <v>120</v>
      </c>
      <c r="S730" s="41">
        <v>90</v>
      </c>
      <c r="T730" s="42">
        <v>170</v>
      </c>
      <c r="U730" s="43">
        <v>100</v>
      </c>
      <c r="V730" s="44">
        <v>95</v>
      </c>
      <c r="W730" s="45">
        <f t="shared" si="189"/>
        <v>700</v>
      </c>
      <c r="X730" s="19">
        <f t="shared" si="190"/>
        <v>116.67</v>
      </c>
      <c r="Y730" s="3">
        <v>125</v>
      </c>
      <c r="Z730" s="4">
        <v>120</v>
      </c>
      <c r="AA730" s="5">
        <v>90</v>
      </c>
      <c r="AB730" s="6">
        <v>170</v>
      </c>
      <c r="AC730" s="7">
        <v>100</v>
      </c>
      <c r="AD730" s="8">
        <v>95</v>
      </c>
      <c r="AE730" s="1">
        <v>700</v>
      </c>
      <c r="AF730" s="19">
        <v>116.67</v>
      </c>
      <c r="AG730" s="139">
        <v>125</v>
      </c>
      <c r="AH730" s="140">
        <v>120</v>
      </c>
      <c r="AI730" s="141">
        <v>90</v>
      </c>
      <c r="AJ730" s="142">
        <v>170</v>
      </c>
      <c r="AK730" s="143">
        <v>100</v>
      </c>
      <c r="AL730" s="144">
        <v>95</v>
      </c>
      <c r="AM730" s="138">
        <v>700</v>
      </c>
      <c r="AN730" s="165">
        <v>116.67</v>
      </c>
      <c r="AV730" s="174"/>
      <c r="AW730" s="45"/>
      <c r="AX730" s="174" t="b">
        <f>IF('Refined Compare'!$D$2="All",TRUE,IF(F730='Refined Compare'!$D$2,TRUE,IF(G730='Refined Compare'!$D$2,TRUE,FALSE)))</f>
        <v>0</v>
      </c>
      <c r="AY730" s="174" t="b">
        <f>IF('Refined Compare'!$D$3="All",TRUE,IF(F730='Refined Compare'!$D$3,TRUE,IF(G730='Refined Compare'!$D$3,TRUE,FALSE)))</f>
        <v>0</v>
      </c>
      <c r="AZ730" s="174" t="b">
        <f t="shared" si="187"/>
        <v>0</v>
      </c>
    </row>
    <row r="731" spans="1:52" x14ac:dyDescent="0.35">
      <c r="A731">
        <f t="shared" si="188"/>
        <v>730</v>
      </c>
      <c r="B731" s="18">
        <v>646</v>
      </c>
      <c r="C731" s="61">
        <v>5</v>
      </c>
      <c r="D731" s="118" t="b">
        <v>1</v>
      </c>
      <c r="E731" s="61"/>
      <c r="F731" s="66" t="s">
        <v>822</v>
      </c>
      <c r="G731" s="66" t="s">
        <v>820</v>
      </c>
      <c r="H731" s="38" t="s">
        <v>638</v>
      </c>
      <c r="I731" s="39">
        <f t="shared" si="191"/>
        <v>125</v>
      </c>
      <c r="J731" s="40">
        <f t="shared" si="192"/>
        <v>170</v>
      </c>
      <c r="K731" s="41">
        <f t="shared" si="193"/>
        <v>100</v>
      </c>
      <c r="L731" s="42">
        <f t="shared" si="194"/>
        <v>120</v>
      </c>
      <c r="M731" s="43">
        <f t="shared" si="195"/>
        <v>90</v>
      </c>
      <c r="N731" s="44">
        <f t="shared" si="196"/>
        <v>95</v>
      </c>
      <c r="O731" s="45">
        <f t="shared" si="197"/>
        <v>700</v>
      </c>
      <c r="P731" s="19">
        <f t="shared" si="198"/>
        <v>116.67</v>
      </c>
      <c r="Q731" s="177">
        <v>125</v>
      </c>
      <c r="R731" s="40">
        <v>170</v>
      </c>
      <c r="S731" s="41">
        <v>100</v>
      </c>
      <c r="T731" s="42">
        <v>120</v>
      </c>
      <c r="U731" s="43">
        <v>90</v>
      </c>
      <c r="V731" s="44">
        <v>95</v>
      </c>
      <c r="W731" s="45">
        <f t="shared" si="189"/>
        <v>700</v>
      </c>
      <c r="X731" s="19">
        <f t="shared" si="190"/>
        <v>116.67</v>
      </c>
      <c r="Y731" s="3">
        <v>125</v>
      </c>
      <c r="Z731" s="4">
        <v>170</v>
      </c>
      <c r="AA731" s="5">
        <v>100</v>
      </c>
      <c r="AB731" s="6">
        <v>120</v>
      </c>
      <c r="AC731" s="7">
        <v>90</v>
      </c>
      <c r="AD731" s="8">
        <v>95</v>
      </c>
      <c r="AE731" s="1">
        <v>700</v>
      </c>
      <c r="AF731" s="19">
        <v>116.67</v>
      </c>
      <c r="AG731" s="139">
        <v>125</v>
      </c>
      <c r="AH731" s="140">
        <v>170</v>
      </c>
      <c r="AI731" s="141">
        <v>100</v>
      </c>
      <c r="AJ731" s="142">
        <v>120</v>
      </c>
      <c r="AK731" s="143">
        <v>90</v>
      </c>
      <c r="AL731" s="144">
        <v>95</v>
      </c>
      <c r="AM731" s="138">
        <v>700</v>
      </c>
      <c r="AN731" s="165">
        <v>116.67</v>
      </c>
      <c r="AV731" s="174"/>
      <c r="AW731" s="45"/>
      <c r="AX731" s="174" t="b">
        <f>IF('Refined Compare'!$D$2="All",TRUE,IF(F731='Refined Compare'!$D$2,TRUE,IF(G731='Refined Compare'!$D$2,TRUE,FALSE)))</f>
        <v>0</v>
      </c>
      <c r="AY731" s="174" t="b">
        <f>IF('Refined Compare'!$D$3="All",TRUE,IF(F731='Refined Compare'!$D$3,TRUE,IF(G731='Refined Compare'!$D$3,TRUE,FALSE)))</f>
        <v>0</v>
      </c>
      <c r="AZ731" s="174" t="b">
        <f t="shared" si="187"/>
        <v>0</v>
      </c>
    </row>
    <row r="732" spans="1:52" x14ac:dyDescent="0.35">
      <c r="A732">
        <f t="shared" si="188"/>
        <v>731</v>
      </c>
      <c r="B732" s="18">
        <v>646</v>
      </c>
      <c r="C732" s="61">
        <v>5</v>
      </c>
      <c r="D732" s="118" t="b">
        <v>1</v>
      </c>
      <c r="E732" s="61"/>
      <c r="F732" s="66" t="s">
        <v>822</v>
      </c>
      <c r="G732" s="66" t="s">
        <v>820</v>
      </c>
      <c r="H732" s="38" t="s">
        <v>637</v>
      </c>
      <c r="I732" s="39">
        <f t="shared" si="191"/>
        <v>125</v>
      </c>
      <c r="J732" s="40">
        <f t="shared" si="192"/>
        <v>130</v>
      </c>
      <c r="K732" s="41">
        <f t="shared" si="193"/>
        <v>90</v>
      </c>
      <c r="L732" s="42">
        <f t="shared" si="194"/>
        <v>130</v>
      </c>
      <c r="M732" s="43">
        <f t="shared" si="195"/>
        <v>90</v>
      </c>
      <c r="N732" s="44">
        <f t="shared" si="196"/>
        <v>95</v>
      </c>
      <c r="O732" s="45">
        <f t="shared" si="197"/>
        <v>660</v>
      </c>
      <c r="P732" s="19">
        <f t="shared" si="198"/>
        <v>110</v>
      </c>
      <c r="Q732" s="177">
        <v>125</v>
      </c>
      <c r="R732" s="40">
        <v>130</v>
      </c>
      <c r="S732" s="41">
        <v>90</v>
      </c>
      <c r="T732" s="42">
        <v>130</v>
      </c>
      <c r="U732" s="43">
        <v>90</v>
      </c>
      <c r="V732" s="44">
        <v>95</v>
      </c>
      <c r="W732" s="45">
        <f t="shared" si="189"/>
        <v>660</v>
      </c>
      <c r="X732" s="19">
        <f t="shared" si="190"/>
        <v>110</v>
      </c>
      <c r="Y732" s="3">
        <v>125</v>
      </c>
      <c r="Z732" s="4">
        <v>130</v>
      </c>
      <c r="AA732" s="5">
        <v>90</v>
      </c>
      <c r="AB732" s="6">
        <v>130</v>
      </c>
      <c r="AC732" s="7">
        <v>90</v>
      </c>
      <c r="AD732" s="8">
        <v>95</v>
      </c>
      <c r="AE732" s="1">
        <v>660</v>
      </c>
      <c r="AF732" s="19">
        <v>110</v>
      </c>
      <c r="AG732" s="139">
        <v>125</v>
      </c>
      <c r="AH732" s="140">
        <v>130</v>
      </c>
      <c r="AI732" s="141">
        <v>90</v>
      </c>
      <c r="AJ732" s="142">
        <v>130</v>
      </c>
      <c r="AK732" s="143">
        <v>90</v>
      </c>
      <c r="AL732" s="144">
        <v>95</v>
      </c>
      <c r="AM732" s="138">
        <v>660</v>
      </c>
      <c r="AN732" s="165">
        <v>110</v>
      </c>
      <c r="AV732" s="174"/>
      <c r="AW732" s="45"/>
      <c r="AX732" s="174" t="b">
        <f>IF('Refined Compare'!$D$2="All",TRUE,IF(F732='Refined Compare'!$D$2,TRUE,IF(G732='Refined Compare'!$D$2,TRUE,FALSE)))</f>
        <v>0</v>
      </c>
      <c r="AY732" s="174" t="b">
        <f>IF('Refined Compare'!$D$3="All",TRUE,IF(F732='Refined Compare'!$D$3,TRUE,IF(G732='Refined Compare'!$D$3,TRUE,FALSE)))</f>
        <v>0</v>
      </c>
      <c r="AZ732" s="174" t="b">
        <f t="shared" si="187"/>
        <v>0</v>
      </c>
    </row>
    <row r="733" spans="1:52" x14ac:dyDescent="0.35">
      <c r="A733">
        <f t="shared" si="188"/>
        <v>732</v>
      </c>
      <c r="B733" s="18">
        <v>647</v>
      </c>
      <c r="C733" s="61">
        <v>5</v>
      </c>
      <c r="D733" s="118" t="b">
        <v>1</v>
      </c>
      <c r="E733" s="61"/>
      <c r="F733" s="66" t="s">
        <v>810</v>
      </c>
      <c r="G733" s="66" t="s">
        <v>816</v>
      </c>
      <c r="H733" s="38" t="s">
        <v>712</v>
      </c>
      <c r="I733" s="39">
        <f t="shared" si="191"/>
        <v>91</v>
      </c>
      <c r="J733" s="40">
        <f t="shared" si="192"/>
        <v>72</v>
      </c>
      <c r="K733" s="41">
        <f t="shared" si="193"/>
        <v>90</v>
      </c>
      <c r="L733" s="42">
        <f t="shared" si="194"/>
        <v>129</v>
      </c>
      <c r="M733" s="43">
        <f t="shared" si="195"/>
        <v>90</v>
      </c>
      <c r="N733" s="44">
        <f t="shared" si="196"/>
        <v>108</v>
      </c>
      <c r="O733" s="45">
        <f t="shared" si="197"/>
        <v>580</v>
      </c>
      <c r="P733" s="19">
        <f t="shared" si="198"/>
        <v>96.67</v>
      </c>
      <c r="Q733" s="177">
        <v>91</v>
      </c>
      <c r="R733" s="40">
        <v>72</v>
      </c>
      <c r="S733" s="41">
        <v>90</v>
      </c>
      <c r="T733" s="42">
        <v>129</v>
      </c>
      <c r="U733" s="43">
        <v>90</v>
      </c>
      <c r="V733" s="44">
        <v>108</v>
      </c>
      <c r="W733" s="45">
        <f t="shared" si="189"/>
        <v>580</v>
      </c>
      <c r="X733" s="19">
        <f t="shared" si="190"/>
        <v>96.67</v>
      </c>
      <c r="Y733" s="3">
        <v>91</v>
      </c>
      <c r="Z733" s="4">
        <v>72</v>
      </c>
      <c r="AA733" s="5">
        <v>90</v>
      </c>
      <c r="AB733" s="6">
        <v>129</v>
      </c>
      <c r="AC733" s="7">
        <v>90</v>
      </c>
      <c r="AD733" s="8">
        <v>108</v>
      </c>
      <c r="AE733" s="1">
        <v>580</v>
      </c>
      <c r="AF733" s="19">
        <v>96.67</v>
      </c>
      <c r="AG733" s="139">
        <v>91</v>
      </c>
      <c r="AH733" s="140">
        <v>72</v>
      </c>
      <c r="AI733" s="141">
        <v>90</v>
      </c>
      <c r="AJ733" s="142">
        <v>129</v>
      </c>
      <c r="AK733" s="143">
        <v>90</v>
      </c>
      <c r="AL733" s="144">
        <v>108</v>
      </c>
      <c r="AM733" s="138">
        <v>580</v>
      </c>
      <c r="AN733" s="165">
        <v>96.67</v>
      </c>
      <c r="AV733" s="174"/>
      <c r="AW733" s="45"/>
      <c r="AX733" s="174" t="b">
        <f>IF('Refined Compare'!$D$2="All",TRUE,IF(F733='Refined Compare'!$D$2,TRUE,IF(G733='Refined Compare'!$D$2,TRUE,FALSE)))</f>
        <v>0</v>
      </c>
      <c r="AY733" s="174" t="b">
        <f>IF('Refined Compare'!$D$3="All",TRUE,IF(F733='Refined Compare'!$D$3,TRUE,IF(G733='Refined Compare'!$D$3,TRUE,FALSE)))</f>
        <v>0</v>
      </c>
      <c r="AZ733" s="174" t="b">
        <f t="shared" si="187"/>
        <v>0</v>
      </c>
    </row>
    <row r="734" spans="1:52" x14ac:dyDescent="0.35">
      <c r="A734">
        <f t="shared" si="188"/>
        <v>733</v>
      </c>
      <c r="B734" s="18">
        <v>648</v>
      </c>
      <c r="C734" s="61">
        <v>5</v>
      </c>
      <c r="D734" s="118" t="b">
        <v>1</v>
      </c>
      <c r="E734" s="61"/>
      <c r="F734" s="66" t="s">
        <v>812</v>
      </c>
      <c r="G734" s="66" t="s">
        <v>817</v>
      </c>
      <c r="H734" s="38" t="s">
        <v>604</v>
      </c>
      <c r="I734" s="39">
        <f t="shared" si="191"/>
        <v>100</v>
      </c>
      <c r="J734" s="40">
        <f t="shared" si="192"/>
        <v>77</v>
      </c>
      <c r="K734" s="41">
        <f t="shared" si="193"/>
        <v>77</v>
      </c>
      <c r="L734" s="42">
        <f t="shared" si="194"/>
        <v>128</v>
      </c>
      <c r="M734" s="43">
        <f t="shared" si="195"/>
        <v>128</v>
      </c>
      <c r="N734" s="44">
        <f t="shared" si="196"/>
        <v>90</v>
      </c>
      <c r="O734" s="45">
        <f t="shared" si="197"/>
        <v>600</v>
      </c>
      <c r="P734" s="19">
        <f t="shared" si="198"/>
        <v>100</v>
      </c>
      <c r="Q734" s="177">
        <v>100</v>
      </c>
      <c r="R734" s="40">
        <v>77</v>
      </c>
      <c r="S734" s="41">
        <v>77</v>
      </c>
      <c r="T734" s="42">
        <v>128</v>
      </c>
      <c r="U734" s="43">
        <v>128</v>
      </c>
      <c r="V734" s="44">
        <v>90</v>
      </c>
      <c r="W734" s="45">
        <f t="shared" si="189"/>
        <v>600</v>
      </c>
      <c r="X734" s="19">
        <f t="shared" si="190"/>
        <v>100</v>
      </c>
      <c r="Y734" s="3">
        <v>100</v>
      </c>
      <c r="Z734" s="4">
        <v>77</v>
      </c>
      <c r="AA734" s="5">
        <v>77</v>
      </c>
      <c r="AB734" s="6">
        <v>128</v>
      </c>
      <c r="AC734" s="7">
        <v>128</v>
      </c>
      <c r="AD734" s="8">
        <v>90</v>
      </c>
      <c r="AE734" s="1">
        <v>600</v>
      </c>
      <c r="AF734" s="19">
        <v>100</v>
      </c>
      <c r="AG734" s="139">
        <v>100</v>
      </c>
      <c r="AH734" s="140">
        <v>77</v>
      </c>
      <c r="AI734" s="141">
        <v>77</v>
      </c>
      <c r="AJ734" s="142">
        <v>128</v>
      </c>
      <c r="AK734" s="143">
        <v>128</v>
      </c>
      <c r="AL734" s="144">
        <v>90</v>
      </c>
      <c r="AM734" s="138">
        <v>600</v>
      </c>
      <c r="AN734" s="165">
        <v>100</v>
      </c>
      <c r="AV734" s="174"/>
      <c r="AW734" s="45"/>
      <c r="AX734" s="174" t="b">
        <f>IF('Refined Compare'!$D$2="All",TRUE,IF(F734='Refined Compare'!$D$2,TRUE,IF(G734='Refined Compare'!$D$2,TRUE,FALSE)))</f>
        <v>0</v>
      </c>
      <c r="AY734" s="174" t="b">
        <f>IF('Refined Compare'!$D$3="All",TRUE,IF(F734='Refined Compare'!$D$3,TRUE,IF(G734='Refined Compare'!$D$3,TRUE,FALSE)))</f>
        <v>0</v>
      </c>
      <c r="AZ734" s="174" t="b">
        <f t="shared" si="187"/>
        <v>0</v>
      </c>
    </row>
    <row r="735" spans="1:52" x14ac:dyDescent="0.35">
      <c r="A735">
        <f t="shared" si="188"/>
        <v>734</v>
      </c>
      <c r="B735" s="18">
        <v>648</v>
      </c>
      <c r="C735" s="61">
        <v>5</v>
      </c>
      <c r="D735" s="118" t="b">
        <v>1</v>
      </c>
      <c r="E735" s="61"/>
      <c r="F735" s="66" t="s">
        <v>812</v>
      </c>
      <c r="G735" s="66" t="s">
        <v>816</v>
      </c>
      <c r="H735" s="38" t="s">
        <v>842</v>
      </c>
      <c r="I735" s="39">
        <f t="shared" si="191"/>
        <v>100</v>
      </c>
      <c r="J735" s="40">
        <f t="shared" si="192"/>
        <v>128</v>
      </c>
      <c r="K735" s="41">
        <f t="shared" si="193"/>
        <v>90</v>
      </c>
      <c r="L735" s="42">
        <f t="shared" si="194"/>
        <v>77</v>
      </c>
      <c r="M735" s="43">
        <f t="shared" si="195"/>
        <v>77</v>
      </c>
      <c r="N735" s="44">
        <f t="shared" si="196"/>
        <v>128</v>
      </c>
      <c r="O735" s="45">
        <f t="shared" si="197"/>
        <v>600</v>
      </c>
      <c r="P735" s="19">
        <f t="shared" si="198"/>
        <v>100</v>
      </c>
      <c r="Q735" s="177">
        <v>100</v>
      </c>
      <c r="R735" s="40">
        <v>128</v>
      </c>
      <c r="S735" s="41">
        <v>90</v>
      </c>
      <c r="T735" s="42">
        <v>77</v>
      </c>
      <c r="U735" s="43">
        <v>77</v>
      </c>
      <c r="V735" s="44">
        <v>128</v>
      </c>
      <c r="W735" s="45">
        <f t="shared" si="189"/>
        <v>600</v>
      </c>
      <c r="X735" s="19">
        <f t="shared" si="190"/>
        <v>100</v>
      </c>
      <c r="Y735" s="3">
        <v>100</v>
      </c>
      <c r="Z735" s="4">
        <v>128</v>
      </c>
      <c r="AA735" s="5">
        <v>90</v>
      </c>
      <c r="AB735" s="6">
        <v>77</v>
      </c>
      <c r="AC735" s="7">
        <v>77</v>
      </c>
      <c r="AD735" s="8">
        <v>128</v>
      </c>
      <c r="AE735" s="1">
        <v>600</v>
      </c>
      <c r="AF735" s="19">
        <v>100</v>
      </c>
      <c r="AG735" s="139">
        <v>100</v>
      </c>
      <c r="AH735" s="140">
        <v>128</v>
      </c>
      <c r="AI735" s="141">
        <v>90</v>
      </c>
      <c r="AJ735" s="142">
        <v>77</v>
      </c>
      <c r="AK735" s="143">
        <v>77</v>
      </c>
      <c r="AL735" s="144">
        <v>128</v>
      </c>
      <c r="AM735" s="138">
        <v>600</v>
      </c>
      <c r="AN735" s="165">
        <v>100</v>
      </c>
      <c r="AV735" s="174"/>
      <c r="AW735" s="45"/>
      <c r="AX735" s="174" t="b">
        <f>IF('Refined Compare'!$D$2="All",TRUE,IF(F735='Refined Compare'!$D$2,TRUE,IF(G735='Refined Compare'!$D$2,TRUE,FALSE)))</f>
        <v>0</v>
      </c>
      <c r="AY735" s="174" t="b">
        <f>IF('Refined Compare'!$D$3="All",TRUE,IF(F735='Refined Compare'!$D$3,TRUE,IF(G735='Refined Compare'!$D$3,TRUE,FALSE)))</f>
        <v>0</v>
      </c>
      <c r="AZ735" s="174" t="b">
        <f t="shared" si="187"/>
        <v>0</v>
      </c>
    </row>
    <row r="736" spans="1:52" x14ac:dyDescent="0.35">
      <c r="A736">
        <f t="shared" si="188"/>
        <v>735</v>
      </c>
      <c r="B736" s="18">
        <v>649</v>
      </c>
      <c r="C736" s="61">
        <v>5</v>
      </c>
      <c r="D736" s="118" t="b">
        <v>1</v>
      </c>
      <c r="E736" s="61"/>
      <c r="F736" s="66" t="s">
        <v>811</v>
      </c>
      <c r="G736" s="66" t="s">
        <v>819</v>
      </c>
      <c r="H736" s="38" t="s">
        <v>649</v>
      </c>
      <c r="I736" s="39">
        <f t="shared" si="191"/>
        <v>71</v>
      </c>
      <c r="J736" s="40">
        <f t="shared" si="192"/>
        <v>120</v>
      </c>
      <c r="K736" s="41">
        <f t="shared" si="193"/>
        <v>95</v>
      </c>
      <c r="L736" s="42">
        <f t="shared" si="194"/>
        <v>120</v>
      </c>
      <c r="M736" s="43">
        <f t="shared" si="195"/>
        <v>95</v>
      </c>
      <c r="N736" s="44">
        <f t="shared" si="196"/>
        <v>99</v>
      </c>
      <c r="O736" s="45">
        <f t="shared" si="197"/>
        <v>600</v>
      </c>
      <c r="P736" s="19">
        <f t="shared" si="198"/>
        <v>100</v>
      </c>
      <c r="Q736" s="177">
        <v>71</v>
      </c>
      <c r="R736" s="40">
        <v>120</v>
      </c>
      <c r="S736" s="41">
        <v>95</v>
      </c>
      <c r="T736" s="42">
        <v>120</v>
      </c>
      <c r="U736" s="43">
        <v>95</v>
      </c>
      <c r="V736" s="44">
        <v>99</v>
      </c>
      <c r="W736" s="45">
        <f t="shared" si="189"/>
        <v>600</v>
      </c>
      <c r="X736" s="19">
        <f t="shared" si="190"/>
        <v>100</v>
      </c>
      <c r="Y736" s="3">
        <v>71</v>
      </c>
      <c r="Z736" s="4">
        <v>120</v>
      </c>
      <c r="AA736" s="5">
        <v>95</v>
      </c>
      <c r="AB736" s="6">
        <v>120</v>
      </c>
      <c r="AC736" s="7">
        <v>95</v>
      </c>
      <c r="AD736" s="8">
        <v>99</v>
      </c>
      <c r="AE736" s="1">
        <v>600</v>
      </c>
      <c r="AF736" s="19">
        <v>100</v>
      </c>
      <c r="AG736" s="166">
        <v>71</v>
      </c>
      <c r="AH736" s="167">
        <v>120</v>
      </c>
      <c r="AI736" s="168">
        <v>95</v>
      </c>
      <c r="AJ736" s="169">
        <v>120</v>
      </c>
      <c r="AK736" s="170">
        <v>95</v>
      </c>
      <c r="AL736" s="171">
        <v>99</v>
      </c>
      <c r="AM736" s="165">
        <v>600</v>
      </c>
      <c r="AN736" s="165">
        <v>100</v>
      </c>
      <c r="AV736" s="174"/>
      <c r="AW736" s="45"/>
      <c r="AX736" s="174" t="b">
        <f>IF('Refined Compare'!$D$2="All",TRUE,IF(F736='Refined Compare'!$D$2,TRUE,IF(G736='Refined Compare'!$D$2,TRUE,FALSE)))</f>
        <v>0</v>
      </c>
      <c r="AY736" s="174" t="b">
        <f>IF('Refined Compare'!$D$3="All",TRUE,IF(F736='Refined Compare'!$D$3,TRUE,IF(G736='Refined Compare'!$D$3,TRUE,FALSE)))</f>
        <v>0</v>
      </c>
      <c r="AZ736" s="174" t="b">
        <f t="shared" si="187"/>
        <v>0</v>
      </c>
    </row>
    <row r="737" spans="1:52" x14ac:dyDescent="0.35">
      <c r="A737">
        <f t="shared" si="188"/>
        <v>736</v>
      </c>
      <c r="B737" s="18">
        <v>650</v>
      </c>
      <c r="C737" s="61">
        <v>6</v>
      </c>
      <c r="D737" s="61" t="b">
        <v>0</v>
      </c>
      <c r="E737" s="61"/>
      <c r="F737" s="66" t="s">
        <v>806</v>
      </c>
      <c r="G737" s="66" t="s">
        <v>827</v>
      </c>
      <c r="H737" s="38" t="s">
        <v>120</v>
      </c>
      <c r="I737" s="39">
        <f t="shared" si="191"/>
        <v>0</v>
      </c>
      <c r="J737" s="40">
        <f t="shared" si="192"/>
        <v>0</v>
      </c>
      <c r="K737" s="41">
        <f t="shared" si="193"/>
        <v>0</v>
      </c>
      <c r="L737" s="42">
        <f t="shared" si="194"/>
        <v>0</v>
      </c>
      <c r="M737" s="43">
        <f t="shared" si="195"/>
        <v>0</v>
      </c>
      <c r="N737" s="44">
        <f t="shared" si="196"/>
        <v>0</v>
      </c>
      <c r="O737" s="45">
        <f t="shared" si="197"/>
        <v>0</v>
      </c>
      <c r="P737" s="19">
        <f t="shared" si="198"/>
        <v>0</v>
      </c>
      <c r="Q737" s="177">
        <v>56</v>
      </c>
      <c r="R737" s="40">
        <v>61</v>
      </c>
      <c r="S737" s="41">
        <v>65</v>
      </c>
      <c r="T737" s="42">
        <v>48</v>
      </c>
      <c r="U737" s="43">
        <v>45</v>
      </c>
      <c r="V737" s="44">
        <v>38</v>
      </c>
      <c r="W737" s="45">
        <f t="shared" si="189"/>
        <v>313</v>
      </c>
      <c r="X737" s="19">
        <f t="shared" si="190"/>
        <v>52.17</v>
      </c>
      <c r="Y737" s="3">
        <v>56</v>
      </c>
      <c r="Z737" s="4">
        <v>61</v>
      </c>
      <c r="AA737" s="5">
        <v>65</v>
      </c>
      <c r="AB737" s="6">
        <v>48</v>
      </c>
      <c r="AC737" s="7">
        <v>45</v>
      </c>
      <c r="AD737" s="8">
        <v>38</v>
      </c>
      <c r="AE737" s="1">
        <v>313</v>
      </c>
      <c r="AF737" s="19">
        <v>52.17</v>
      </c>
      <c r="AN737" s="174"/>
      <c r="AV737" s="174"/>
      <c r="AW737" s="45"/>
      <c r="AX737" s="174" t="b">
        <f>IF('Refined Compare'!$D$2="All",TRUE,IF(F737='Refined Compare'!$D$2,TRUE,IF(G737='Refined Compare'!$D$2,TRUE,FALSE)))</f>
        <v>0</v>
      </c>
      <c r="AY737" s="174" t="b">
        <f>IF('Refined Compare'!$D$3="All",TRUE,IF(F737='Refined Compare'!$D$3,TRUE,IF(G737='Refined Compare'!$D$3,TRUE,FALSE)))</f>
        <v>1</v>
      </c>
      <c r="AZ737" s="174" t="b">
        <f t="shared" si="187"/>
        <v>0</v>
      </c>
    </row>
    <row r="738" spans="1:52" x14ac:dyDescent="0.35">
      <c r="A738">
        <f t="shared" si="188"/>
        <v>737</v>
      </c>
      <c r="B738" s="18">
        <v>651</v>
      </c>
      <c r="C738" s="61">
        <v>6</v>
      </c>
      <c r="D738" s="61" t="b">
        <v>0</v>
      </c>
      <c r="E738" s="61"/>
      <c r="F738" s="66" t="s">
        <v>806</v>
      </c>
      <c r="G738" s="66" t="s">
        <v>827</v>
      </c>
      <c r="H738" s="38" t="s">
        <v>300</v>
      </c>
      <c r="I738" s="39">
        <f t="shared" si="191"/>
        <v>0</v>
      </c>
      <c r="J738" s="40">
        <f t="shared" si="192"/>
        <v>0</v>
      </c>
      <c r="K738" s="41">
        <f t="shared" si="193"/>
        <v>0</v>
      </c>
      <c r="L738" s="42">
        <f t="shared" si="194"/>
        <v>0</v>
      </c>
      <c r="M738" s="43">
        <f t="shared" si="195"/>
        <v>0</v>
      </c>
      <c r="N738" s="44">
        <f t="shared" si="196"/>
        <v>0</v>
      </c>
      <c r="O738" s="45">
        <f t="shared" si="197"/>
        <v>0</v>
      </c>
      <c r="P738" s="19">
        <f t="shared" si="198"/>
        <v>0</v>
      </c>
      <c r="Q738" s="177">
        <v>61</v>
      </c>
      <c r="R738" s="40">
        <v>78</v>
      </c>
      <c r="S738" s="41">
        <v>95</v>
      </c>
      <c r="T738" s="42">
        <v>56</v>
      </c>
      <c r="U738" s="43">
        <v>58</v>
      </c>
      <c r="V738" s="44">
        <v>57</v>
      </c>
      <c r="W738" s="45">
        <f t="shared" si="189"/>
        <v>405</v>
      </c>
      <c r="X738" s="19">
        <f t="shared" si="190"/>
        <v>67.5</v>
      </c>
      <c r="Y738" s="3">
        <v>61</v>
      </c>
      <c r="Z738" s="4">
        <v>78</v>
      </c>
      <c r="AA738" s="5">
        <v>95</v>
      </c>
      <c r="AB738" s="6">
        <v>56</v>
      </c>
      <c r="AC738" s="7">
        <v>58</v>
      </c>
      <c r="AD738" s="8">
        <v>57</v>
      </c>
      <c r="AE738" s="1">
        <v>405</v>
      </c>
      <c r="AF738" s="19">
        <v>67.5</v>
      </c>
      <c r="AN738" s="174"/>
      <c r="AV738" s="174"/>
      <c r="AW738" s="45"/>
      <c r="AX738" s="174" t="b">
        <f>IF('Refined Compare'!$D$2="All",TRUE,IF(F738='Refined Compare'!$D$2,TRUE,IF(G738='Refined Compare'!$D$2,TRUE,FALSE)))</f>
        <v>0</v>
      </c>
      <c r="AY738" s="174" t="b">
        <f>IF('Refined Compare'!$D$3="All",TRUE,IF(F738='Refined Compare'!$D$3,TRUE,IF(G738='Refined Compare'!$D$3,TRUE,FALSE)))</f>
        <v>1</v>
      </c>
      <c r="AZ738" s="174" t="b">
        <f t="shared" si="187"/>
        <v>0</v>
      </c>
    </row>
    <row r="739" spans="1:52" x14ac:dyDescent="0.35">
      <c r="A739">
        <f t="shared" si="188"/>
        <v>738</v>
      </c>
      <c r="B739" s="18">
        <v>652</v>
      </c>
      <c r="C739" s="61">
        <v>6</v>
      </c>
      <c r="D739" s="118" t="b">
        <v>1</v>
      </c>
      <c r="E739" s="61"/>
      <c r="F739" s="66" t="s">
        <v>806</v>
      </c>
      <c r="G739" s="66" t="s">
        <v>816</v>
      </c>
      <c r="H739" s="38" t="s">
        <v>365</v>
      </c>
      <c r="I739" s="39">
        <f t="shared" si="191"/>
        <v>0</v>
      </c>
      <c r="J739" s="40">
        <f t="shared" si="192"/>
        <v>0</v>
      </c>
      <c r="K739" s="41">
        <f t="shared" si="193"/>
        <v>0</v>
      </c>
      <c r="L739" s="42">
        <f t="shared" si="194"/>
        <v>0</v>
      </c>
      <c r="M739" s="43">
        <f t="shared" si="195"/>
        <v>0</v>
      </c>
      <c r="N739" s="44">
        <f t="shared" si="196"/>
        <v>0</v>
      </c>
      <c r="O739" s="45">
        <f t="shared" si="197"/>
        <v>0</v>
      </c>
      <c r="P739" s="19">
        <f t="shared" si="198"/>
        <v>0</v>
      </c>
      <c r="Q739" s="177">
        <v>88</v>
      </c>
      <c r="R739" s="40">
        <v>107</v>
      </c>
      <c r="S739" s="41">
        <v>122</v>
      </c>
      <c r="T739" s="42">
        <v>74</v>
      </c>
      <c r="U739" s="43">
        <v>75</v>
      </c>
      <c r="V739" s="44">
        <v>64</v>
      </c>
      <c r="W739" s="45">
        <f t="shared" si="189"/>
        <v>530</v>
      </c>
      <c r="X739" s="19">
        <f t="shared" si="190"/>
        <v>88.33</v>
      </c>
      <c r="Y739" s="3">
        <v>88</v>
      </c>
      <c r="Z739" s="4">
        <v>107</v>
      </c>
      <c r="AA739" s="5">
        <v>122</v>
      </c>
      <c r="AB739" s="6">
        <v>74</v>
      </c>
      <c r="AC739" s="7">
        <v>75</v>
      </c>
      <c r="AD739" s="8">
        <v>64</v>
      </c>
      <c r="AE739" s="1">
        <v>530</v>
      </c>
      <c r="AF739" s="19">
        <v>88.33</v>
      </c>
      <c r="AN739" s="174"/>
      <c r="AV739" s="174"/>
      <c r="AW739" s="45"/>
      <c r="AX739" s="174" t="b">
        <f>IF('Refined Compare'!$D$2="All",TRUE,IF(F739='Refined Compare'!$D$2,TRUE,IF(G739='Refined Compare'!$D$2,TRUE,FALSE)))</f>
        <v>0</v>
      </c>
      <c r="AY739" s="174" t="b">
        <f>IF('Refined Compare'!$D$3="All",TRUE,IF(F739='Refined Compare'!$D$3,TRUE,IF(G739='Refined Compare'!$D$3,TRUE,FALSE)))</f>
        <v>0</v>
      </c>
      <c r="AZ739" s="174" t="b">
        <f t="shared" si="187"/>
        <v>0</v>
      </c>
    </row>
    <row r="740" spans="1:52" x14ac:dyDescent="0.35">
      <c r="A740">
        <f t="shared" si="188"/>
        <v>739</v>
      </c>
      <c r="B740" s="18">
        <v>653</v>
      </c>
      <c r="C740" s="61">
        <v>6</v>
      </c>
      <c r="D740" s="61" t="b">
        <v>0</v>
      </c>
      <c r="E740" s="61"/>
      <c r="F740" s="66" t="s">
        <v>808</v>
      </c>
      <c r="G740" s="66" t="s">
        <v>827</v>
      </c>
      <c r="H740" s="38" t="s">
        <v>351</v>
      </c>
      <c r="I740" s="39">
        <f t="shared" si="191"/>
        <v>0</v>
      </c>
      <c r="J740" s="40">
        <f t="shared" si="192"/>
        <v>0</v>
      </c>
      <c r="K740" s="41">
        <f t="shared" si="193"/>
        <v>0</v>
      </c>
      <c r="L740" s="42">
        <f t="shared" si="194"/>
        <v>0</v>
      </c>
      <c r="M740" s="43">
        <f t="shared" si="195"/>
        <v>0</v>
      </c>
      <c r="N740" s="44">
        <f t="shared" si="196"/>
        <v>0</v>
      </c>
      <c r="O740" s="45">
        <f t="shared" si="197"/>
        <v>0</v>
      </c>
      <c r="P740" s="19">
        <f t="shared" si="198"/>
        <v>0</v>
      </c>
      <c r="Q740" s="177">
        <v>40</v>
      </c>
      <c r="R740" s="40">
        <v>45</v>
      </c>
      <c r="S740" s="41">
        <v>40</v>
      </c>
      <c r="T740" s="42">
        <v>62</v>
      </c>
      <c r="U740" s="43">
        <v>60</v>
      </c>
      <c r="V740" s="44">
        <v>60</v>
      </c>
      <c r="W740" s="45">
        <f t="shared" si="189"/>
        <v>307</v>
      </c>
      <c r="X740" s="19">
        <f t="shared" si="190"/>
        <v>51.17</v>
      </c>
      <c r="Y740" s="3">
        <v>40</v>
      </c>
      <c r="Z740" s="4">
        <v>45</v>
      </c>
      <c r="AA740" s="5">
        <v>40</v>
      </c>
      <c r="AB740" s="6">
        <v>62</v>
      </c>
      <c r="AC740" s="7">
        <v>60</v>
      </c>
      <c r="AD740" s="8">
        <v>60</v>
      </c>
      <c r="AE740" s="1">
        <v>307</v>
      </c>
      <c r="AF740" s="19">
        <v>51.17</v>
      </c>
      <c r="AN740" s="174"/>
      <c r="AV740" s="174"/>
      <c r="AW740" s="45"/>
      <c r="AX740" s="174" t="b">
        <f>IF('Refined Compare'!$D$2="All",TRUE,IF(F740='Refined Compare'!$D$2,TRUE,IF(G740='Refined Compare'!$D$2,TRUE,FALSE)))</f>
        <v>0</v>
      </c>
      <c r="AY740" s="174" t="b">
        <f>IF('Refined Compare'!$D$3="All",TRUE,IF(F740='Refined Compare'!$D$3,TRUE,IF(G740='Refined Compare'!$D$3,TRUE,FALSE)))</f>
        <v>1</v>
      </c>
      <c r="AZ740" s="174" t="b">
        <f t="shared" si="187"/>
        <v>0</v>
      </c>
    </row>
    <row r="741" spans="1:52" x14ac:dyDescent="0.35">
      <c r="A741">
        <f t="shared" si="188"/>
        <v>740</v>
      </c>
      <c r="B741" s="18">
        <v>654</v>
      </c>
      <c r="C741" s="61">
        <v>6</v>
      </c>
      <c r="D741" s="61" t="b">
        <v>0</v>
      </c>
      <c r="E741" s="61"/>
      <c r="F741" s="66" t="s">
        <v>808</v>
      </c>
      <c r="G741" s="66" t="s">
        <v>827</v>
      </c>
      <c r="H741" s="38" t="s">
        <v>465</v>
      </c>
      <c r="I741" s="39">
        <f t="shared" si="191"/>
        <v>0</v>
      </c>
      <c r="J741" s="40">
        <f t="shared" si="192"/>
        <v>0</v>
      </c>
      <c r="K741" s="41">
        <f t="shared" si="193"/>
        <v>0</v>
      </c>
      <c r="L741" s="42">
        <f t="shared" si="194"/>
        <v>0</v>
      </c>
      <c r="M741" s="43">
        <f t="shared" si="195"/>
        <v>0</v>
      </c>
      <c r="N741" s="44">
        <f t="shared" si="196"/>
        <v>0</v>
      </c>
      <c r="O741" s="45">
        <f t="shared" si="197"/>
        <v>0</v>
      </c>
      <c r="P741" s="19">
        <f t="shared" si="198"/>
        <v>0</v>
      </c>
      <c r="Q741" s="177">
        <v>59</v>
      </c>
      <c r="R741" s="40">
        <v>59</v>
      </c>
      <c r="S741" s="41">
        <v>58</v>
      </c>
      <c r="T741" s="42">
        <v>90</v>
      </c>
      <c r="U741" s="43">
        <v>70</v>
      </c>
      <c r="V741" s="44">
        <v>73</v>
      </c>
      <c r="W741" s="45">
        <f t="shared" si="189"/>
        <v>409</v>
      </c>
      <c r="X741" s="19">
        <f t="shared" si="190"/>
        <v>68.17</v>
      </c>
      <c r="Y741" s="3">
        <v>59</v>
      </c>
      <c r="Z741" s="4">
        <v>59</v>
      </c>
      <c r="AA741" s="5">
        <v>58</v>
      </c>
      <c r="AB741" s="6">
        <v>90</v>
      </c>
      <c r="AC741" s="7">
        <v>70</v>
      </c>
      <c r="AD741" s="8">
        <v>73</v>
      </c>
      <c r="AE741" s="1">
        <v>409</v>
      </c>
      <c r="AF741" s="19">
        <v>68.17</v>
      </c>
      <c r="AN741" s="174"/>
      <c r="AV741" s="174"/>
      <c r="AW741" s="45"/>
      <c r="AX741" s="174" t="b">
        <f>IF('Refined Compare'!$D$2="All",TRUE,IF(F741='Refined Compare'!$D$2,TRUE,IF(G741='Refined Compare'!$D$2,TRUE,FALSE)))</f>
        <v>0</v>
      </c>
      <c r="AY741" s="174" t="b">
        <f>IF('Refined Compare'!$D$3="All",TRUE,IF(F741='Refined Compare'!$D$3,TRUE,IF(G741='Refined Compare'!$D$3,TRUE,FALSE)))</f>
        <v>1</v>
      </c>
      <c r="AZ741" s="174" t="b">
        <f t="shared" si="187"/>
        <v>0</v>
      </c>
    </row>
    <row r="742" spans="1:52" x14ac:dyDescent="0.35">
      <c r="A742">
        <f t="shared" si="188"/>
        <v>741</v>
      </c>
      <c r="B742" s="18">
        <v>655</v>
      </c>
      <c r="C742" s="61">
        <v>6</v>
      </c>
      <c r="D742" s="118" t="b">
        <v>1</v>
      </c>
      <c r="E742" s="61"/>
      <c r="F742" s="66" t="s">
        <v>808</v>
      </c>
      <c r="G742" s="66" t="s">
        <v>817</v>
      </c>
      <c r="H742" s="38" t="s">
        <v>691</v>
      </c>
      <c r="I742" s="39">
        <f t="shared" si="191"/>
        <v>0</v>
      </c>
      <c r="J742" s="40">
        <f t="shared" si="192"/>
        <v>0</v>
      </c>
      <c r="K742" s="41">
        <f t="shared" si="193"/>
        <v>0</v>
      </c>
      <c r="L742" s="42">
        <f t="shared" si="194"/>
        <v>0</v>
      </c>
      <c r="M742" s="43">
        <f t="shared" si="195"/>
        <v>0</v>
      </c>
      <c r="N742" s="44">
        <f t="shared" si="196"/>
        <v>0</v>
      </c>
      <c r="O742" s="45">
        <f t="shared" si="197"/>
        <v>0</v>
      </c>
      <c r="P742" s="19">
        <f t="shared" si="198"/>
        <v>0</v>
      </c>
      <c r="Q742" s="177">
        <v>75</v>
      </c>
      <c r="R742" s="40">
        <v>69</v>
      </c>
      <c r="S742" s="41">
        <v>72</v>
      </c>
      <c r="T742" s="42">
        <v>114</v>
      </c>
      <c r="U742" s="43">
        <v>100</v>
      </c>
      <c r="V742" s="44">
        <v>104</v>
      </c>
      <c r="W742" s="45">
        <f t="shared" si="189"/>
        <v>534</v>
      </c>
      <c r="X742" s="19">
        <f t="shared" si="190"/>
        <v>89</v>
      </c>
      <c r="Y742" s="3">
        <v>75</v>
      </c>
      <c r="Z742" s="4">
        <v>69</v>
      </c>
      <c r="AA742" s="5">
        <v>72</v>
      </c>
      <c r="AB742" s="6">
        <v>114</v>
      </c>
      <c r="AC742" s="7">
        <v>100</v>
      </c>
      <c r="AD742" s="8">
        <v>104</v>
      </c>
      <c r="AE742" s="1">
        <v>534</v>
      </c>
      <c r="AF742" s="19">
        <v>89</v>
      </c>
      <c r="AN742" s="174"/>
      <c r="AV742" s="174"/>
      <c r="AW742" s="45"/>
      <c r="AX742" s="174" t="b">
        <f>IF('Refined Compare'!$D$2="All",TRUE,IF(F742='Refined Compare'!$D$2,TRUE,IF(G742='Refined Compare'!$D$2,TRUE,FALSE)))</f>
        <v>0</v>
      </c>
      <c r="AY742" s="174" t="b">
        <f>IF('Refined Compare'!$D$3="All",TRUE,IF(F742='Refined Compare'!$D$3,TRUE,IF(G742='Refined Compare'!$D$3,TRUE,FALSE)))</f>
        <v>0</v>
      </c>
      <c r="AZ742" s="174" t="b">
        <f t="shared" si="187"/>
        <v>0</v>
      </c>
    </row>
    <row r="743" spans="1:52" x14ac:dyDescent="0.35">
      <c r="A743">
        <f t="shared" si="188"/>
        <v>742</v>
      </c>
      <c r="B743" s="18">
        <v>656</v>
      </c>
      <c r="C743" s="61">
        <v>6</v>
      </c>
      <c r="D743" s="61" t="b">
        <v>0</v>
      </c>
      <c r="E743" s="61"/>
      <c r="F743" s="66" t="s">
        <v>810</v>
      </c>
      <c r="G743" s="66" t="s">
        <v>827</v>
      </c>
      <c r="H743" s="38" t="s">
        <v>459</v>
      </c>
      <c r="I743" s="39">
        <f t="shared" si="191"/>
        <v>0</v>
      </c>
      <c r="J743" s="40">
        <f t="shared" si="192"/>
        <v>0</v>
      </c>
      <c r="K743" s="41">
        <f t="shared" si="193"/>
        <v>0</v>
      </c>
      <c r="L743" s="42">
        <f t="shared" si="194"/>
        <v>0</v>
      </c>
      <c r="M743" s="43">
        <f t="shared" si="195"/>
        <v>0</v>
      </c>
      <c r="N743" s="44">
        <f t="shared" si="196"/>
        <v>0</v>
      </c>
      <c r="O743" s="45">
        <f t="shared" si="197"/>
        <v>0</v>
      </c>
      <c r="P743" s="19">
        <f t="shared" si="198"/>
        <v>0</v>
      </c>
      <c r="Q743" s="177">
        <v>41</v>
      </c>
      <c r="R743" s="40">
        <v>56</v>
      </c>
      <c r="S743" s="41">
        <v>40</v>
      </c>
      <c r="T743" s="42">
        <v>62</v>
      </c>
      <c r="U743" s="43">
        <v>44</v>
      </c>
      <c r="V743" s="44">
        <v>71</v>
      </c>
      <c r="W743" s="45">
        <f t="shared" si="189"/>
        <v>314</v>
      </c>
      <c r="X743" s="19">
        <f t="shared" si="190"/>
        <v>52.33</v>
      </c>
      <c r="Y743" s="3">
        <v>41</v>
      </c>
      <c r="Z743" s="4">
        <v>56</v>
      </c>
      <c r="AA743" s="5">
        <v>40</v>
      </c>
      <c r="AB743" s="6">
        <v>62</v>
      </c>
      <c r="AC743" s="7">
        <v>44</v>
      </c>
      <c r="AD743" s="8">
        <v>71</v>
      </c>
      <c r="AE743" s="1">
        <v>314</v>
      </c>
      <c r="AF743" s="19">
        <v>52.33</v>
      </c>
      <c r="AN743" s="174"/>
      <c r="AV743" s="174"/>
      <c r="AW743" s="45"/>
      <c r="AX743" s="174" t="b">
        <f>IF('Refined Compare'!$D$2="All",TRUE,IF(F743='Refined Compare'!$D$2,TRUE,IF(G743='Refined Compare'!$D$2,TRUE,FALSE)))</f>
        <v>0</v>
      </c>
      <c r="AY743" s="174" t="b">
        <f>IF('Refined Compare'!$D$3="All",TRUE,IF(F743='Refined Compare'!$D$3,TRUE,IF(G743='Refined Compare'!$D$3,TRUE,FALSE)))</f>
        <v>1</v>
      </c>
      <c r="AZ743" s="174" t="b">
        <f t="shared" si="187"/>
        <v>0</v>
      </c>
    </row>
    <row r="744" spans="1:52" x14ac:dyDescent="0.35">
      <c r="A744">
        <f t="shared" si="188"/>
        <v>743</v>
      </c>
      <c r="B744" s="18">
        <v>657</v>
      </c>
      <c r="C744" s="61">
        <v>6</v>
      </c>
      <c r="D744" s="61" t="b">
        <v>0</v>
      </c>
      <c r="E744" s="61"/>
      <c r="F744" s="66" t="s">
        <v>810</v>
      </c>
      <c r="G744" s="66" t="s">
        <v>827</v>
      </c>
      <c r="H744" s="38" t="s">
        <v>645</v>
      </c>
      <c r="I744" s="39">
        <f t="shared" si="191"/>
        <v>0</v>
      </c>
      <c r="J744" s="40">
        <f t="shared" si="192"/>
        <v>0</v>
      </c>
      <c r="K744" s="41">
        <f t="shared" si="193"/>
        <v>0</v>
      </c>
      <c r="L744" s="42">
        <f t="shared" si="194"/>
        <v>0</v>
      </c>
      <c r="M744" s="43">
        <f t="shared" si="195"/>
        <v>0</v>
      </c>
      <c r="N744" s="44">
        <f t="shared" si="196"/>
        <v>0</v>
      </c>
      <c r="O744" s="45">
        <f t="shared" si="197"/>
        <v>0</v>
      </c>
      <c r="P744" s="19">
        <f t="shared" si="198"/>
        <v>0</v>
      </c>
      <c r="Q744" s="177">
        <v>54</v>
      </c>
      <c r="R744" s="40">
        <v>63</v>
      </c>
      <c r="S744" s="41">
        <v>52</v>
      </c>
      <c r="T744" s="42">
        <v>83</v>
      </c>
      <c r="U744" s="43">
        <v>56</v>
      </c>
      <c r="V744" s="44">
        <v>97</v>
      </c>
      <c r="W744" s="45">
        <f t="shared" si="189"/>
        <v>405</v>
      </c>
      <c r="X744" s="19">
        <f t="shared" si="190"/>
        <v>67.5</v>
      </c>
      <c r="Y744" s="3">
        <v>54</v>
      </c>
      <c r="Z744" s="4">
        <v>63</v>
      </c>
      <c r="AA744" s="5">
        <v>52</v>
      </c>
      <c r="AB744" s="6">
        <v>83</v>
      </c>
      <c r="AC744" s="7">
        <v>56</v>
      </c>
      <c r="AD744" s="8">
        <v>97</v>
      </c>
      <c r="AE744" s="1">
        <v>405</v>
      </c>
      <c r="AF744" s="19">
        <v>67.5</v>
      </c>
      <c r="AN744" s="174"/>
      <c r="AV744" s="174"/>
      <c r="AW744" s="45"/>
      <c r="AX744" s="174" t="b">
        <f>IF('Refined Compare'!$D$2="All",TRUE,IF(F744='Refined Compare'!$D$2,TRUE,IF(G744='Refined Compare'!$D$2,TRUE,FALSE)))</f>
        <v>0</v>
      </c>
      <c r="AY744" s="174" t="b">
        <f>IF('Refined Compare'!$D$3="All",TRUE,IF(F744='Refined Compare'!$D$3,TRUE,IF(G744='Refined Compare'!$D$3,TRUE,FALSE)))</f>
        <v>1</v>
      </c>
      <c r="AZ744" s="174" t="b">
        <f t="shared" si="187"/>
        <v>0</v>
      </c>
    </row>
    <row r="745" spans="1:52" x14ac:dyDescent="0.35">
      <c r="A745">
        <f t="shared" si="188"/>
        <v>744</v>
      </c>
      <c r="B745" s="18">
        <v>658</v>
      </c>
      <c r="C745" s="61">
        <v>6</v>
      </c>
      <c r="D745" s="118" t="b">
        <v>1</v>
      </c>
      <c r="E745" s="61"/>
      <c r="F745" s="66" t="s">
        <v>810</v>
      </c>
      <c r="G745" s="66" t="s">
        <v>823</v>
      </c>
      <c r="H745" s="38" t="s">
        <v>755</v>
      </c>
      <c r="I745" s="39">
        <f t="shared" si="191"/>
        <v>0</v>
      </c>
      <c r="J745" s="40">
        <f t="shared" si="192"/>
        <v>0</v>
      </c>
      <c r="K745" s="41">
        <f t="shared" si="193"/>
        <v>0</v>
      </c>
      <c r="L745" s="42">
        <f t="shared" si="194"/>
        <v>0</v>
      </c>
      <c r="M745" s="43">
        <f t="shared" si="195"/>
        <v>0</v>
      </c>
      <c r="N745" s="44">
        <f t="shared" si="196"/>
        <v>0</v>
      </c>
      <c r="O745" s="45">
        <f t="shared" si="197"/>
        <v>0</v>
      </c>
      <c r="P745" s="19">
        <f t="shared" si="198"/>
        <v>0</v>
      </c>
      <c r="Q745" s="177">
        <v>72</v>
      </c>
      <c r="R745" s="40">
        <v>95</v>
      </c>
      <c r="S745" s="41">
        <v>67</v>
      </c>
      <c r="T745" s="42">
        <v>103</v>
      </c>
      <c r="U745" s="43">
        <v>71</v>
      </c>
      <c r="V745" s="44">
        <v>122</v>
      </c>
      <c r="W745" s="45">
        <f t="shared" si="189"/>
        <v>530</v>
      </c>
      <c r="X745" s="19">
        <f t="shared" si="190"/>
        <v>88.33</v>
      </c>
      <c r="Y745" s="3">
        <v>72</v>
      </c>
      <c r="Z745" s="4">
        <v>95</v>
      </c>
      <c r="AA745" s="5">
        <v>67</v>
      </c>
      <c r="AB745" s="6">
        <v>103</v>
      </c>
      <c r="AC745" s="7">
        <v>71</v>
      </c>
      <c r="AD745" s="8">
        <v>122</v>
      </c>
      <c r="AE745" s="1">
        <v>530</v>
      </c>
      <c r="AF745" s="19">
        <v>88.33</v>
      </c>
      <c r="AN745" s="174"/>
      <c r="AV745" s="174"/>
      <c r="AW745" s="45"/>
      <c r="AX745" s="174" t="b">
        <f>IF('Refined Compare'!$D$2="All",TRUE,IF(F745='Refined Compare'!$D$2,TRUE,IF(G745='Refined Compare'!$D$2,TRUE,FALSE)))</f>
        <v>1</v>
      </c>
      <c r="AY745" s="174" t="b">
        <f>IF('Refined Compare'!$D$3="All",TRUE,IF(F745='Refined Compare'!$D$3,TRUE,IF(G745='Refined Compare'!$D$3,TRUE,FALSE)))</f>
        <v>0</v>
      </c>
      <c r="AZ745" s="174" t="b">
        <f t="shared" si="187"/>
        <v>0</v>
      </c>
    </row>
    <row r="746" spans="1:52" x14ac:dyDescent="0.35">
      <c r="A746">
        <f t="shared" si="188"/>
        <v>745</v>
      </c>
      <c r="B746" s="18">
        <v>659</v>
      </c>
      <c r="C746" s="61">
        <v>6</v>
      </c>
      <c r="D746" s="61" t="b">
        <v>0</v>
      </c>
      <c r="E746" s="61"/>
      <c r="F746" s="66" t="s">
        <v>812</v>
      </c>
      <c r="G746" s="66" t="s">
        <v>827</v>
      </c>
      <c r="H746" s="38" t="s">
        <v>301</v>
      </c>
      <c r="I746" s="39">
        <f t="shared" si="191"/>
        <v>0</v>
      </c>
      <c r="J746" s="40">
        <f t="shared" si="192"/>
        <v>0</v>
      </c>
      <c r="K746" s="41">
        <f t="shared" si="193"/>
        <v>0</v>
      </c>
      <c r="L746" s="42">
        <f t="shared" si="194"/>
        <v>0</v>
      </c>
      <c r="M746" s="43">
        <f t="shared" si="195"/>
        <v>0</v>
      </c>
      <c r="N746" s="44">
        <f t="shared" si="196"/>
        <v>0</v>
      </c>
      <c r="O746" s="45">
        <f t="shared" si="197"/>
        <v>0</v>
      </c>
      <c r="P746" s="19">
        <f t="shared" si="198"/>
        <v>0</v>
      </c>
      <c r="Q746" s="177">
        <v>38</v>
      </c>
      <c r="R746" s="40">
        <v>36</v>
      </c>
      <c r="S746" s="41">
        <v>38</v>
      </c>
      <c r="T746" s="42">
        <v>32</v>
      </c>
      <c r="U746" s="43">
        <v>36</v>
      </c>
      <c r="V746" s="44">
        <v>57</v>
      </c>
      <c r="W746" s="45">
        <f t="shared" si="189"/>
        <v>237</v>
      </c>
      <c r="X746" s="19">
        <f t="shared" si="190"/>
        <v>39.5</v>
      </c>
      <c r="Y746" s="3">
        <v>38</v>
      </c>
      <c r="Z746" s="4">
        <v>36</v>
      </c>
      <c r="AA746" s="5">
        <v>38</v>
      </c>
      <c r="AB746" s="6">
        <v>32</v>
      </c>
      <c r="AC746" s="7">
        <v>36</v>
      </c>
      <c r="AD746" s="8">
        <v>57</v>
      </c>
      <c r="AE746" s="1">
        <v>237</v>
      </c>
      <c r="AF746" s="19">
        <v>39.5</v>
      </c>
      <c r="AN746" s="174"/>
      <c r="AV746" s="174"/>
      <c r="AW746" s="45"/>
      <c r="AX746" s="174" t="b">
        <f>IF('Refined Compare'!$D$2="All",TRUE,IF(F746='Refined Compare'!$D$2,TRUE,IF(G746='Refined Compare'!$D$2,TRUE,FALSE)))</f>
        <v>0</v>
      </c>
      <c r="AY746" s="174" t="b">
        <f>IF('Refined Compare'!$D$3="All",TRUE,IF(F746='Refined Compare'!$D$3,TRUE,IF(G746='Refined Compare'!$D$3,TRUE,FALSE)))</f>
        <v>1</v>
      </c>
      <c r="AZ746" s="174" t="b">
        <f t="shared" si="187"/>
        <v>0</v>
      </c>
    </row>
    <row r="747" spans="1:52" x14ac:dyDescent="0.35">
      <c r="A747">
        <f t="shared" si="188"/>
        <v>746</v>
      </c>
      <c r="B747" s="18">
        <v>660</v>
      </c>
      <c r="C747" s="61">
        <v>6</v>
      </c>
      <c r="D747" s="118" t="b">
        <v>1</v>
      </c>
      <c r="E747" s="61"/>
      <c r="F747" s="66" t="s">
        <v>812</v>
      </c>
      <c r="G747" s="66" t="s">
        <v>814</v>
      </c>
      <c r="H747" s="38" t="s">
        <v>494</v>
      </c>
      <c r="I747" s="39">
        <f t="shared" si="191"/>
        <v>0</v>
      </c>
      <c r="J747" s="40">
        <f t="shared" si="192"/>
        <v>0</v>
      </c>
      <c r="K747" s="41">
        <f t="shared" si="193"/>
        <v>0</v>
      </c>
      <c r="L747" s="42">
        <f t="shared" si="194"/>
        <v>0</v>
      </c>
      <c r="M747" s="43">
        <f t="shared" si="195"/>
        <v>0</v>
      </c>
      <c r="N747" s="44">
        <f t="shared" si="196"/>
        <v>0</v>
      </c>
      <c r="O747" s="45">
        <f t="shared" si="197"/>
        <v>0</v>
      </c>
      <c r="P747" s="19">
        <f t="shared" si="198"/>
        <v>0</v>
      </c>
      <c r="Q747" s="177">
        <v>85</v>
      </c>
      <c r="R747" s="40">
        <v>56</v>
      </c>
      <c r="S747" s="41">
        <v>77</v>
      </c>
      <c r="T747" s="42">
        <v>50</v>
      </c>
      <c r="U747" s="43">
        <v>77</v>
      </c>
      <c r="V747" s="44">
        <v>78</v>
      </c>
      <c r="W747" s="45">
        <f t="shared" si="189"/>
        <v>423</v>
      </c>
      <c r="X747" s="19">
        <f t="shared" si="190"/>
        <v>70.5</v>
      </c>
      <c r="Y747" s="3">
        <v>85</v>
      </c>
      <c r="Z747" s="4">
        <v>56</v>
      </c>
      <c r="AA747" s="5">
        <v>77</v>
      </c>
      <c r="AB747" s="6">
        <v>50</v>
      </c>
      <c r="AC747" s="7">
        <v>77</v>
      </c>
      <c r="AD747" s="8">
        <v>78</v>
      </c>
      <c r="AE747" s="1">
        <v>423</v>
      </c>
      <c r="AF747" s="19">
        <v>70.5</v>
      </c>
      <c r="AN747" s="174"/>
      <c r="AV747" s="174"/>
      <c r="AW747" s="45"/>
      <c r="AX747" s="174" t="b">
        <f>IF('Refined Compare'!$D$2="All",TRUE,IF(F747='Refined Compare'!$D$2,TRUE,IF(G747='Refined Compare'!$D$2,TRUE,FALSE)))</f>
        <v>0</v>
      </c>
      <c r="AY747" s="174" t="b">
        <f>IF('Refined Compare'!$D$3="All",TRUE,IF(F747='Refined Compare'!$D$3,TRUE,IF(G747='Refined Compare'!$D$3,TRUE,FALSE)))</f>
        <v>0</v>
      </c>
      <c r="AZ747" s="174" t="b">
        <f t="shared" si="187"/>
        <v>0</v>
      </c>
    </row>
    <row r="748" spans="1:52" x14ac:dyDescent="0.35">
      <c r="A748">
        <f t="shared" si="188"/>
        <v>747</v>
      </c>
      <c r="B748" s="18">
        <v>661</v>
      </c>
      <c r="C748" s="61">
        <v>6</v>
      </c>
      <c r="D748" s="61" t="b">
        <v>0</v>
      </c>
      <c r="E748" s="61"/>
      <c r="F748" s="66" t="s">
        <v>812</v>
      </c>
      <c r="G748" s="66" t="s">
        <v>809</v>
      </c>
      <c r="H748" s="38" t="s">
        <v>358</v>
      </c>
      <c r="I748" s="39">
        <f t="shared" si="191"/>
        <v>0</v>
      </c>
      <c r="J748" s="40">
        <f t="shared" si="192"/>
        <v>0</v>
      </c>
      <c r="K748" s="41">
        <f t="shared" si="193"/>
        <v>0</v>
      </c>
      <c r="L748" s="42">
        <f t="shared" si="194"/>
        <v>0</v>
      </c>
      <c r="M748" s="43">
        <f t="shared" si="195"/>
        <v>0</v>
      </c>
      <c r="N748" s="44">
        <f t="shared" si="196"/>
        <v>0</v>
      </c>
      <c r="O748" s="45">
        <f t="shared" si="197"/>
        <v>0</v>
      </c>
      <c r="P748" s="19">
        <f t="shared" si="198"/>
        <v>0</v>
      </c>
      <c r="Q748" s="177">
        <v>45</v>
      </c>
      <c r="R748" s="40">
        <v>50</v>
      </c>
      <c r="S748" s="41">
        <v>43</v>
      </c>
      <c r="T748" s="42">
        <v>40</v>
      </c>
      <c r="U748" s="43">
        <v>38</v>
      </c>
      <c r="V748" s="44">
        <v>62</v>
      </c>
      <c r="W748" s="45">
        <f t="shared" si="189"/>
        <v>278</v>
      </c>
      <c r="X748" s="19">
        <f t="shared" si="190"/>
        <v>46.33</v>
      </c>
      <c r="Y748" s="3">
        <v>45</v>
      </c>
      <c r="Z748" s="4">
        <v>50</v>
      </c>
      <c r="AA748" s="5">
        <v>43</v>
      </c>
      <c r="AB748" s="6">
        <v>40</v>
      </c>
      <c r="AC748" s="7">
        <v>38</v>
      </c>
      <c r="AD748" s="8">
        <v>62</v>
      </c>
      <c r="AE748" s="1">
        <v>278</v>
      </c>
      <c r="AF748" s="19">
        <v>46.33</v>
      </c>
      <c r="AN748" s="174"/>
      <c r="AV748" s="174"/>
      <c r="AW748" s="45"/>
      <c r="AX748" s="174" t="b">
        <f>IF('Refined Compare'!$D$2="All",TRUE,IF(F748='Refined Compare'!$D$2,TRUE,IF(G748='Refined Compare'!$D$2,TRUE,FALSE)))</f>
        <v>0</v>
      </c>
      <c r="AY748" s="174" t="b">
        <f>IF('Refined Compare'!$D$3="All",TRUE,IF(F748='Refined Compare'!$D$3,TRUE,IF(G748='Refined Compare'!$D$3,TRUE,FALSE)))</f>
        <v>0</v>
      </c>
      <c r="AZ748" s="174" t="b">
        <f t="shared" si="187"/>
        <v>0</v>
      </c>
    </row>
    <row r="749" spans="1:52" x14ac:dyDescent="0.35">
      <c r="A749">
        <f t="shared" si="188"/>
        <v>748</v>
      </c>
      <c r="B749" s="18">
        <v>662</v>
      </c>
      <c r="C749" s="61">
        <v>6</v>
      </c>
      <c r="D749" s="61" t="b">
        <v>0</v>
      </c>
      <c r="E749" s="61"/>
      <c r="F749" s="66" t="s">
        <v>808</v>
      </c>
      <c r="G749" s="66" t="s">
        <v>809</v>
      </c>
      <c r="H749" s="38" t="s">
        <v>538</v>
      </c>
      <c r="I749" s="39">
        <f t="shared" si="191"/>
        <v>0</v>
      </c>
      <c r="J749" s="40">
        <f t="shared" si="192"/>
        <v>0</v>
      </c>
      <c r="K749" s="41">
        <f t="shared" si="193"/>
        <v>0</v>
      </c>
      <c r="L749" s="42">
        <f t="shared" si="194"/>
        <v>0</v>
      </c>
      <c r="M749" s="43">
        <f t="shared" si="195"/>
        <v>0</v>
      </c>
      <c r="N749" s="44">
        <f t="shared" si="196"/>
        <v>0</v>
      </c>
      <c r="O749" s="45">
        <f t="shared" si="197"/>
        <v>0</v>
      </c>
      <c r="P749" s="19">
        <f t="shared" si="198"/>
        <v>0</v>
      </c>
      <c r="Q749" s="177">
        <v>62</v>
      </c>
      <c r="R749" s="40">
        <v>73</v>
      </c>
      <c r="S749" s="41">
        <v>55</v>
      </c>
      <c r="T749" s="42">
        <v>56</v>
      </c>
      <c r="U749" s="43">
        <v>52</v>
      </c>
      <c r="V749" s="44">
        <v>84</v>
      </c>
      <c r="W749" s="45">
        <f t="shared" si="189"/>
        <v>382</v>
      </c>
      <c r="X749" s="19">
        <f t="shared" si="190"/>
        <v>63.67</v>
      </c>
      <c r="Y749" s="3">
        <v>62</v>
      </c>
      <c r="Z749" s="4">
        <v>73</v>
      </c>
      <c r="AA749" s="5">
        <v>55</v>
      </c>
      <c r="AB749" s="6">
        <v>56</v>
      </c>
      <c r="AC749" s="7">
        <v>52</v>
      </c>
      <c r="AD749" s="8">
        <v>84</v>
      </c>
      <c r="AE749" s="1">
        <v>382</v>
      </c>
      <c r="AF749" s="19">
        <v>63.67</v>
      </c>
      <c r="AN749" s="174"/>
      <c r="AV749" s="174"/>
      <c r="AW749" s="45"/>
      <c r="AX749" s="174" t="b">
        <f>IF('Refined Compare'!$D$2="All",TRUE,IF(F749='Refined Compare'!$D$2,TRUE,IF(G749='Refined Compare'!$D$2,TRUE,FALSE)))</f>
        <v>0</v>
      </c>
      <c r="AY749" s="174" t="b">
        <f>IF('Refined Compare'!$D$3="All",TRUE,IF(F749='Refined Compare'!$D$3,TRUE,IF(G749='Refined Compare'!$D$3,TRUE,FALSE)))</f>
        <v>0</v>
      </c>
      <c r="AZ749" s="174" t="b">
        <f t="shared" si="187"/>
        <v>0</v>
      </c>
    </row>
    <row r="750" spans="1:52" x14ac:dyDescent="0.35">
      <c r="A750">
        <f t="shared" si="188"/>
        <v>749</v>
      </c>
      <c r="B750" s="18">
        <v>663</v>
      </c>
      <c r="C750" s="61">
        <v>6</v>
      </c>
      <c r="D750" s="118" t="b">
        <v>1</v>
      </c>
      <c r="E750" s="61"/>
      <c r="F750" s="66" t="s">
        <v>808</v>
      </c>
      <c r="G750" s="66" t="s">
        <v>809</v>
      </c>
      <c r="H750" s="38" t="s">
        <v>760</v>
      </c>
      <c r="I750" s="39">
        <f t="shared" si="191"/>
        <v>0</v>
      </c>
      <c r="J750" s="40">
        <f t="shared" si="192"/>
        <v>0</v>
      </c>
      <c r="K750" s="41">
        <f t="shared" si="193"/>
        <v>0</v>
      </c>
      <c r="L750" s="42">
        <f t="shared" si="194"/>
        <v>0</v>
      </c>
      <c r="M750" s="43">
        <f t="shared" si="195"/>
        <v>0</v>
      </c>
      <c r="N750" s="44">
        <f t="shared" si="196"/>
        <v>0</v>
      </c>
      <c r="O750" s="45">
        <f t="shared" si="197"/>
        <v>0</v>
      </c>
      <c r="P750" s="19">
        <f t="shared" si="198"/>
        <v>0</v>
      </c>
      <c r="Q750" s="177">
        <v>78</v>
      </c>
      <c r="R750" s="40">
        <v>81</v>
      </c>
      <c r="S750" s="41">
        <v>71</v>
      </c>
      <c r="T750" s="42">
        <v>74</v>
      </c>
      <c r="U750" s="43">
        <v>69</v>
      </c>
      <c r="V750" s="44">
        <v>126</v>
      </c>
      <c r="W750" s="45">
        <f t="shared" si="189"/>
        <v>499</v>
      </c>
      <c r="X750" s="19">
        <f t="shared" si="190"/>
        <v>83.17</v>
      </c>
      <c r="Y750" s="3">
        <v>78</v>
      </c>
      <c r="Z750" s="4">
        <v>81</v>
      </c>
      <c r="AA750" s="5">
        <v>71</v>
      </c>
      <c r="AB750" s="6">
        <v>74</v>
      </c>
      <c r="AC750" s="7">
        <v>69</v>
      </c>
      <c r="AD750" s="8">
        <v>126</v>
      </c>
      <c r="AE750" s="1">
        <v>499</v>
      </c>
      <c r="AF750" s="19">
        <v>83.17</v>
      </c>
      <c r="AN750" s="174"/>
      <c r="AV750" s="174"/>
      <c r="AW750" s="45"/>
      <c r="AX750" s="174" t="b">
        <f>IF('Refined Compare'!$D$2="All",TRUE,IF(F750='Refined Compare'!$D$2,TRUE,IF(G750='Refined Compare'!$D$2,TRUE,FALSE)))</f>
        <v>0</v>
      </c>
      <c r="AY750" s="174" t="b">
        <f>IF('Refined Compare'!$D$3="All",TRUE,IF(F750='Refined Compare'!$D$3,TRUE,IF(G750='Refined Compare'!$D$3,TRUE,FALSE)))</f>
        <v>0</v>
      </c>
      <c r="AZ750" s="174" t="b">
        <f t="shared" si="187"/>
        <v>0</v>
      </c>
    </row>
    <row r="751" spans="1:52" x14ac:dyDescent="0.35">
      <c r="A751">
        <f t="shared" si="188"/>
        <v>750</v>
      </c>
      <c r="B751" s="18">
        <v>664</v>
      </c>
      <c r="C751" s="61">
        <v>6</v>
      </c>
      <c r="D751" s="61" t="b">
        <v>0</v>
      </c>
      <c r="E751" s="61"/>
      <c r="F751" s="66" t="s">
        <v>811</v>
      </c>
      <c r="G751" s="66" t="s">
        <v>827</v>
      </c>
      <c r="H751" s="38" t="s">
        <v>115</v>
      </c>
      <c r="I751" s="39">
        <f t="shared" si="191"/>
        <v>0</v>
      </c>
      <c r="J751" s="40">
        <f t="shared" si="192"/>
        <v>0</v>
      </c>
      <c r="K751" s="41">
        <f t="shared" si="193"/>
        <v>0</v>
      </c>
      <c r="L751" s="42">
        <f t="shared" si="194"/>
        <v>0</v>
      </c>
      <c r="M751" s="43">
        <f t="shared" si="195"/>
        <v>0</v>
      </c>
      <c r="N751" s="44">
        <f t="shared" si="196"/>
        <v>0</v>
      </c>
      <c r="O751" s="45">
        <f t="shared" si="197"/>
        <v>0</v>
      </c>
      <c r="P751" s="19">
        <f t="shared" si="198"/>
        <v>0</v>
      </c>
      <c r="Q751" s="177">
        <v>38</v>
      </c>
      <c r="R751" s="40">
        <v>35</v>
      </c>
      <c r="S751" s="41">
        <v>40</v>
      </c>
      <c r="T751" s="42">
        <v>27</v>
      </c>
      <c r="U751" s="43">
        <v>25</v>
      </c>
      <c r="V751" s="44">
        <v>35</v>
      </c>
      <c r="W751" s="45">
        <f t="shared" si="189"/>
        <v>200</v>
      </c>
      <c r="X751" s="19">
        <f t="shared" si="190"/>
        <v>33.33</v>
      </c>
      <c r="Y751" s="3">
        <v>38</v>
      </c>
      <c r="Z751" s="4">
        <v>35</v>
      </c>
      <c r="AA751" s="5">
        <v>40</v>
      </c>
      <c r="AB751" s="6">
        <v>27</v>
      </c>
      <c r="AC751" s="7">
        <v>25</v>
      </c>
      <c r="AD751" s="8">
        <v>35</v>
      </c>
      <c r="AE751" s="1">
        <v>200</v>
      </c>
      <c r="AF751" s="19">
        <v>33.33</v>
      </c>
      <c r="AN751" s="174"/>
      <c r="AV751" s="174"/>
      <c r="AW751" s="45"/>
      <c r="AX751" s="174" t="b">
        <f>IF('Refined Compare'!$D$2="All",TRUE,IF(F751='Refined Compare'!$D$2,TRUE,IF(G751='Refined Compare'!$D$2,TRUE,FALSE)))</f>
        <v>0</v>
      </c>
      <c r="AY751" s="174" t="b">
        <f>IF('Refined Compare'!$D$3="All",TRUE,IF(F751='Refined Compare'!$D$3,TRUE,IF(G751='Refined Compare'!$D$3,TRUE,FALSE)))</f>
        <v>1</v>
      </c>
      <c r="AZ751" s="174" t="b">
        <f t="shared" si="187"/>
        <v>0</v>
      </c>
    </row>
    <row r="752" spans="1:52" x14ac:dyDescent="0.35">
      <c r="A752">
        <f t="shared" si="188"/>
        <v>751</v>
      </c>
      <c r="B752" s="18">
        <v>665</v>
      </c>
      <c r="C752" s="61">
        <v>6</v>
      </c>
      <c r="D752" s="61" t="b">
        <v>0</v>
      </c>
      <c r="E752" s="61"/>
      <c r="F752" s="66" t="s">
        <v>811</v>
      </c>
      <c r="G752" s="66" t="s">
        <v>827</v>
      </c>
      <c r="H752" s="38" t="s">
        <v>50</v>
      </c>
      <c r="I752" s="39">
        <f t="shared" si="191"/>
        <v>0</v>
      </c>
      <c r="J752" s="40">
        <f t="shared" si="192"/>
        <v>0</v>
      </c>
      <c r="K752" s="41">
        <f t="shared" si="193"/>
        <v>0</v>
      </c>
      <c r="L752" s="42">
        <f t="shared" si="194"/>
        <v>0</v>
      </c>
      <c r="M752" s="43">
        <f t="shared" si="195"/>
        <v>0</v>
      </c>
      <c r="N752" s="44">
        <f t="shared" si="196"/>
        <v>0</v>
      </c>
      <c r="O752" s="45">
        <f t="shared" si="197"/>
        <v>0</v>
      </c>
      <c r="P752" s="19">
        <f t="shared" si="198"/>
        <v>0</v>
      </c>
      <c r="Q752" s="177">
        <v>45</v>
      </c>
      <c r="R752" s="40">
        <v>22</v>
      </c>
      <c r="S752" s="41">
        <v>60</v>
      </c>
      <c r="T752" s="42">
        <v>27</v>
      </c>
      <c r="U752" s="43">
        <v>30</v>
      </c>
      <c r="V752" s="44">
        <v>29</v>
      </c>
      <c r="W752" s="45">
        <f t="shared" si="189"/>
        <v>213</v>
      </c>
      <c r="X752" s="19">
        <f t="shared" si="190"/>
        <v>35.5</v>
      </c>
      <c r="Y752" s="3">
        <v>45</v>
      </c>
      <c r="Z752" s="4">
        <v>22</v>
      </c>
      <c r="AA752" s="5">
        <v>60</v>
      </c>
      <c r="AB752" s="6">
        <v>27</v>
      </c>
      <c r="AC752" s="7">
        <v>30</v>
      </c>
      <c r="AD752" s="8">
        <v>29</v>
      </c>
      <c r="AE752" s="1">
        <v>213</v>
      </c>
      <c r="AF752" s="19">
        <v>35.5</v>
      </c>
      <c r="AN752" s="174"/>
      <c r="AV752" s="174"/>
      <c r="AW752" s="45"/>
      <c r="AX752" s="174" t="b">
        <f>IF('Refined Compare'!$D$2="All",TRUE,IF(F752='Refined Compare'!$D$2,TRUE,IF(G752='Refined Compare'!$D$2,TRUE,FALSE)))</f>
        <v>0</v>
      </c>
      <c r="AY752" s="174" t="b">
        <f>IF('Refined Compare'!$D$3="All",TRUE,IF(F752='Refined Compare'!$D$3,TRUE,IF(G752='Refined Compare'!$D$3,TRUE,FALSE)))</f>
        <v>1</v>
      </c>
      <c r="AZ752" s="174" t="b">
        <f t="shared" si="187"/>
        <v>0</v>
      </c>
    </row>
    <row r="753" spans="1:52" x14ac:dyDescent="0.35">
      <c r="A753">
        <f t="shared" si="188"/>
        <v>752</v>
      </c>
      <c r="B753" s="18">
        <v>666</v>
      </c>
      <c r="C753" s="61">
        <v>6</v>
      </c>
      <c r="D753" s="118" t="b">
        <v>1</v>
      </c>
      <c r="E753" s="61"/>
      <c r="F753" s="66" t="s">
        <v>811</v>
      </c>
      <c r="G753" s="66" t="s">
        <v>809</v>
      </c>
      <c r="H753" s="38" t="s">
        <v>573</v>
      </c>
      <c r="I753" s="39">
        <f t="shared" si="191"/>
        <v>0</v>
      </c>
      <c r="J753" s="40">
        <f t="shared" si="192"/>
        <v>0</v>
      </c>
      <c r="K753" s="41">
        <f t="shared" si="193"/>
        <v>0</v>
      </c>
      <c r="L753" s="42">
        <f t="shared" si="194"/>
        <v>0</v>
      </c>
      <c r="M753" s="43">
        <f t="shared" si="195"/>
        <v>0</v>
      </c>
      <c r="N753" s="44">
        <f t="shared" si="196"/>
        <v>0</v>
      </c>
      <c r="O753" s="45">
        <f t="shared" si="197"/>
        <v>0</v>
      </c>
      <c r="P753" s="19">
        <f t="shared" si="198"/>
        <v>0</v>
      </c>
      <c r="Q753" s="177">
        <v>80</v>
      </c>
      <c r="R753" s="40">
        <v>52</v>
      </c>
      <c r="S753" s="41">
        <v>50</v>
      </c>
      <c r="T753" s="42">
        <v>90</v>
      </c>
      <c r="U753" s="43">
        <v>50</v>
      </c>
      <c r="V753" s="44">
        <v>89</v>
      </c>
      <c r="W753" s="45">
        <f t="shared" si="189"/>
        <v>411</v>
      </c>
      <c r="X753" s="19">
        <f t="shared" si="190"/>
        <v>68.5</v>
      </c>
      <c r="Y753" s="3">
        <v>80</v>
      </c>
      <c r="Z753" s="4">
        <v>52</v>
      </c>
      <c r="AA753" s="5">
        <v>50</v>
      </c>
      <c r="AB753" s="6">
        <v>90</v>
      </c>
      <c r="AC753" s="7">
        <v>50</v>
      </c>
      <c r="AD753" s="8">
        <v>89</v>
      </c>
      <c r="AE753" s="1">
        <v>411</v>
      </c>
      <c r="AF753" s="19">
        <v>68.5</v>
      </c>
      <c r="AN753" s="174"/>
      <c r="AV753" s="174"/>
      <c r="AW753" s="45"/>
      <c r="AX753" s="174" t="b">
        <f>IF('Refined Compare'!$D$2="All",TRUE,IF(F753='Refined Compare'!$D$2,TRUE,IF(G753='Refined Compare'!$D$2,TRUE,FALSE)))</f>
        <v>0</v>
      </c>
      <c r="AY753" s="174" t="b">
        <f>IF('Refined Compare'!$D$3="All",TRUE,IF(F753='Refined Compare'!$D$3,TRUE,IF(G753='Refined Compare'!$D$3,TRUE,FALSE)))</f>
        <v>0</v>
      </c>
      <c r="AZ753" s="174" t="b">
        <f t="shared" si="187"/>
        <v>0</v>
      </c>
    </row>
    <row r="754" spans="1:52" x14ac:dyDescent="0.35">
      <c r="A754">
        <f t="shared" si="188"/>
        <v>753</v>
      </c>
      <c r="B754" s="18">
        <v>667</v>
      </c>
      <c r="C754" s="61">
        <v>6</v>
      </c>
      <c r="D754" s="61" t="b">
        <v>0</v>
      </c>
      <c r="E754" s="61"/>
      <c r="F754" s="66" t="s">
        <v>808</v>
      </c>
      <c r="G754" s="66" t="s">
        <v>812</v>
      </c>
      <c r="H754" s="38" t="s">
        <v>463</v>
      </c>
      <c r="I754" s="39">
        <f t="shared" si="191"/>
        <v>0</v>
      </c>
      <c r="J754" s="40">
        <f t="shared" si="192"/>
        <v>0</v>
      </c>
      <c r="K754" s="41">
        <f t="shared" si="193"/>
        <v>0</v>
      </c>
      <c r="L754" s="42">
        <f t="shared" si="194"/>
        <v>0</v>
      </c>
      <c r="M754" s="43">
        <f t="shared" si="195"/>
        <v>0</v>
      </c>
      <c r="N754" s="44">
        <f t="shared" si="196"/>
        <v>0</v>
      </c>
      <c r="O754" s="45">
        <f t="shared" si="197"/>
        <v>0</v>
      </c>
      <c r="P754" s="19">
        <f t="shared" si="198"/>
        <v>0</v>
      </c>
      <c r="Q754" s="177">
        <v>62</v>
      </c>
      <c r="R754" s="40">
        <v>50</v>
      </c>
      <c r="S754" s="41">
        <v>58</v>
      </c>
      <c r="T754" s="42">
        <v>73</v>
      </c>
      <c r="U754" s="43">
        <v>54</v>
      </c>
      <c r="V754" s="44">
        <v>72</v>
      </c>
      <c r="W754" s="45">
        <f t="shared" si="189"/>
        <v>369</v>
      </c>
      <c r="X754" s="19">
        <f t="shared" si="190"/>
        <v>61.5</v>
      </c>
      <c r="Y754" s="3">
        <v>62</v>
      </c>
      <c r="Z754" s="4">
        <v>50</v>
      </c>
      <c r="AA754" s="5">
        <v>58</v>
      </c>
      <c r="AB754" s="6">
        <v>73</v>
      </c>
      <c r="AC754" s="7">
        <v>54</v>
      </c>
      <c r="AD754" s="8">
        <v>72</v>
      </c>
      <c r="AE754" s="1">
        <v>369</v>
      </c>
      <c r="AF754" s="19">
        <v>61.5</v>
      </c>
      <c r="AN754" s="174"/>
      <c r="AV754" s="174"/>
      <c r="AW754" s="45"/>
      <c r="AX754" s="174" t="b">
        <f>IF('Refined Compare'!$D$2="All",TRUE,IF(F754='Refined Compare'!$D$2,TRUE,IF(G754='Refined Compare'!$D$2,TRUE,FALSE)))</f>
        <v>0</v>
      </c>
      <c r="AY754" s="174" t="b">
        <f>IF('Refined Compare'!$D$3="All",TRUE,IF(F754='Refined Compare'!$D$3,TRUE,IF(G754='Refined Compare'!$D$3,TRUE,FALSE)))</f>
        <v>0</v>
      </c>
      <c r="AZ754" s="174" t="b">
        <f t="shared" si="187"/>
        <v>0</v>
      </c>
    </row>
    <row r="755" spans="1:52" x14ac:dyDescent="0.35">
      <c r="A755">
        <f t="shared" si="188"/>
        <v>754</v>
      </c>
      <c r="B755" s="18">
        <v>668</v>
      </c>
      <c r="C755" s="61">
        <v>6</v>
      </c>
      <c r="D755" s="118" t="b">
        <v>1</v>
      </c>
      <c r="E755" s="61"/>
      <c r="F755" s="66" t="s">
        <v>808</v>
      </c>
      <c r="G755" s="66" t="s">
        <v>812</v>
      </c>
      <c r="H755" s="38" t="s">
        <v>706</v>
      </c>
      <c r="I755" s="39">
        <f t="shared" si="191"/>
        <v>0</v>
      </c>
      <c r="J755" s="40">
        <f t="shared" si="192"/>
        <v>0</v>
      </c>
      <c r="K755" s="41">
        <f t="shared" si="193"/>
        <v>0</v>
      </c>
      <c r="L755" s="42">
        <f t="shared" si="194"/>
        <v>0</v>
      </c>
      <c r="M755" s="43">
        <f t="shared" si="195"/>
        <v>0</v>
      </c>
      <c r="N755" s="44">
        <f t="shared" si="196"/>
        <v>0</v>
      </c>
      <c r="O755" s="45">
        <f t="shared" si="197"/>
        <v>0</v>
      </c>
      <c r="P755" s="19">
        <f t="shared" si="198"/>
        <v>0</v>
      </c>
      <c r="Q755" s="177">
        <v>86</v>
      </c>
      <c r="R755" s="40">
        <v>68</v>
      </c>
      <c r="S755" s="41">
        <v>72</v>
      </c>
      <c r="T755" s="42">
        <v>109</v>
      </c>
      <c r="U755" s="43">
        <v>66</v>
      </c>
      <c r="V755" s="44">
        <v>106</v>
      </c>
      <c r="W755" s="45">
        <f t="shared" si="189"/>
        <v>507</v>
      </c>
      <c r="X755" s="19">
        <f t="shared" si="190"/>
        <v>84.5</v>
      </c>
      <c r="Y755" s="3">
        <v>86</v>
      </c>
      <c r="Z755" s="4">
        <v>68</v>
      </c>
      <c r="AA755" s="5">
        <v>72</v>
      </c>
      <c r="AB755" s="6">
        <v>109</v>
      </c>
      <c r="AC755" s="7">
        <v>66</v>
      </c>
      <c r="AD755" s="8">
        <v>106</v>
      </c>
      <c r="AE755" s="1">
        <v>507</v>
      </c>
      <c r="AF755" s="19">
        <v>84.5</v>
      </c>
      <c r="AN755" s="174"/>
      <c r="AV755" s="174"/>
      <c r="AW755" s="45"/>
      <c r="AX755" s="174" t="b">
        <f>IF('Refined Compare'!$D$2="All",TRUE,IF(F755='Refined Compare'!$D$2,TRUE,IF(G755='Refined Compare'!$D$2,TRUE,FALSE)))</f>
        <v>0</v>
      </c>
      <c r="AY755" s="174" t="b">
        <f>IF('Refined Compare'!$D$3="All",TRUE,IF(F755='Refined Compare'!$D$3,TRUE,IF(G755='Refined Compare'!$D$3,TRUE,FALSE)))</f>
        <v>0</v>
      </c>
      <c r="AZ755" s="174" t="b">
        <f t="shared" si="187"/>
        <v>0</v>
      </c>
    </row>
    <row r="756" spans="1:52" x14ac:dyDescent="0.35">
      <c r="A756">
        <f t="shared" si="188"/>
        <v>755</v>
      </c>
      <c r="B756" s="18">
        <v>669</v>
      </c>
      <c r="C756" s="61">
        <v>6</v>
      </c>
      <c r="D756" s="61" t="b">
        <v>0</v>
      </c>
      <c r="E756" s="61"/>
      <c r="F756" s="66" t="s">
        <v>815</v>
      </c>
      <c r="G756" s="66" t="s">
        <v>827</v>
      </c>
      <c r="H756" s="38" t="s">
        <v>162</v>
      </c>
      <c r="I756" s="39">
        <f t="shared" si="191"/>
        <v>0</v>
      </c>
      <c r="J756" s="40">
        <f t="shared" si="192"/>
        <v>0</v>
      </c>
      <c r="K756" s="41">
        <f t="shared" si="193"/>
        <v>0</v>
      </c>
      <c r="L756" s="42">
        <f t="shared" si="194"/>
        <v>0</v>
      </c>
      <c r="M756" s="43">
        <f t="shared" si="195"/>
        <v>0</v>
      </c>
      <c r="N756" s="44">
        <f t="shared" si="196"/>
        <v>0</v>
      </c>
      <c r="O756" s="45">
        <f t="shared" si="197"/>
        <v>0</v>
      </c>
      <c r="P756" s="19">
        <f t="shared" si="198"/>
        <v>0</v>
      </c>
      <c r="Q756" s="177">
        <v>44</v>
      </c>
      <c r="R756" s="40">
        <v>38</v>
      </c>
      <c r="S756" s="41">
        <v>39</v>
      </c>
      <c r="T756" s="42">
        <v>61</v>
      </c>
      <c r="U756" s="43">
        <v>79</v>
      </c>
      <c r="V756" s="44">
        <v>42</v>
      </c>
      <c r="W756" s="45">
        <f t="shared" si="189"/>
        <v>303</v>
      </c>
      <c r="X756" s="19">
        <f t="shared" si="190"/>
        <v>50.5</v>
      </c>
      <c r="Y756" s="3">
        <v>44</v>
      </c>
      <c r="Z756" s="4">
        <v>38</v>
      </c>
      <c r="AA756" s="5">
        <v>39</v>
      </c>
      <c r="AB756" s="6">
        <v>61</v>
      </c>
      <c r="AC756" s="7">
        <v>79</v>
      </c>
      <c r="AD756" s="8">
        <v>42</v>
      </c>
      <c r="AE756" s="1">
        <v>303</v>
      </c>
      <c r="AF756" s="19">
        <v>50.5</v>
      </c>
      <c r="AN756" s="174"/>
      <c r="AV756" s="174"/>
      <c r="AW756" s="45"/>
      <c r="AX756" s="174" t="b">
        <f>IF('Refined Compare'!$D$2="All",TRUE,IF(F756='Refined Compare'!$D$2,TRUE,IF(G756='Refined Compare'!$D$2,TRUE,FALSE)))</f>
        <v>0</v>
      </c>
      <c r="AY756" s="174" t="b">
        <f>IF('Refined Compare'!$D$3="All",TRUE,IF(F756='Refined Compare'!$D$3,TRUE,IF(G756='Refined Compare'!$D$3,TRUE,FALSE)))</f>
        <v>1</v>
      </c>
      <c r="AZ756" s="174" t="b">
        <f t="shared" si="187"/>
        <v>0</v>
      </c>
    </row>
    <row r="757" spans="1:52" x14ac:dyDescent="0.35">
      <c r="A757">
        <f t="shared" si="188"/>
        <v>756</v>
      </c>
      <c r="B757" s="18">
        <v>670</v>
      </c>
      <c r="C757" s="61">
        <v>6</v>
      </c>
      <c r="D757" s="61" t="b">
        <v>0</v>
      </c>
      <c r="E757" s="61"/>
      <c r="F757" s="66" t="s">
        <v>815</v>
      </c>
      <c r="G757" s="66" t="s">
        <v>827</v>
      </c>
      <c r="H757" s="38" t="s">
        <v>261</v>
      </c>
      <c r="I757" s="39">
        <f t="shared" si="191"/>
        <v>0</v>
      </c>
      <c r="J757" s="40">
        <f t="shared" si="192"/>
        <v>0</v>
      </c>
      <c r="K757" s="41">
        <f t="shared" si="193"/>
        <v>0</v>
      </c>
      <c r="L757" s="42">
        <f t="shared" si="194"/>
        <v>0</v>
      </c>
      <c r="M757" s="43">
        <f t="shared" si="195"/>
        <v>0</v>
      </c>
      <c r="N757" s="44">
        <f t="shared" si="196"/>
        <v>0</v>
      </c>
      <c r="O757" s="45">
        <f t="shared" si="197"/>
        <v>0</v>
      </c>
      <c r="P757" s="19">
        <f t="shared" si="198"/>
        <v>0</v>
      </c>
      <c r="Q757" s="177">
        <v>54</v>
      </c>
      <c r="R757" s="40">
        <v>45</v>
      </c>
      <c r="S757" s="41">
        <v>47</v>
      </c>
      <c r="T757" s="42">
        <v>75</v>
      </c>
      <c r="U757" s="43">
        <v>98</v>
      </c>
      <c r="V757" s="44">
        <v>52</v>
      </c>
      <c r="W757" s="45">
        <f t="shared" si="189"/>
        <v>371</v>
      </c>
      <c r="X757" s="19">
        <f t="shared" si="190"/>
        <v>61.83</v>
      </c>
      <c r="Y757" s="3">
        <v>54</v>
      </c>
      <c r="Z757" s="4">
        <v>45</v>
      </c>
      <c r="AA757" s="5">
        <v>47</v>
      </c>
      <c r="AB757" s="6">
        <v>75</v>
      </c>
      <c r="AC757" s="7">
        <v>98</v>
      </c>
      <c r="AD757" s="8">
        <v>52</v>
      </c>
      <c r="AE757" s="1">
        <v>371</v>
      </c>
      <c r="AF757" s="19">
        <v>61.83</v>
      </c>
      <c r="AN757" s="174"/>
      <c r="AV757" s="174"/>
      <c r="AW757" s="45"/>
      <c r="AX757" s="174" t="b">
        <f>IF('Refined Compare'!$D$2="All",TRUE,IF(F757='Refined Compare'!$D$2,TRUE,IF(G757='Refined Compare'!$D$2,TRUE,FALSE)))</f>
        <v>0</v>
      </c>
      <c r="AY757" s="174" t="b">
        <f>IF('Refined Compare'!$D$3="All",TRUE,IF(F757='Refined Compare'!$D$3,TRUE,IF(G757='Refined Compare'!$D$3,TRUE,FALSE)))</f>
        <v>1</v>
      </c>
      <c r="AZ757" s="174" t="b">
        <f t="shared" si="187"/>
        <v>0</v>
      </c>
    </row>
    <row r="758" spans="1:52" x14ac:dyDescent="0.35">
      <c r="A758">
        <f t="shared" si="188"/>
        <v>757</v>
      </c>
      <c r="B758" s="18">
        <v>671</v>
      </c>
      <c r="C758" s="61">
        <v>6</v>
      </c>
      <c r="D758" s="118" t="b">
        <v>1</v>
      </c>
      <c r="E758" s="61"/>
      <c r="F758" s="66" t="s">
        <v>815</v>
      </c>
      <c r="G758" s="66" t="s">
        <v>827</v>
      </c>
      <c r="H758" s="38" t="s">
        <v>484</v>
      </c>
      <c r="I758" s="39">
        <f t="shared" si="191"/>
        <v>0</v>
      </c>
      <c r="J758" s="40">
        <f t="shared" si="192"/>
        <v>0</v>
      </c>
      <c r="K758" s="41">
        <f t="shared" si="193"/>
        <v>0</v>
      </c>
      <c r="L758" s="42">
        <f t="shared" si="194"/>
        <v>0</v>
      </c>
      <c r="M758" s="43">
        <f t="shared" si="195"/>
        <v>0</v>
      </c>
      <c r="N758" s="44">
        <f t="shared" si="196"/>
        <v>0</v>
      </c>
      <c r="O758" s="45">
        <f t="shared" si="197"/>
        <v>0</v>
      </c>
      <c r="P758" s="19">
        <f t="shared" si="198"/>
        <v>0</v>
      </c>
      <c r="Q758" s="177">
        <v>78</v>
      </c>
      <c r="R758" s="40">
        <v>65</v>
      </c>
      <c r="S758" s="41">
        <v>68</v>
      </c>
      <c r="T758" s="42">
        <v>112</v>
      </c>
      <c r="U758" s="43">
        <v>154</v>
      </c>
      <c r="V758" s="44">
        <v>75</v>
      </c>
      <c r="W758" s="45">
        <f t="shared" si="189"/>
        <v>552</v>
      </c>
      <c r="X758" s="19">
        <f t="shared" si="190"/>
        <v>92</v>
      </c>
      <c r="Y758" s="3">
        <v>78</v>
      </c>
      <c r="Z758" s="4">
        <v>65</v>
      </c>
      <c r="AA758" s="5">
        <v>68</v>
      </c>
      <c r="AB758" s="6">
        <v>112</v>
      </c>
      <c r="AC758" s="7">
        <v>154</v>
      </c>
      <c r="AD758" s="8">
        <v>75</v>
      </c>
      <c r="AE758" s="1">
        <v>552</v>
      </c>
      <c r="AF758" s="19">
        <v>92</v>
      </c>
      <c r="AN758" s="174"/>
      <c r="AV758" s="174"/>
      <c r="AW758" s="45"/>
      <c r="AX758" s="174" t="b">
        <f>IF('Refined Compare'!$D$2="All",TRUE,IF(F758='Refined Compare'!$D$2,TRUE,IF(G758='Refined Compare'!$D$2,TRUE,FALSE)))</f>
        <v>0</v>
      </c>
      <c r="AY758" s="174" t="b">
        <f>IF('Refined Compare'!$D$3="All",TRUE,IF(F758='Refined Compare'!$D$3,TRUE,IF(G758='Refined Compare'!$D$3,TRUE,FALSE)))</f>
        <v>1</v>
      </c>
      <c r="AZ758" s="174" t="b">
        <f t="shared" si="187"/>
        <v>0</v>
      </c>
    </row>
    <row r="759" spans="1:52" x14ac:dyDescent="0.35">
      <c r="A759">
        <f t="shared" si="188"/>
        <v>758</v>
      </c>
      <c r="B759" s="18">
        <v>672</v>
      </c>
      <c r="C759" s="61">
        <v>6</v>
      </c>
      <c r="D759" s="61" t="b">
        <v>0</v>
      </c>
      <c r="E759" s="61"/>
      <c r="F759" s="66" t="s">
        <v>806</v>
      </c>
      <c r="G759" s="66" t="s">
        <v>827</v>
      </c>
      <c r="H759" s="38" t="s">
        <v>262</v>
      </c>
      <c r="I759" s="39">
        <f t="shared" si="191"/>
        <v>0</v>
      </c>
      <c r="J759" s="40">
        <f t="shared" si="192"/>
        <v>0</v>
      </c>
      <c r="K759" s="41">
        <f t="shared" si="193"/>
        <v>0</v>
      </c>
      <c r="L759" s="42">
        <f t="shared" si="194"/>
        <v>0</v>
      </c>
      <c r="M759" s="43">
        <f t="shared" si="195"/>
        <v>0</v>
      </c>
      <c r="N759" s="44">
        <f t="shared" si="196"/>
        <v>0</v>
      </c>
      <c r="O759" s="45">
        <f t="shared" si="197"/>
        <v>0</v>
      </c>
      <c r="P759" s="19">
        <f t="shared" si="198"/>
        <v>0</v>
      </c>
      <c r="Q759" s="177">
        <v>66</v>
      </c>
      <c r="R759" s="40">
        <v>65</v>
      </c>
      <c r="S759" s="41">
        <v>48</v>
      </c>
      <c r="T759" s="42">
        <v>62</v>
      </c>
      <c r="U759" s="43">
        <v>57</v>
      </c>
      <c r="V759" s="44">
        <v>52</v>
      </c>
      <c r="W759" s="45">
        <f t="shared" si="189"/>
        <v>350</v>
      </c>
      <c r="X759" s="19">
        <f t="shared" si="190"/>
        <v>58.33</v>
      </c>
      <c r="Y759" s="3">
        <v>66</v>
      </c>
      <c r="Z759" s="4">
        <v>65</v>
      </c>
      <c r="AA759" s="5">
        <v>48</v>
      </c>
      <c r="AB759" s="6">
        <v>62</v>
      </c>
      <c r="AC759" s="7">
        <v>57</v>
      </c>
      <c r="AD759" s="8">
        <v>52</v>
      </c>
      <c r="AE759" s="1">
        <v>350</v>
      </c>
      <c r="AF759" s="19">
        <v>58.33</v>
      </c>
      <c r="AN759" s="174"/>
      <c r="AV759" s="174"/>
      <c r="AW759" s="45"/>
      <c r="AX759" s="174" t="b">
        <f>IF('Refined Compare'!$D$2="All",TRUE,IF(F759='Refined Compare'!$D$2,TRUE,IF(G759='Refined Compare'!$D$2,TRUE,FALSE)))</f>
        <v>0</v>
      </c>
      <c r="AY759" s="174" t="b">
        <f>IF('Refined Compare'!$D$3="All",TRUE,IF(F759='Refined Compare'!$D$3,TRUE,IF(G759='Refined Compare'!$D$3,TRUE,FALSE)))</f>
        <v>1</v>
      </c>
      <c r="AZ759" s="174" t="b">
        <f t="shared" si="187"/>
        <v>0</v>
      </c>
    </row>
    <row r="760" spans="1:52" x14ac:dyDescent="0.35">
      <c r="A760">
        <f t="shared" si="188"/>
        <v>759</v>
      </c>
      <c r="B760" s="18">
        <v>673</v>
      </c>
      <c r="C760" s="61">
        <v>6</v>
      </c>
      <c r="D760" s="118" t="b">
        <v>1</v>
      </c>
      <c r="E760" s="61"/>
      <c r="F760" s="66" t="s">
        <v>806</v>
      </c>
      <c r="G760" s="66" t="s">
        <v>827</v>
      </c>
      <c r="H760" s="38" t="s">
        <v>413</v>
      </c>
      <c r="I760" s="39">
        <f t="shared" si="191"/>
        <v>0</v>
      </c>
      <c r="J760" s="40">
        <f t="shared" si="192"/>
        <v>0</v>
      </c>
      <c r="K760" s="41">
        <f t="shared" si="193"/>
        <v>0</v>
      </c>
      <c r="L760" s="42">
        <f t="shared" si="194"/>
        <v>0</v>
      </c>
      <c r="M760" s="43">
        <f t="shared" si="195"/>
        <v>0</v>
      </c>
      <c r="N760" s="44">
        <f t="shared" si="196"/>
        <v>0</v>
      </c>
      <c r="O760" s="45">
        <f t="shared" si="197"/>
        <v>0</v>
      </c>
      <c r="P760" s="19">
        <f t="shared" si="198"/>
        <v>0</v>
      </c>
      <c r="Q760" s="177">
        <v>123</v>
      </c>
      <c r="R760" s="40">
        <v>100</v>
      </c>
      <c r="S760" s="41">
        <v>62</v>
      </c>
      <c r="T760" s="42">
        <v>97</v>
      </c>
      <c r="U760" s="43">
        <v>81</v>
      </c>
      <c r="V760" s="44">
        <v>68</v>
      </c>
      <c r="W760" s="45">
        <f t="shared" si="189"/>
        <v>531</v>
      </c>
      <c r="X760" s="19">
        <f t="shared" si="190"/>
        <v>88.5</v>
      </c>
      <c r="Y760" s="3">
        <v>123</v>
      </c>
      <c r="Z760" s="4">
        <v>100</v>
      </c>
      <c r="AA760" s="5">
        <v>62</v>
      </c>
      <c r="AB760" s="6">
        <v>97</v>
      </c>
      <c r="AC760" s="7">
        <v>81</v>
      </c>
      <c r="AD760" s="8">
        <v>68</v>
      </c>
      <c r="AE760" s="1">
        <v>531</v>
      </c>
      <c r="AF760" s="19">
        <v>88.5</v>
      </c>
      <c r="AN760" s="174"/>
      <c r="AV760" s="174"/>
      <c r="AW760" s="45"/>
      <c r="AX760" s="174" t="b">
        <f>IF('Refined Compare'!$D$2="All",TRUE,IF(F760='Refined Compare'!$D$2,TRUE,IF(G760='Refined Compare'!$D$2,TRUE,FALSE)))</f>
        <v>0</v>
      </c>
      <c r="AY760" s="174" t="b">
        <f>IF('Refined Compare'!$D$3="All",TRUE,IF(F760='Refined Compare'!$D$3,TRUE,IF(G760='Refined Compare'!$D$3,TRUE,FALSE)))</f>
        <v>1</v>
      </c>
      <c r="AZ760" s="174" t="b">
        <f t="shared" si="187"/>
        <v>0</v>
      </c>
    </row>
    <row r="761" spans="1:52" x14ac:dyDescent="0.35">
      <c r="A761">
        <f t="shared" si="188"/>
        <v>760</v>
      </c>
      <c r="B761" s="18">
        <v>674</v>
      </c>
      <c r="C761" s="61">
        <v>6</v>
      </c>
      <c r="D761" s="61" t="b">
        <v>0</v>
      </c>
      <c r="E761" s="61"/>
      <c r="F761" s="66" t="s">
        <v>816</v>
      </c>
      <c r="G761" s="66" t="s">
        <v>827</v>
      </c>
      <c r="H761" s="38" t="s">
        <v>167</v>
      </c>
      <c r="I761" s="39">
        <f t="shared" si="191"/>
        <v>0</v>
      </c>
      <c r="J761" s="40">
        <f t="shared" si="192"/>
        <v>0</v>
      </c>
      <c r="K761" s="41">
        <f t="shared" si="193"/>
        <v>0</v>
      </c>
      <c r="L761" s="42">
        <f t="shared" si="194"/>
        <v>0</v>
      </c>
      <c r="M761" s="43">
        <f t="shared" si="195"/>
        <v>0</v>
      </c>
      <c r="N761" s="44">
        <f t="shared" si="196"/>
        <v>0</v>
      </c>
      <c r="O761" s="45">
        <f t="shared" si="197"/>
        <v>0</v>
      </c>
      <c r="P761" s="19">
        <f t="shared" si="198"/>
        <v>0</v>
      </c>
      <c r="Q761" s="177">
        <v>67</v>
      </c>
      <c r="R761" s="40">
        <v>82</v>
      </c>
      <c r="S761" s="41">
        <v>62</v>
      </c>
      <c r="T761" s="42">
        <v>46</v>
      </c>
      <c r="U761" s="43">
        <v>48</v>
      </c>
      <c r="V761" s="44">
        <v>43</v>
      </c>
      <c r="W761" s="45">
        <f t="shared" si="189"/>
        <v>348</v>
      </c>
      <c r="X761" s="19">
        <f t="shared" si="190"/>
        <v>58</v>
      </c>
      <c r="Y761" s="3">
        <v>67</v>
      </c>
      <c r="Z761" s="4">
        <v>82</v>
      </c>
      <c r="AA761" s="5">
        <v>62</v>
      </c>
      <c r="AB761" s="6">
        <v>46</v>
      </c>
      <c r="AC761" s="7">
        <v>48</v>
      </c>
      <c r="AD761" s="8">
        <v>43</v>
      </c>
      <c r="AE761" s="1">
        <v>348</v>
      </c>
      <c r="AF761" s="19">
        <v>58</v>
      </c>
      <c r="AN761" s="174"/>
      <c r="AV761" s="174"/>
      <c r="AW761" s="45"/>
      <c r="AX761" s="174" t="b">
        <f>IF('Refined Compare'!$D$2="All",TRUE,IF(F761='Refined Compare'!$D$2,TRUE,IF(G761='Refined Compare'!$D$2,TRUE,FALSE)))</f>
        <v>0</v>
      </c>
      <c r="AY761" s="174" t="b">
        <f>IF('Refined Compare'!$D$3="All",TRUE,IF(F761='Refined Compare'!$D$3,TRUE,IF(G761='Refined Compare'!$D$3,TRUE,FALSE)))</f>
        <v>1</v>
      </c>
      <c r="AZ761" s="174" t="b">
        <f t="shared" si="187"/>
        <v>0</v>
      </c>
    </row>
    <row r="762" spans="1:52" x14ac:dyDescent="0.35">
      <c r="A762">
        <f t="shared" si="188"/>
        <v>761</v>
      </c>
      <c r="B762" s="18">
        <v>675</v>
      </c>
      <c r="C762" s="61">
        <v>6</v>
      </c>
      <c r="D762" s="118" t="b">
        <v>1</v>
      </c>
      <c r="E762" s="61"/>
      <c r="F762" s="66" t="s">
        <v>816</v>
      </c>
      <c r="G762" s="66" t="s">
        <v>823</v>
      </c>
      <c r="H762" s="38" t="s">
        <v>308</v>
      </c>
      <c r="I762" s="39">
        <f t="shared" si="191"/>
        <v>0</v>
      </c>
      <c r="J762" s="40">
        <f t="shared" si="192"/>
        <v>0</v>
      </c>
      <c r="K762" s="41">
        <f t="shared" si="193"/>
        <v>0</v>
      </c>
      <c r="L762" s="42">
        <f t="shared" si="194"/>
        <v>0</v>
      </c>
      <c r="M762" s="43">
        <f t="shared" si="195"/>
        <v>0</v>
      </c>
      <c r="N762" s="44">
        <f t="shared" si="196"/>
        <v>0</v>
      </c>
      <c r="O762" s="45">
        <f t="shared" si="197"/>
        <v>0</v>
      </c>
      <c r="P762" s="19">
        <f t="shared" si="198"/>
        <v>0</v>
      </c>
      <c r="Q762" s="177">
        <v>95</v>
      </c>
      <c r="R762" s="40">
        <v>124</v>
      </c>
      <c r="S762" s="41">
        <v>78</v>
      </c>
      <c r="T762" s="42">
        <v>69</v>
      </c>
      <c r="U762" s="43">
        <v>71</v>
      </c>
      <c r="V762" s="44">
        <v>58</v>
      </c>
      <c r="W762" s="45">
        <f t="shared" si="189"/>
        <v>495</v>
      </c>
      <c r="X762" s="19">
        <f t="shared" si="190"/>
        <v>82.5</v>
      </c>
      <c r="Y762" s="3">
        <v>95</v>
      </c>
      <c r="Z762" s="4">
        <v>124</v>
      </c>
      <c r="AA762" s="5">
        <v>78</v>
      </c>
      <c r="AB762" s="6">
        <v>69</v>
      </c>
      <c r="AC762" s="7">
        <v>71</v>
      </c>
      <c r="AD762" s="8">
        <v>58</v>
      </c>
      <c r="AE762" s="1">
        <v>495</v>
      </c>
      <c r="AF762" s="19">
        <v>82.5</v>
      </c>
      <c r="AN762" s="174"/>
      <c r="AV762" s="174"/>
      <c r="AW762" s="45"/>
      <c r="AX762" s="174" t="b">
        <f>IF('Refined Compare'!$D$2="All",TRUE,IF(F762='Refined Compare'!$D$2,TRUE,IF(G762='Refined Compare'!$D$2,TRUE,FALSE)))</f>
        <v>1</v>
      </c>
      <c r="AY762" s="174" t="b">
        <f>IF('Refined Compare'!$D$3="All",TRUE,IF(F762='Refined Compare'!$D$3,TRUE,IF(G762='Refined Compare'!$D$3,TRUE,FALSE)))</f>
        <v>0</v>
      </c>
      <c r="AZ762" s="174" t="b">
        <f t="shared" si="187"/>
        <v>0</v>
      </c>
    </row>
    <row r="763" spans="1:52" x14ac:dyDescent="0.35">
      <c r="A763">
        <f t="shared" si="188"/>
        <v>762</v>
      </c>
      <c r="B763" s="18">
        <v>676</v>
      </c>
      <c r="C763" s="61">
        <v>6</v>
      </c>
      <c r="D763" s="118" t="b">
        <v>1</v>
      </c>
      <c r="E763" s="61"/>
      <c r="F763" s="66" t="s">
        <v>812</v>
      </c>
      <c r="G763" s="66" t="s">
        <v>827</v>
      </c>
      <c r="H763" s="38" t="s">
        <v>689</v>
      </c>
      <c r="I763" s="39">
        <f t="shared" si="191"/>
        <v>0</v>
      </c>
      <c r="J763" s="40">
        <f t="shared" si="192"/>
        <v>0</v>
      </c>
      <c r="K763" s="41">
        <f t="shared" si="193"/>
        <v>0</v>
      </c>
      <c r="L763" s="42">
        <f t="shared" si="194"/>
        <v>0</v>
      </c>
      <c r="M763" s="43">
        <f t="shared" si="195"/>
        <v>0</v>
      </c>
      <c r="N763" s="44">
        <f t="shared" si="196"/>
        <v>0</v>
      </c>
      <c r="O763" s="45">
        <f t="shared" si="197"/>
        <v>0</v>
      </c>
      <c r="P763" s="19">
        <f t="shared" si="198"/>
        <v>0</v>
      </c>
      <c r="Q763" s="177">
        <v>75</v>
      </c>
      <c r="R763" s="40">
        <v>80</v>
      </c>
      <c r="S763" s="41">
        <v>60</v>
      </c>
      <c r="T763" s="42">
        <v>65</v>
      </c>
      <c r="U763" s="43">
        <v>90</v>
      </c>
      <c r="V763" s="44">
        <v>102</v>
      </c>
      <c r="W763" s="45">
        <f t="shared" si="189"/>
        <v>472</v>
      </c>
      <c r="X763" s="19">
        <f t="shared" si="190"/>
        <v>78.67</v>
      </c>
      <c r="Y763" s="3">
        <v>75</v>
      </c>
      <c r="Z763" s="4">
        <v>80</v>
      </c>
      <c r="AA763" s="5">
        <v>60</v>
      </c>
      <c r="AB763" s="6">
        <v>65</v>
      </c>
      <c r="AC763" s="7">
        <v>90</v>
      </c>
      <c r="AD763" s="8">
        <v>102</v>
      </c>
      <c r="AE763" s="1">
        <v>472</v>
      </c>
      <c r="AF763" s="19">
        <v>78.67</v>
      </c>
      <c r="AN763" s="174"/>
      <c r="AV763" s="174"/>
      <c r="AW763" s="45"/>
      <c r="AX763" s="174" t="b">
        <f>IF('Refined Compare'!$D$2="All",TRUE,IF(F763='Refined Compare'!$D$2,TRUE,IF(G763='Refined Compare'!$D$2,TRUE,FALSE)))</f>
        <v>0</v>
      </c>
      <c r="AY763" s="174" t="b">
        <f>IF('Refined Compare'!$D$3="All",TRUE,IF(F763='Refined Compare'!$D$3,TRUE,IF(G763='Refined Compare'!$D$3,TRUE,FALSE)))</f>
        <v>1</v>
      </c>
      <c r="AZ763" s="174" t="b">
        <f t="shared" si="187"/>
        <v>0</v>
      </c>
    </row>
    <row r="764" spans="1:52" x14ac:dyDescent="0.35">
      <c r="A764">
        <f t="shared" si="188"/>
        <v>763</v>
      </c>
      <c r="B764" s="18">
        <v>677</v>
      </c>
      <c r="C764" s="61">
        <v>6</v>
      </c>
      <c r="D764" s="61" t="b">
        <v>0</v>
      </c>
      <c r="E764" s="61"/>
      <c r="F764" s="66" t="s">
        <v>817</v>
      </c>
      <c r="G764" s="66" t="s">
        <v>827</v>
      </c>
      <c r="H764" s="38" t="s">
        <v>414</v>
      </c>
      <c r="I764" s="39">
        <f t="shared" si="191"/>
        <v>0</v>
      </c>
      <c r="J764" s="40">
        <f t="shared" si="192"/>
        <v>0</v>
      </c>
      <c r="K764" s="41">
        <f t="shared" si="193"/>
        <v>0</v>
      </c>
      <c r="L764" s="42">
        <f t="shared" si="194"/>
        <v>0</v>
      </c>
      <c r="M764" s="43">
        <f t="shared" si="195"/>
        <v>0</v>
      </c>
      <c r="N764" s="44">
        <f t="shared" si="196"/>
        <v>0</v>
      </c>
      <c r="O764" s="45">
        <f t="shared" si="197"/>
        <v>0</v>
      </c>
      <c r="P764" s="19">
        <f t="shared" si="198"/>
        <v>0</v>
      </c>
      <c r="Q764" s="177">
        <v>62</v>
      </c>
      <c r="R764" s="40">
        <v>48</v>
      </c>
      <c r="S764" s="41">
        <v>54</v>
      </c>
      <c r="T764" s="42">
        <v>63</v>
      </c>
      <c r="U764" s="43">
        <v>60</v>
      </c>
      <c r="V764" s="44">
        <v>68</v>
      </c>
      <c r="W764" s="45">
        <f t="shared" si="189"/>
        <v>355</v>
      </c>
      <c r="X764" s="19">
        <f t="shared" si="190"/>
        <v>59.17</v>
      </c>
      <c r="Y764" s="3">
        <v>62</v>
      </c>
      <c r="Z764" s="4">
        <v>48</v>
      </c>
      <c r="AA764" s="5">
        <v>54</v>
      </c>
      <c r="AB764" s="6">
        <v>63</v>
      </c>
      <c r="AC764" s="7">
        <v>60</v>
      </c>
      <c r="AD764" s="8">
        <v>68</v>
      </c>
      <c r="AE764" s="1">
        <v>355</v>
      </c>
      <c r="AF764" s="19">
        <v>59.17</v>
      </c>
      <c r="AN764" s="174"/>
      <c r="AV764" s="174"/>
      <c r="AW764" s="45"/>
      <c r="AX764" s="174" t="b">
        <f>IF('Refined Compare'!$D$2="All",TRUE,IF(F764='Refined Compare'!$D$2,TRUE,IF(G764='Refined Compare'!$D$2,TRUE,FALSE)))</f>
        <v>0</v>
      </c>
      <c r="AY764" s="174" t="b">
        <f>IF('Refined Compare'!$D$3="All",TRUE,IF(F764='Refined Compare'!$D$3,TRUE,IF(G764='Refined Compare'!$D$3,TRUE,FALSE)))</f>
        <v>1</v>
      </c>
      <c r="AZ764" s="174" t="b">
        <f t="shared" si="187"/>
        <v>0</v>
      </c>
    </row>
    <row r="765" spans="1:52" x14ac:dyDescent="0.35">
      <c r="A765">
        <f t="shared" si="188"/>
        <v>764</v>
      </c>
      <c r="B765" s="18">
        <v>678</v>
      </c>
      <c r="C765" s="61">
        <v>6</v>
      </c>
      <c r="D765" s="118" t="b">
        <v>1</v>
      </c>
      <c r="E765" s="61"/>
      <c r="F765" s="66" t="s">
        <v>817</v>
      </c>
      <c r="G765" s="66" t="s">
        <v>827</v>
      </c>
      <c r="H765" s="38" t="s">
        <v>692</v>
      </c>
      <c r="I765" s="39">
        <f t="shared" si="191"/>
        <v>0</v>
      </c>
      <c r="J765" s="40">
        <f t="shared" si="192"/>
        <v>0</v>
      </c>
      <c r="K765" s="41">
        <f t="shared" si="193"/>
        <v>0</v>
      </c>
      <c r="L765" s="42">
        <f t="shared" si="194"/>
        <v>0</v>
      </c>
      <c r="M765" s="43">
        <f t="shared" si="195"/>
        <v>0</v>
      </c>
      <c r="N765" s="44">
        <f t="shared" si="196"/>
        <v>0</v>
      </c>
      <c r="O765" s="45">
        <f t="shared" si="197"/>
        <v>0</v>
      </c>
      <c r="P765" s="19">
        <f t="shared" si="198"/>
        <v>0</v>
      </c>
      <c r="Q765" s="177">
        <v>74</v>
      </c>
      <c r="R765" s="40">
        <v>48</v>
      </c>
      <c r="S765" s="41">
        <v>76</v>
      </c>
      <c r="T765" s="42">
        <v>83</v>
      </c>
      <c r="U765" s="43">
        <v>81</v>
      </c>
      <c r="V765" s="44">
        <v>104</v>
      </c>
      <c r="W765" s="45">
        <f t="shared" si="189"/>
        <v>466</v>
      </c>
      <c r="X765" s="19">
        <f t="shared" si="190"/>
        <v>77.67</v>
      </c>
      <c r="Y765" s="3">
        <v>74</v>
      </c>
      <c r="Z765" s="4">
        <v>48</v>
      </c>
      <c r="AA765" s="5">
        <v>76</v>
      </c>
      <c r="AB765" s="6">
        <v>83</v>
      </c>
      <c r="AC765" s="7">
        <v>81</v>
      </c>
      <c r="AD765" s="8">
        <v>104</v>
      </c>
      <c r="AE765" s="1">
        <v>466</v>
      </c>
      <c r="AF765" s="19">
        <v>77.67</v>
      </c>
      <c r="AN765" s="174"/>
      <c r="AV765" s="174"/>
      <c r="AW765" s="45"/>
      <c r="AX765" s="174" t="b">
        <f>IF('Refined Compare'!$D$2="All",TRUE,IF(F765='Refined Compare'!$D$2,TRUE,IF(G765='Refined Compare'!$D$2,TRUE,FALSE)))</f>
        <v>0</v>
      </c>
      <c r="AY765" s="174" t="b">
        <f>IF('Refined Compare'!$D$3="All",TRUE,IF(F765='Refined Compare'!$D$3,TRUE,IF(G765='Refined Compare'!$D$3,TRUE,FALSE)))</f>
        <v>1</v>
      </c>
      <c r="AZ765" s="174" t="b">
        <f t="shared" si="187"/>
        <v>0</v>
      </c>
    </row>
    <row r="766" spans="1:52" x14ac:dyDescent="0.35">
      <c r="A766">
        <f t="shared" si="188"/>
        <v>765</v>
      </c>
      <c r="B766" s="18">
        <v>679</v>
      </c>
      <c r="C766" s="61">
        <v>6</v>
      </c>
      <c r="D766" s="61" t="b">
        <v>0</v>
      </c>
      <c r="E766" s="61"/>
      <c r="F766" s="66" t="s">
        <v>819</v>
      </c>
      <c r="G766" s="66" t="s">
        <v>821</v>
      </c>
      <c r="H766" s="38" t="s">
        <v>46</v>
      </c>
      <c r="I766" s="39">
        <f t="shared" si="191"/>
        <v>0</v>
      </c>
      <c r="J766" s="40">
        <f t="shared" si="192"/>
        <v>0</v>
      </c>
      <c r="K766" s="41">
        <f t="shared" si="193"/>
        <v>0</v>
      </c>
      <c r="L766" s="42">
        <f t="shared" si="194"/>
        <v>0</v>
      </c>
      <c r="M766" s="43">
        <f t="shared" si="195"/>
        <v>0</v>
      </c>
      <c r="N766" s="44">
        <f t="shared" si="196"/>
        <v>0</v>
      </c>
      <c r="O766" s="45">
        <f t="shared" si="197"/>
        <v>0</v>
      </c>
      <c r="P766" s="19">
        <f t="shared" si="198"/>
        <v>0</v>
      </c>
      <c r="Q766" s="177">
        <v>45</v>
      </c>
      <c r="R766" s="40">
        <v>80</v>
      </c>
      <c r="S766" s="41">
        <v>100</v>
      </c>
      <c r="T766" s="42">
        <v>35</v>
      </c>
      <c r="U766" s="43">
        <v>37</v>
      </c>
      <c r="V766" s="44">
        <v>28</v>
      </c>
      <c r="W766" s="45">
        <f t="shared" si="189"/>
        <v>325</v>
      </c>
      <c r="X766" s="19">
        <f t="shared" si="190"/>
        <v>54.17</v>
      </c>
      <c r="Y766" s="3">
        <v>45</v>
      </c>
      <c r="Z766" s="4">
        <v>80</v>
      </c>
      <c r="AA766" s="5">
        <v>100</v>
      </c>
      <c r="AB766" s="6">
        <v>35</v>
      </c>
      <c r="AC766" s="7">
        <v>37</v>
      </c>
      <c r="AD766" s="8">
        <v>28</v>
      </c>
      <c r="AE766" s="1">
        <v>325</v>
      </c>
      <c r="AF766" s="19">
        <v>54.17</v>
      </c>
      <c r="AN766" s="174"/>
      <c r="AV766" s="174"/>
      <c r="AW766" s="45"/>
      <c r="AX766" s="174" t="b">
        <f>IF('Refined Compare'!$D$2="All",TRUE,IF(F766='Refined Compare'!$D$2,TRUE,IF(G766='Refined Compare'!$D$2,TRUE,FALSE)))</f>
        <v>0</v>
      </c>
      <c r="AY766" s="174" t="b">
        <f>IF('Refined Compare'!$D$3="All",TRUE,IF(F766='Refined Compare'!$D$3,TRUE,IF(G766='Refined Compare'!$D$3,TRUE,FALSE)))</f>
        <v>0</v>
      </c>
      <c r="AZ766" s="174" t="b">
        <f t="shared" si="187"/>
        <v>0</v>
      </c>
    </row>
    <row r="767" spans="1:52" x14ac:dyDescent="0.35">
      <c r="A767">
        <f t="shared" si="188"/>
        <v>766</v>
      </c>
      <c r="B767" s="18">
        <v>680</v>
      </c>
      <c r="C767" s="61">
        <v>6</v>
      </c>
      <c r="D767" s="61" t="b">
        <v>0</v>
      </c>
      <c r="E767" s="61"/>
      <c r="F767" s="66" t="s">
        <v>819</v>
      </c>
      <c r="G767" s="66" t="s">
        <v>821</v>
      </c>
      <c r="H767" s="38" t="s">
        <v>116</v>
      </c>
      <c r="I767" s="39">
        <f t="shared" si="191"/>
        <v>0</v>
      </c>
      <c r="J767" s="40">
        <f t="shared" si="192"/>
        <v>0</v>
      </c>
      <c r="K767" s="41">
        <f t="shared" si="193"/>
        <v>0</v>
      </c>
      <c r="L767" s="42">
        <f t="shared" si="194"/>
        <v>0</v>
      </c>
      <c r="M767" s="43">
        <f t="shared" si="195"/>
        <v>0</v>
      </c>
      <c r="N767" s="44">
        <f t="shared" si="196"/>
        <v>0</v>
      </c>
      <c r="O767" s="45">
        <f t="shared" si="197"/>
        <v>0</v>
      </c>
      <c r="P767" s="19">
        <f t="shared" si="198"/>
        <v>0</v>
      </c>
      <c r="Q767" s="177">
        <v>59</v>
      </c>
      <c r="R767" s="40">
        <v>110</v>
      </c>
      <c r="S767" s="41">
        <v>150</v>
      </c>
      <c r="T767" s="42">
        <v>45</v>
      </c>
      <c r="U767" s="43">
        <v>49</v>
      </c>
      <c r="V767" s="44">
        <v>35</v>
      </c>
      <c r="W767" s="45">
        <f t="shared" si="189"/>
        <v>448</v>
      </c>
      <c r="X767" s="19">
        <f t="shared" si="190"/>
        <v>74.67</v>
      </c>
      <c r="Y767" s="3">
        <v>59</v>
      </c>
      <c r="Z767" s="4">
        <v>110</v>
      </c>
      <c r="AA767" s="5">
        <v>150</v>
      </c>
      <c r="AB767" s="6">
        <v>45</v>
      </c>
      <c r="AC767" s="7">
        <v>49</v>
      </c>
      <c r="AD767" s="8">
        <v>35</v>
      </c>
      <c r="AE767" s="1">
        <v>448</v>
      </c>
      <c r="AF767" s="19">
        <v>74.67</v>
      </c>
      <c r="AN767" s="174"/>
      <c r="AV767" s="174"/>
      <c r="AW767" s="45"/>
      <c r="AX767" s="174" t="b">
        <f>IF('Refined Compare'!$D$2="All",TRUE,IF(F767='Refined Compare'!$D$2,TRUE,IF(G767='Refined Compare'!$D$2,TRUE,FALSE)))</f>
        <v>0</v>
      </c>
      <c r="AY767" s="174" t="b">
        <f>IF('Refined Compare'!$D$3="All",TRUE,IF(F767='Refined Compare'!$D$3,TRUE,IF(G767='Refined Compare'!$D$3,TRUE,FALSE)))</f>
        <v>0</v>
      </c>
      <c r="AZ767" s="174" t="b">
        <f t="shared" si="187"/>
        <v>0</v>
      </c>
    </row>
    <row r="768" spans="1:52" x14ac:dyDescent="0.35">
      <c r="A768">
        <f t="shared" si="188"/>
        <v>767</v>
      </c>
      <c r="B768" s="62">
        <v>681</v>
      </c>
      <c r="C768" s="61">
        <v>6</v>
      </c>
      <c r="D768" s="118" t="b">
        <v>1</v>
      </c>
      <c r="E768" s="61"/>
      <c r="F768" s="66" t="s">
        <v>819</v>
      </c>
      <c r="G768" s="66" t="s">
        <v>821</v>
      </c>
      <c r="H768" s="38" t="s">
        <v>353</v>
      </c>
      <c r="I768" s="39">
        <f t="shared" si="191"/>
        <v>0</v>
      </c>
      <c r="J768" s="40">
        <f t="shared" si="192"/>
        <v>0</v>
      </c>
      <c r="K768" s="41">
        <f t="shared" si="193"/>
        <v>0</v>
      </c>
      <c r="L768" s="42">
        <f t="shared" si="194"/>
        <v>0</v>
      </c>
      <c r="M768" s="43">
        <f t="shared" si="195"/>
        <v>0</v>
      </c>
      <c r="N768" s="44">
        <f t="shared" si="196"/>
        <v>0</v>
      </c>
      <c r="O768" s="45">
        <f t="shared" si="197"/>
        <v>0</v>
      </c>
      <c r="P768" s="19">
        <f t="shared" si="198"/>
        <v>0</v>
      </c>
      <c r="Q768" s="177">
        <v>60</v>
      </c>
      <c r="R768" s="40">
        <v>150</v>
      </c>
      <c r="S768" s="41">
        <v>50</v>
      </c>
      <c r="T768" s="42">
        <v>150</v>
      </c>
      <c r="U768" s="43">
        <v>50</v>
      </c>
      <c r="V768" s="44">
        <v>60</v>
      </c>
      <c r="W768" s="45">
        <f t="shared" si="189"/>
        <v>520</v>
      </c>
      <c r="X768" s="19">
        <f t="shared" si="190"/>
        <v>86.67</v>
      </c>
      <c r="Y768" s="39">
        <v>60</v>
      </c>
      <c r="Z768" s="40">
        <v>150</v>
      </c>
      <c r="AA768" s="41">
        <v>50</v>
      </c>
      <c r="AB768" s="42">
        <v>150</v>
      </c>
      <c r="AC768" s="43">
        <v>50</v>
      </c>
      <c r="AD768" s="44">
        <v>60</v>
      </c>
      <c r="AE768" s="45">
        <v>520</v>
      </c>
      <c r="AF768" s="19">
        <v>86.67</v>
      </c>
      <c r="AN768" s="174"/>
      <c r="AV768" s="174"/>
      <c r="AW768" s="45"/>
      <c r="AX768" s="174" t="b">
        <f>IF('Refined Compare'!$D$2="All",TRUE,IF(F768='Refined Compare'!$D$2,TRUE,IF(G768='Refined Compare'!$D$2,TRUE,FALSE)))</f>
        <v>0</v>
      </c>
      <c r="AY768" s="174" t="b">
        <f>IF('Refined Compare'!$D$3="All",TRUE,IF(F768='Refined Compare'!$D$3,TRUE,IF(G768='Refined Compare'!$D$3,TRUE,FALSE)))</f>
        <v>0</v>
      </c>
      <c r="AZ768" s="174" t="b">
        <f t="shared" si="187"/>
        <v>0</v>
      </c>
    </row>
    <row r="769" spans="1:52" x14ac:dyDescent="0.35">
      <c r="A769">
        <f t="shared" si="188"/>
        <v>768</v>
      </c>
      <c r="B769" s="18">
        <v>681</v>
      </c>
      <c r="C769" s="61">
        <v>6</v>
      </c>
      <c r="D769" s="118" t="b">
        <v>1</v>
      </c>
      <c r="E769" s="61"/>
      <c r="F769" s="66" t="s">
        <v>819</v>
      </c>
      <c r="G769" s="66" t="s">
        <v>821</v>
      </c>
      <c r="H769" s="38" t="s">
        <v>352</v>
      </c>
      <c r="I769" s="39">
        <f t="shared" si="191"/>
        <v>0</v>
      </c>
      <c r="J769" s="40">
        <f t="shared" si="192"/>
        <v>0</v>
      </c>
      <c r="K769" s="41">
        <f t="shared" si="193"/>
        <v>0</v>
      </c>
      <c r="L769" s="42">
        <f t="shared" si="194"/>
        <v>0</v>
      </c>
      <c r="M769" s="43">
        <f t="shared" si="195"/>
        <v>0</v>
      </c>
      <c r="N769" s="44">
        <f t="shared" si="196"/>
        <v>0</v>
      </c>
      <c r="O769" s="45">
        <f t="shared" si="197"/>
        <v>0</v>
      </c>
      <c r="P769" s="19">
        <f t="shared" si="198"/>
        <v>0</v>
      </c>
      <c r="Q769" s="177">
        <v>60</v>
      </c>
      <c r="R769" s="40">
        <v>50</v>
      </c>
      <c r="S769" s="41">
        <v>150</v>
      </c>
      <c r="T769" s="42">
        <v>50</v>
      </c>
      <c r="U769" s="43">
        <v>150</v>
      </c>
      <c r="V769" s="44">
        <v>60</v>
      </c>
      <c r="W769" s="45">
        <f t="shared" si="189"/>
        <v>520</v>
      </c>
      <c r="X769" s="19">
        <f t="shared" si="190"/>
        <v>86.67</v>
      </c>
      <c r="Y769" s="3">
        <v>60</v>
      </c>
      <c r="Z769" s="4">
        <v>50</v>
      </c>
      <c r="AA769" s="5">
        <v>150</v>
      </c>
      <c r="AB769" s="6">
        <v>50</v>
      </c>
      <c r="AC769" s="7">
        <v>150</v>
      </c>
      <c r="AD769" s="8">
        <v>60</v>
      </c>
      <c r="AE769" s="1">
        <v>520</v>
      </c>
      <c r="AF769" s="19">
        <v>86.67</v>
      </c>
      <c r="AN769" s="174"/>
      <c r="AV769" s="174"/>
      <c r="AW769" s="45"/>
      <c r="AX769" s="174" t="b">
        <f>IF('Refined Compare'!$D$2="All",TRUE,IF(F769='Refined Compare'!$D$2,TRUE,IF(G769='Refined Compare'!$D$2,TRUE,FALSE)))</f>
        <v>0</v>
      </c>
      <c r="AY769" s="174" t="b">
        <f>IF('Refined Compare'!$D$3="All",TRUE,IF(F769='Refined Compare'!$D$3,TRUE,IF(G769='Refined Compare'!$D$3,TRUE,FALSE)))</f>
        <v>0</v>
      </c>
      <c r="AZ769" s="174" t="b">
        <f t="shared" si="187"/>
        <v>0</v>
      </c>
    </row>
    <row r="770" spans="1:52" x14ac:dyDescent="0.35">
      <c r="A770">
        <f t="shared" si="188"/>
        <v>769</v>
      </c>
      <c r="B770" s="18">
        <v>682</v>
      </c>
      <c r="C770" s="61">
        <v>6</v>
      </c>
      <c r="D770" s="61" t="b">
        <v>0</v>
      </c>
      <c r="E770" s="61"/>
      <c r="F770" s="66" t="s">
        <v>815</v>
      </c>
      <c r="G770" s="66" t="s">
        <v>827</v>
      </c>
      <c r="H770" s="38" t="s">
        <v>33</v>
      </c>
      <c r="I770" s="39">
        <f t="shared" si="191"/>
        <v>0</v>
      </c>
      <c r="J770" s="40">
        <f t="shared" si="192"/>
        <v>0</v>
      </c>
      <c r="K770" s="41">
        <f t="shared" si="193"/>
        <v>0</v>
      </c>
      <c r="L770" s="42">
        <f t="shared" si="194"/>
        <v>0</v>
      </c>
      <c r="M770" s="43">
        <f t="shared" si="195"/>
        <v>0</v>
      </c>
      <c r="N770" s="44">
        <f t="shared" si="196"/>
        <v>0</v>
      </c>
      <c r="O770" s="45">
        <f t="shared" si="197"/>
        <v>0</v>
      </c>
      <c r="P770" s="19">
        <f t="shared" si="198"/>
        <v>0</v>
      </c>
      <c r="Q770" s="177">
        <v>78</v>
      </c>
      <c r="R770" s="40">
        <v>52</v>
      </c>
      <c r="S770" s="41">
        <v>60</v>
      </c>
      <c r="T770" s="42">
        <v>63</v>
      </c>
      <c r="U770" s="43">
        <v>65</v>
      </c>
      <c r="V770" s="44">
        <v>23</v>
      </c>
      <c r="W770" s="45">
        <f t="shared" si="189"/>
        <v>341</v>
      </c>
      <c r="X770" s="19">
        <f t="shared" si="190"/>
        <v>56.83</v>
      </c>
      <c r="Y770" s="3">
        <v>78</v>
      </c>
      <c r="Z770" s="4">
        <v>52</v>
      </c>
      <c r="AA770" s="5">
        <v>60</v>
      </c>
      <c r="AB770" s="6">
        <v>63</v>
      </c>
      <c r="AC770" s="7">
        <v>65</v>
      </c>
      <c r="AD770" s="8">
        <v>23</v>
      </c>
      <c r="AE770" s="1">
        <v>341</v>
      </c>
      <c r="AF770" s="19">
        <v>56.83</v>
      </c>
      <c r="AN770" s="174"/>
      <c r="AV770" s="174"/>
      <c r="AW770" s="45"/>
      <c r="AX770" s="174" t="b">
        <f>IF('Refined Compare'!$D$2="All",TRUE,IF(F770='Refined Compare'!$D$2,TRUE,IF(G770='Refined Compare'!$D$2,TRUE,FALSE)))</f>
        <v>0</v>
      </c>
      <c r="AY770" s="174" t="b">
        <f>IF('Refined Compare'!$D$3="All",TRUE,IF(F770='Refined Compare'!$D$3,TRUE,IF(G770='Refined Compare'!$D$3,TRUE,FALSE)))</f>
        <v>1</v>
      </c>
      <c r="AZ770" s="174" t="b">
        <f t="shared" ref="AZ770:AZ833" si="199">IF(C770&lt;=$AW$2,TRUE,FALSE)</f>
        <v>0</v>
      </c>
    </row>
    <row r="771" spans="1:52" x14ac:dyDescent="0.35">
      <c r="A771">
        <f t="shared" si="188"/>
        <v>770</v>
      </c>
      <c r="B771" s="18">
        <v>683</v>
      </c>
      <c r="C771" s="61">
        <v>6</v>
      </c>
      <c r="D771" s="118" t="b">
        <v>1</v>
      </c>
      <c r="E771" s="61"/>
      <c r="F771" s="66" t="s">
        <v>815</v>
      </c>
      <c r="G771" s="66" t="s">
        <v>827</v>
      </c>
      <c r="H771" s="38" t="s">
        <v>51</v>
      </c>
      <c r="I771" s="39">
        <f t="shared" si="191"/>
        <v>0</v>
      </c>
      <c r="J771" s="40">
        <f t="shared" si="192"/>
        <v>0</v>
      </c>
      <c r="K771" s="41">
        <f t="shared" si="193"/>
        <v>0</v>
      </c>
      <c r="L771" s="42">
        <f t="shared" si="194"/>
        <v>0</v>
      </c>
      <c r="M771" s="43">
        <f t="shared" si="195"/>
        <v>0</v>
      </c>
      <c r="N771" s="44">
        <f t="shared" si="196"/>
        <v>0</v>
      </c>
      <c r="O771" s="45">
        <f t="shared" si="197"/>
        <v>0</v>
      </c>
      <c r="P771" s="19">
        <f t="shared" si="198"/>
        <v>0</v>
      </c>
      <c r="Q771" s="177">
        <v>101</v>
      </c>
      <c r="R771" s="40">
        <v>72</v>
      </c>
      <c r="S771" s="41">
        <v>72</v>
      </c>
      <c r="T771" s="42">
        <v>99</v>
      </c>
      <c r="U771" s="43">
        <v>89</v>
      </c>
      <c r="V771" s="44">
        <v>29</v>
      </c>
      <c r="W771" s="45">
        <f t="shared" si="189"/>
        <v>462</v>
      </c>
      <c r="X771" s="19">
        <f t="shared" si="190"/>
        <v>77</v>
      </c>
      <c r="Y771" s="3">
        <v>101</v>
      </c>
      <c r="Z771" s="4">
        <v>72</v>
      </c>
      <c r="AA771" s="5">
        <v>72</v>
      </c>
      <c r="AB771" s="6">
        <v>99</v>
      </c>
      <c r="AC771" s="7">
        <v>89</v>
      </c>
      <c r="AD771" s="8">
        <v>29</v>
      </c>
      <c r="AE771" s="1">
        <v>462</v>
      </c>
      <c r="AF771" s="19">
        <v>77</v>
      </c>
      <c r="AN771" s="174"/>
      <c r="AV771" s="174"/>
      <c r="AW771" s="45"/>
      <c r="AX771" s="174" t="b">
        <f>IF('Refined Compare'!$D$2="All",TRUE,IF(F771='Refined Compare'!$D$2,TRUE,IF(G771='Refined Compare'!$D$2,TRUE,FALSE)))</f>
        <v>0</v>
      </c>
      <c r="AY771" s="174" t="b">
        <f>IF('Refined Compare'!$D$3="All",TRUE,IF(F771='Refined Compare'!$D$3,TRUE,IF(G771='Refined Compare'!$D$3,TRUE,FALSE)))</f>
        <v>1</v>
      </c>
      <c r="AZ771" s="174" t="b">
        <f t="shared" si="199"/>
        <v>0</v>
      </c>
    </row>
    <row r="772" spans="1:52" x14ac:dyDescent="0.35">
      <c r="A772">
        <f t="shared" si="188"/>
        <v>771</v>
      </c>
      <c r="B772" s="18">
        <v>684</v>
      </c>
      <c r="C772" s="61">
        <v>6</v>
      </c>
      <c r="D772" s="61" t="b">
        <v>0</v>
      </c>
      <c r="E772" s="61"/>
      <c r="F772" s="66" t="s">
        <v>815</v>
      </c>
      <c r="G772" s="66" t="s">
        <v>827</v>
      </c>
      <c r="H772" s="38" t="s">
        <v>210</v>
      </c>
      <c r="I772" s="39">
        <f t="shared" si="191"/>
        <v>0</v>
      </c>
      <c r="J772" s="40">
        <f t="shared" si="192"/>
        <v>0</v>
      </c>
      <c r="K772" s="41">
        <f t="shared" si="193"/>
        <v>0</v>
      </c>
      <c r="L772" s="42">
        <f t="shared" si="194"/>
        <v>0</v>
      </c>
      <c r="M772" s="43">
        <f t="shared" si="195"/>
        <v>0</v>
      </c>
      <c r="N772" s="44">
        <f t="shared" si="196"/>
        <v>0</v>
      </c>
      <c r="O772" s="45">
        <f t="shared" si="197"/>
        <v>0</v>
      </c>
      <c r="P772" s="19">
        <f t="shared" si="198"/>
        <v>0</v>
      </c>
      <c r="Q772" s="177">
        <v>62</v>
      </c>
      <c r="R772" s="40">
        <v>48</v>
      </c>
      <c r="S772" s="41">
        <v>66</v>
      </c>
      <c r="T772" s="42">
        <v>59</v>
      </c>
      <c r="U772" s="43">
        <v>57</v>
      </c>
      <c r="V772" s="44">
        <v>49</v>
      </c>
      <c r="W772" s="45">
        <f t="shared" si="189"/>
        <v>341</v>
      </c>
      <c r="X772" s="19">
        <f t="shared" si="190"/>
        <v>56.83</v>
      </c>
      <c r="Y772" s="3">
        <v>62</v>
      </c>
      <c r="Z772" s="4">
        <v>48</v>
      </c>
      <c r="AA772" s="5">
        <v>66</v>
      </c>
      <c r="AB772" s="6">
        <v>59</v>
      </c>
      <c r="AC772" s="7">
        <v>57</v>
      </c>
      <c r="AD772" s="8">
        <v>49</v>
      </c>
      <c r="AE772" s="1">
        <v>341</v>
      </c>
      <c r="AF772" s="19">
        <v>56.83</v>
      </c>
      <c r="AN772" s="174"/>
      <c r="AV772" s="174"/>
      <c r="AW772" s="45"/>
      <c r="AX772" s="174" t="b">
        <f>IF('Refined Compare'!$D$2="All",TRUE,IF(F772='Refined Compare'!$D$2,TRUE,IF(G772='Refined Compare'!$D$2,TRUE,FALSE)))</f>
        <v>0</v>
      </c>
      <c r="AY772" s="174" t="b">
        <f>IF('Refined Compare'!$D$3="All",TRUE,IF(F772='Refined Compare'!$D$3,TRUE,IF(G772='Refined Compare'!$D$3,TRUE,FALSE)))</f>
        <v>1</v>
      </c>
      <c r="AZ772" s="174" t="b">
        <f t="shared" si="199"/>
        <v>0</v>
      </c>
    </row>
    <row r="773" spans="1:52" x14ac:dyDescent="0.35">
      <c r="A773">
        <f t="shared" si="188"/>
        <v>772</v>
      </c>
      <c r="B773" s="18">
        <v>685</v>
      </c>
      <c r="C773" s="61">
        <v>6</v>
      </c>
      <c r="D773" s="118" t="b">
        <v>1</v>
      </c>
      <c r="E773" s="61"/>
      <c r="F773" s="66" t="s">
        <v>815</v>
      </c>
      <c r="G773" s="66" t="s">
        <v>827</v>
      </c>
      <c r="H773" s="38" t="s">
        <v>464</v>
      </c>
      <c r="I773" s="39">
        <f t="shared" si="191"/>
        <v>0</v>
      </c>
      <c r="J773" s="40">
        <f t="shared" si="192"/>
        <v>0</v>
      </c>
      <c r="K773" s="41">
        <f t="shared" si="193"/>
        <v>0</v>
      </c>
      <c r="L773" s="42">
        <f t="shared" si="194"/>
        <v>0</v>
      </c>
      <c r="M773" s="43">
        <f t="shared" si="195"/>
        <v>0</v>
      </c>
      <c r="N773" s="44">
        <f t="shared" si="196"/>
        <v>0</v>
      </c>
      <c r="O773" s="45">
        <f t="shared" si="197"/>
        <v>0</v>
      </c>
      <c r="P773" s="19">
        <f t="shared" si="198"/>
        <v>0</v>
      </c>
      <c r="Q773" s="177">
        <v>82</v>
      </c>
      <c r="R773" s="40">
        <v>80</v>
      </c>
      <c r="S773" s="41">
        <v>86</v>
      </c>
      <c r="T773" s="42">
        <v>85</v>
      </c>
      <c r="U773" s="43">
        <v>75</v>
      </c>
      <c r="V773" s="44">
        <v>72</v>
      </c>
      <c r="W773" s="45">
        <f t="shared" si="189"/>
        <v>480</v>
      </c>
      <c r="X773" s="19">
        <f t="shared" si="190"/>
        <v>80</v>
      </c>
      <c r="Y773" s="3">
        <v>82</v>
      </c>
      <c r="Z773" s="4">
        <v>80</v>
      </c>
      <c r="AA773" s="5">
        <v>86</v>
      </c>
      <c r="AB773" s="6">
        <v>85</v>
      </c>
      <c r="AC773" s="7">
        <v>75</v>
      </c>
      <c r="AD773" s="8">
        <v>72</v>
      </c>
      <c r="AE773" s="1">
        <v>480</v>
      </c>
      <c r="AF773" s="19">
        <v>80</v>
      </c>
      <c r="AN773" s="174"/>
      <c r="AV773" s="174"/>
      <c r="AW773" s="45"/>
      <c r="AX773" s="174" t="b">
        <f>IF('Refined Compare'!$D$2="All",TRUE,IF(F773='Refined Compare'!$D$2,TRUE,IF(G773='Refined Compare'!$D$2,TRUE,FALSE)))</f>
        <v>0</v>
      </c>
      <c r="AY773" s="174" t="b">
        <f>IF('Refined Compare'!$D$3="All",TRUE,IF(F773='Refined Compare'!$D$3,TRUE,IF(G773='Refined Compare'!$D$3,TRUE,FALSE)))</f>
        <v>1</v>
      </c>
      <c r="AZ773" s="174" t="b">
        <f t="shared" si="199"/>
        <v>0</v>
      </c>
    </row>
    <row r="774" spans="1:52" x14ac:dyDescent="0.35">
      <c r="A774">
        <f t="shared" si="188"/>
        <v>773</v>
      </c>
      <c r="B774" s="18">
        <v>686</v>
      </c>
      <c r="C774" s="61">
        <v>6</v>
      </c>
      <c r="D774" s="61" t="b">
        <v>0</v>
      </c>
      <c r="E774" s="61"/>
      <c r="F774" s="66" t="s">
        <v>823</v>
      </c>
      <c r="G774" s="66" t="s">
        <v>817</v>
      </c>
      <c r="H774" s="38" t="s">
        <v>199</v>
      </c>
      <c r="I774" s="39">
        <f t="shared" si="191"/>
        <v>0</v>
      </c>
      <c r="J774" s="40">
        <f t="shared" si="192"/>
        <v>0</v>
      </c>
      <c r="K774" s="41">
        <f t="shared" si="193"/>
        <v>0</v>
      </c>
      <c r="L774" s="42">
        <f t="shared" si="194"/>
        <v>0</v>
      </c>
      <c r="M774" s="43">
        <f t="shared" si="195"/>
        <v>0</v>
      </c>
      <c r="N774" s="44">
        <f t="shared" si="196"/>
        <v>0</v>
      </c>
      <c r="O774" s="45">
        <f t="shared" si="197"/>
        <v>0</v>
      </c>
      <c r="P774" s="19">
        <f t="shared" si="198"/>
        <v>0</v>
      </c>
      <c r="Q774" s="177">
        <v>53</v>
      </c>
      <c r="R774" s="40">
        <v>54</v>
      </c>
      <c r="S774" s="41">
        <v>53</v>
      </c>
      <c r="T774" s="42">
        <v>37</v>
      </c>
      <c r="U774" s="43">
        <v>46</v>
      </c>
      <c r="V774" s="44">
        <v>45</v>
      </c>
      <c r="W774" s="45">
        <f t="shared" si="189"/>
        <v>288</v>
      </c>
      <c r="X774" s="19">
        <f t="shared" si="190"/>
        <v>48</v>
      </c>
      <c r="Y774" s="3">
        <v>53</v>
      </c>
      <c r="Z774" s="4">
        <v>54</v>
      </c>
      <c r="AA774" s="5">
        <v>53</v>
      </c>
      <c r="AB774" s="6">
        <v>37</v>
      </c>
      <c r="AC774" s="7">
        <v>46</v>
      </c>
      <c r="AD774" s="8">
        <v>45</v>
      </c>
      <c r="AE774" s="1">
        <v>288</v>
      </c>
      <c r="AF774" s="19">
        <v>48</v>
      </c>
      <c r="AN774" s="174"/>
      <c r="AV774" s="174"/>
      <c r="AW774" s="45"/>
      <c r="AX774" s="174" t="b">
        <f>IF('Refined Compare'!$D$2="All",TRUE,IF(F774='Refined Compare'!$D$2,TRUE,IF(G774='Refined Compare'!$D$2,TRUE,FALSE)))</f>
        <v>1</v>
      </c>
      <c r="AY774" s="174" t="b">
        <f>IF('Refined Compare'!$D$3="All",TRUE,IF(F774='Refined Compare'!$D$3,TRUE,IF(G774='Refined Compare'!$D$3,TRUE,FALSE)))</f>
        <v>0</v>
      </c>
      <c r="AZ774" s="174" t="b">
        <f t="shared" si="199"/>
        <v>0</v>
      </c>
    </row>
    <row r="775" spans="1:52" x14ac:dyDescent="0.35">
      <c r="A775">
        <f t="shared" si="188"/>
        <v>774</v>
      </c>
      <c r="B775" s="18">
        <v>687</v>
      </c>
      <c r="C775" s="61">
        <v>6</v>
      </c>
      <c r="D775" s="118" t="b">
        <v>1</v>
      </c>
      <c r="E775" s="61"/>
      <c r="F775" s="66" t="s">
        <v>823</v>
      </c>
      <c r="G775" s="66" t="s">
        <v>817</v>
      </c>
      <c r="H775" s="38" t="s">
        <v>466</v>
      </c>
      <c r="I775" s="39">
        <f t="shared" si="191"/>
        <v>0</v>
      </c>
      <c r="J775" s="40">
        <f t="shared" si="192"/>
        <v>0</v>
      </c>
      <c r="K775" s="41">
        <f t="shared" si="193"/>
        <v>0</v>
      </c>
      <c r="L775" s="42">
        <f t="shared" si="194"/>
        <v>0</v>
      </c>
      <c r="M775" s="43">
        <f t="shared" si="195"/>
        <v>0</v>
      </c>
      <c r="N775" s="44">
        <f t="shared" si="196"/>
        <v>0</v>
      </c>
      <c r="O775" s="45">
        <f t="shared" si="197"/>
        <v>0</v>
      </c>
      <c r="P775" s="19">
        <f t="shared" si="198"/>
        <v>0</v>
      </c>
      <c r="Q775" s="177">
        <v>86</v>
      </c>
      <c r="R775" s="40">
        <v>92</v>
      </c>
      <c r="S775" s="41">
        <v>88</v>
      </c>
      <c r="T775" s="42">
        <v>68</v>
      </c>
      <c r="U775" s="43">
        <v>75</v>
      </c>
      <c r="V775" s="44">
        <v>73</v>
      </c>
      <c r="W775" s="45">
        <f t="shared" si="189"/>
        <v>482</v>
      </c>
      <c r="X775" s="19">
        <f t="shared" si="190"/>
        <v>80.33</v>
      </c>
      <c r="Y775" s="3">
        <v>86</v>
      </c>
      <c r="Z775" s="4">
        <v>92</v>
      </c>
      <c r="AA775" s="5">
        <v>88</v>
      </c>
      <c r="AB775" s="6">
        <v>68</v>
      </c>
      <c r="AC775" s="7">
        <v>75</v>
      </c>
      <c r="AD775" s="8">
        <v>73</v>
      </c>
      <c r="AE775" s="1">
        <v>482</v>
      </c>
      <c r="AF775" s="19">
        <v>80.33</v>
      </c>
      <c r="AN775" s="174"/>
      <c r="AV775" s="174"/>
      <c r="AW775" s="45"/>
      <c r="AX775" s="174" t="b">
        <f>IF('Refined Compare'!$D$2="All",TRUE,IF(F775='Refined Compare'!$D$2,TRUE,IF(G775='Refined Compare'!$D$2,TRUE,FALSE)))</f>
        <v>1</v>
      </c>
      <c r="AY775" s="174" t="b">
        <f>IF('Refined Compare'!$D$3="All",TRUE,IF(F775='Refined Compare'!$D$3,TRUE,IF(G775='Refined Compare'!$D$3,TRUE,FALSE)))</f>
        <v>0</v>
      </c>
      <c r="AZ775" s="174" t="b">
        <f t="shared" si="199"/>
        <v>0</v>
      </c>
    </row>
    <row r="776" spans="1:52" x14ac:dyDescent="0.35">
      <c r="A776">
        <f t="shared" si="188"/>
        <v>775</v>
      </c>
      <c r="B776" s="18">
        <v>688</v>
      </c>
      <c r="C776" s="61">
        <v>6</v>
      </c>
      <c r="D776" s="61" t="b">
        <v>0</v>
      </c>
      <c r="E776" s="61"/>
      <c r="F776" s="66" t="s">
        <v>818</v>
      </c>
      <c r="G776" s="66" t="s">
        <v>810</v>
      </c>
      <c r="H776" s="38" t="s">
        <v>254</v>
      </c>
      <c r="I776" s="39">
        <f t="shared" si="191"/>
        <v>0</v>
      </c>
      <c r="J776" s="40">
        <f t="shared" si="192"/>
        <v>0</v>
      </c>
      <c r="K776" s="41">
        <f t="shared" si="193"/>
        <v>0</v>
      </c>
      <c r="L776" s="42">
        <f t="shared" si="194"/>
        <v>0</v>
      </c>
      <c r="M776" s="43">
        <f t="shared" si="195"/>
        <v>0</v>
      </c>
      <c r="N776" s="44">
        <f t="shared" si="196"/>
        <v>0</v>
      </c>
      <c r="O776" s="45">
        <f t="shared" si="197"/>
        <v>0</v>
      </c>
      <c r="P776" s="19">
        <f t="shared" si="198"/>
        <v>0</v>
      </c>
      <c r="Q776" s="177">
        <v>42</v>
      </c>
      <c r="R776" s="40">
        <v>52</v>
      </c>
      <c r="S776" s="41">
        <v>67</v>
      </c>
      <c r="T776" s="42">
        <v>39</v>
      </c>
      <c r="U776" s="43">
        <v>56</v>
      </c>
      <c r="V776" s="44">
        <v>50</v>
      </c>
      <c r="W776" s="45">
        <f t="shared" si="189"/>
        <v>306</v>
      </c>
      <c r="X776" s="19">
        <f t="shared" si="190"/>
        <v>51</v>
      </c>
      <c r="Y776" s="3">
        <v>42</v>
      </c>
      <c r="Z776" s="4">
        <v>52</v>
      </c>
      <c r="AA776" s="5">
        <v>67</v>
      </c>
      <c r="AB776" s="6">
        <v>39</v>
      </c>
      <c r="AC776" s="7">
        <v>56</v>
      </c>
      <c r="AD776" s="8">
        <v>50</v>
      </c>
      <c r="AE776" s="1">
        <v>306</v>
      </c>
      <c r="AF776" s="19">
        <v>51</v>
      </c>
      <c r="AN776" s="174"/>
      <c r="AV776" s="174"/>
      <c r="AW776" s="45"/>
      <c r="AX776" s="174" t="b">
        <f>IF('Refined Compare'!$D$2="All",TRUE,IF(F776='Refined Compare'!$D$2,TRUE,IF(G776='Refined Compare'!$D$2,TRUE,FALSE)))</f>
        <v>0</v>
      </c>
      <c r="AY776" s="174" t="b">
        <f>IF('Refined Compare'!$D$3="All",TRUE,IF(F776='Refined Compare'!$D$3,TRUE,IF(G776='Refined Compare'!$D$3,TRUE,FALSE)))</f>
        <v>0</v>
      </c>
      <c r="AZ776" s="174" t="b">
        <f t="shared" si="199"/>
        <v>0</v>
      </c>
    </row>
    <row r="777" spans="1:52" x14ac:dyDescent="0.35">
      <c r="A777">
        <f t="shared" si="188"/>
        <v>776</v>
      </c>
      <c r="B777" s="18">
        <v>689</v>
      </c>
      <c r="C777" s="61">
        <v>6</v>
      </c>
      <c r="D777" s="118" t="b">
        <v>1</v>
      </c>
      <c r="E777" s="61"/>
      <c r="F777" s="66" t="s">
        <v>818</v>
      </c>
      <c r="G777" s="66" t="s">
        <v>810</v>
      </c>
      <c r="H777" s="38" t="s">
        <v>415</v>
      </c>
      <c r="I777" s="39">
        <f t="shared" si="191"/>
        <v>0</v>
      </c>
      <c r="J777" s="40">
        <f t="shared" si="192"/>
        <v>0</v>
      </c>
      <c r="K777" s="41">
        <f t="shared" si="193"/>
        <v>0</v>
      </c>
      <c r="L777" s="42">
        <f t="shared" si="194"/>
        <v>0</v>
      </c>
      <c r="M777" s="43">
        <f t="shared" si="195"/>
        <v>0</v>
      </c>
      <c r="N777" s="44">
        <f t="shared" si="196"/>
        <v>0</v>
      </c>
      <c r="O777" s="45">
        <f t="shared" si="197"/>
        <v>0</v>
      </c>
      <c r="P777" s="19">
        <f t="shared" si="198"/>
        <v>0</v>
      </c>
      <c r="Q777" s="177">
        <v>72</v>
      </c>
      <c r="R777" s="40">
        <v>105</v>
      </c>
      <c r="S777" s="41">
        <v>115</v>
      </c>
      <c r="T777" s="42">
        <v>54</v>
      </c>
      <c r="U777" s="43">
        <v>86</v>
      </c>
      <c r="V777" s="44">
        <v>68</v>
      </c>
      <c r="W777" s="45">
        <f t="shared" si="189"/>
        <v>500</v>
      </c>
      <c r="X777" s="19">
        <f t="shared" si="190"/>
        <v>83.33</v>
      </c>
      <c r="Y777" s="3">
        <v>72</v>
      </c>
      <c r="Z777" s="4">
        <v>105</v>
      </c>
      <c r="AA777" s="5">
        <v>115</v>
      </c>
      <c r="AB777" s="6">
        <v>54</v>
      </c>
      <c r="AC777" s="7">
        <v>86</v>
      </c>
      <c r="AD777" s="8">
        <v>68</v>
      </c>
      <c r="AE777" s="1">
        <v>500</v>
      </c>
      <c r="AF777" s="19">
        <v>83.33</v>
      </c>
      <c r="AN777" s="174"/>
      <c r="AV777" s="174"/>
      <c r="AW777" s="45"/>
      <c r="AX777" s="174" t="b">
        <f>IF('Refined Compare'!$D$2="All",TRUE,IF(F777='Refined Compare'!$D$2,TRUE,IF(G777='Refined Compare'!$D$2,TRUE,FALSE)))</f>
        <v>0</v>
      </c>
      <c r="AY777" s="174" t="b">
        <f>IF('Refined Compare'!$D$3="All",TRUE,IF(F777='Refined Compare'!$D$3,TRUE,IF(G777='Refined Compare'!$D$3,TRUE,FALSE)))</f>
        <v>0</v>
      </c>
      <c r="AZ777" s="174" t="b">
        <f t="shared" si="199"/>
        <v>0</v>
      </c>
    </row>
    <row r="778" spans="1:52" x14ac:dyDescent="0.35">
      <c r="A778">
        <f t="shared" si="188"/>
        <v>777</v>
      </c>
      <c r="B778" s="18">
        <v>690</v>
      </c>
      <c r="C778" s="61">
        <v>6</v>
      </c>
      <c r="D778" s="61" t="b">
        <v>0</v>
      </c>
      <c r="E778" s="61"/>
      <c r="F778" s="66" t="s">
        <v>807</v>
      </c>
      <c r="G778" s="66" t="s">
        <v>810</v>
      </c>
      <c r="H778" s="38" t="s">
        <v>85</v>
      </c>
      <c r="I778" s="39">
        <f t="shared" si="191"/>
        <v>0</v>
      </c>
      <c r="J778" s="40">
        <f t="shared" si="192"/>
        <v>0</v>
      </c>
      <c r="K778" s="41">
        <f t="shared" si="193"/>
        <v>0</v>
      </c>
      <c r="L778" s="42">
        <f t="shared" si="194"/>
        <v>0</v>
      </c>
      <c r="M778" s="43">
        <f t="shared" si="195"/>
        <v>0</v>
      </c>
      <c r="N778" s="44">
        <f t="shared" si="196"/>
        <v>0</v>
      </c>
      <c r="O778" s="45">
        <f t="shared" si="197"/>
        <v>0</v>
      </c>
      <c r="P778" s="19">
        <f t="shared" si="198"/>
        <v>0</v>
      </c>
      <c r="Q778" s="177">
        <v>50</v>
      </c>
      <c r="R778" s="40">
        <v>60</v>
      </c>
      <c r="S778" s="41">
        <v>60</v>
      </c>
      <c r="T778" s="42">
        <v>60</v>
      </c>
      <c r="U778" s="43">
        <v>60</v>
      </c>
      <c r="V778" s="44">
        <v>30</v>
      </c>
      <c r="W778" s="45">
        <f t="shared" si="189"/>
        <v>320</v>
      </c>
      <c r="X778" s="19">
        <f t="shared" si="190"/>
        <v>53.33</v>
      </c>
      <c r="Y778" s="3">
        <v>50</v>
      </c>
      <c r="Z778" s="4">
        <v>60</v>
      </c>
      <c r="AA778" s="5">
        <v>60</v>
      </c>
      <c r="AB778" s="6">
        <v>60</v>
      </c>
      <c r="AC778" s="7">
        <v>60</v>
      </c>
      <c r="AD778" s="8">
        <v>30</v>
      </c>
      <c r="AE778" s="1">
        <v>320</v>
      </c>
      <c r="AF778" s="19">
        <v>53.33</v>
      </c>
      <c r="AN778" s="174"/>
      <c r="AV778" s="174"/>
      <c r="AW778" s="45"/>
      <c r="AX778" s="174" t="b">
        <f>IF('Refined Compare'!$D$2="All",TRUE,IF(F778='Refined Compare'!$D$2,TRUE,IF(G778='Refined Compare'!$D$2,TRUE,FALSE)))</f>
        <v>0</v>
      </c>
      <c r="AY778" s="174" t="b">
        <f>IF('Refined Compare'!$D$3="All",TRUE,IF(F778='Refined Compare'!$D$3,TRUE,IF(G778='Refined Compare'!$D$3,TRUE,FALSE)))</f>
        <v>0</v>
      </c>
      <c r="AZ778" s="174" t="b">
        <f t="shared" si="199"/>
        <v>0</v>
      </c>
    </row>
    <row r="779" spans="1:52" x14ac:dyDescent="0.35">
      <c r="A779">
        <f t="shared" si="188"/>
        <v>778</v>
      </c>
      <c r="B779" s="18">
        <v>691</v>
      </c>
      <c r="C779" s="61">
        <v>6</v>
      </c>
      <c r="D779" s="118" t="b">
        <v>1</v>
      </c>
      <c r="E779" s="61"/>
      <c r="F779" s="66" t="s">
        <v>807</v>
      </c>
      <c r="G779" s="66" t="s">
        <v>822</v>
      </c>
      <c r="H779" s="38" t="s">
        <v>169</v>
      </c>
      <c r="I779" s="39">
        <f t="shared" si="191"/>
        <v>0</v>
      </c>
      <c r="J779" s="40">
        <f t="shared" si="192"/>
        <v>0</v>
      </c>
      <c r="K779" s="41">
        <f t="shared" si="193"/>
        <v>0</v>
      </c>
      <c r="L779" s="42">
        <f t="shared" si="194"/>
        <v>0</v>
      </c>
      <c r="M779" s="43">
        <f t="shared" si="195"/>
        <v>0</v>
      </c>
      <c r="N779" s="44">
        <f t="shared" si="196"/>
        <v>0</v>
      </c>
      <c r="O779" s="45">
        <f t="shared" si="197"/>
        <v>0</v>
      </c>
      <c r="P779" s="19">
        <f t="shared" si="198"/>
        <v>0</v>
      </c>
      <c r="Q779" s="177">
        <v>65</v>
      </c>
      <c r="R779" s="40">
        <v>75</v>
      </c>
      <c r="S779" s="41">
        <v>90</v>
      </c>
      <c r="T779" s="42">
        <v>97</v>
      </c>
      <c r="U779" s="43">
        <v>123</v>
      </c>
      <c r="V779" s="44">
        <v>44</v>
      </c>
      <c r="W779" s="45">
        <f t="shared" si="189"/>
        <v>494</v>
      </c>
      <c r="X779" s="19">
        <f t="shared" si="190"/>
        <v>82.33</v>
      </c>
      <c r="Y779" s="3">
        <v>65</v>
      </c>
      <c r="Z779" s="4">
        <v>75</v>
      </c>
      <c r="AA779" s="5">
        <v>90</v>
      </c>
      <c r="AB779" s="6">
        <v>97</v>
      </c>
      <c r="AC779" s="7">
        <v>123</v>
      </c>
      <c r="AD779" s="8">
        <v>44</v>
      </c>
      <c r="AE779" s="1">
        <v>494</v>
      </c>
      <c r="AF779" s="19">
        <v>82.33</v>
      </c>
      <c r="AN779" s="174"/>
      <c r="AV779" s="174"/>
      <c r="AW779" s="45"/>
      <c r="AX779" s="174" t="b">
        <f>IF('Refined Compare'!$D$2="All",TRUE,IF(F779='Refined Compare'!$D$2,TRUE,IF(G779='Refined Compare'!$D$2,TRUE,FALSE)))</f>
        <v>0</v>
      </c>
      <c r="AY779" s="174" t="b">
        <f>IF('Refined Compare'!$D$3="All",TRUE,IF(F779='Refined Compare'!$D$3,TRUE,IF(G779='Refined Compare'!$D$3,TRUE,FALSE)))</f>
        <v>0</v>
      </c>
      <c r="AZ779" s="174" t="b">
        <f t="shared" si="199"/>
        <v>0</v>
      </c>
    </row>
    <row r="780" spans="1:52" x14ac:dyDescent="0.35">
      <c r="A780">
        <f t="shared" si="188"/>
        <v>779</v>
      </c>
      <c r="B780" s="18">
        <v>692</v>
      </c>
      <c r="C780" s="61">
        <v>6</v>
      </c>
      <c r="D780" s="61" t="b">
        <v>0</v>
      </c>
      <c r="E780" s="61"/>
      <c r="F780" s="66" t="s">
        <v>810</v>
      </c>
      <c r="G780" s="66" t="s">
        <v>827</v>
      </c>
      <c r="H780" s="38" t="s">
        <v>170</v>
      </c>
      <c r="I780" s="39">
        <f t="shared" si="191"/>
        <v>0</v>
      </c>
      <c r="J780" s="40">
        <f t="shared" si="192"/>
        <v>0</v>
      </c>
      <c r="K780" s="41">
        <f t="shared" si="193"/>
        <v>0</v>
      </c>
      <c r="L780" s="42">
        <f t="shared" si="194"/>
        <v>0</v>
      </c>
      <c r="M780" s="43">
        <f t="shared" si="195"/>
        <v>0</v>
      </c>
      <c r="N780" s="44">
        <f t="shared" si="196"/>
        <v>0</v>
      </c>
      <c r="O780" s="45">
        <f t="shared" si="197"/>
        <v>0</v>
      </c>
      <c r="P780" s="19">
        <f t="shared" si="198"/>
        <v>0</v>
      </c>
      <c r="Q780" s="177">
        <v>50</v>
      </c>
      <c r="R780" s="40">
        <v>53</v>
      </c>
      <c r="S780" s="41">
        <v>62</v>
      </c>
      <c r="T780" s="42">
        <v>58</v>
      </c>
      <c r="U780" s="43">
        <v>63</v>
      </c>
      <c r="V780" s="44">
        <v>44</v>
      </c>
      <c r="W780" s="45">
        <f t="shared" si="189"/>
        <v>330</v>
      </c>
      <c r="X780" s="19">
        <f t="shared" si="190"/>
        <v>55</v>
      </c>
      <c r="Y780" s="3">
        <v>50</v>
      </c>
      <c r="Z780" s="4">
        <v>53</v>
      </c>
      <c r="AA780" s="5">
        <v>62</v>
      </c>
      <c r="AB780" s="6">
        <v>58</v>
      </c>
      <c r="AC780" s="7">
        <v>63</v>
      </c>
      <c r="AD780" s="8">
        <v>44</v>
      </c>
      <c r="AE780" s="1">
        <v>330</v>
      </c>
      <c r="AF780" s="19">
        <v>55</v>
      </c>
      <c r="AN780" s="174"/>
      <c r="AV780" s="174"/>
      <c r="AW780" s="45"/>
      <c r="AX780" s="174" t="b">
        <f>IF('Refined Compare'!$D$2="All",TRUE,IF(F780='Refined Compare'!$D$2,TRUE,IF(G780='Refined Compare'!$D$2,TRUE,FALSE)))</f>
        <v>0</v>
      </c>
      <c r="AY780" s="174" t="b">
        <f>IF('Refined Compare'!$D$3="All",TRUE,IF(F780='Refined Compare'!$D$3,TRUE,IF(G780='Refined Compare'!$D$3,TRUE,FALSE)))</f>
        <v>1</v>
      </c>
      <c r="AZ780" s="174" t="b">
        <f t="shared" si="199"/>
        <v>0</v>
      </c>
    </row>
    <row r="781" spans="1:52" x14ac:dyDescent="0.35">
      <c r="A781">
        <f t="shared" si="188"/>
        <v>780</v>
      </c>
      <c r="B781" s="18">
        <v>693</v>
      </c>
      <c r="C781" s="61">
        <v>6</v>
      </c>
      <c r="D781" s="118" t="b">
        <v>1</v>
      </c>
      <c r="E781" s="61"/>
      <c r="F781" s="66" t="s">
        <v>810</v>
      </c>
      <c r="G781" s="66" t="s">
        <v>827</v>
      </c>
      <c r="H781" s="38" t="s">
        <v>311</v>
      </c>
      <c r="I781" s="39">
        <f t="shared" si="191"/>
        <v>0</v>
      </c>
      <c r="J781" s="40">
        <f t="shared" si="192"/>
        <v>0</v>
      </c>
      <c r="K781" s="41">
        <f t="shared" si="193"/>
        <v>0</v>
      </c>
      <c r="L781" s="42">
        <f t="shared" si="194"/>
        <v>0</v>
      </c>
      <c r="M781" s="43">
        <f t="shared" si="195"/>
        <v>0</v>
      </c>
      <c r="N781" s="44">
        <f t="shared" si="196"/>
        <v>0</v>
      </c>
      <c r="O781" s="45">
        <f t="shared" si="197"/>
        <v>0</v>
      </c>
      <c r="P781" s="19">
        <f t="shared" si="198"/>
        <v>0</v>
      </c>
      <c r="Q781" s="177">
        <v>71</v>
      </c>
      <c r="R781" s="40">
        <v>73</v>
      </c>
      <c r="S781" s="41">
        <v>88</v>
      </c>
      <c r="T781" s="42">
        <v>120</v>
      </c>
      <c r="U781" s="43">
        <v>89</v>
      </c>
      <c r="V781" s="44">
        <v>59</v>
      </c>
      <c r="W781" s="45">
        <f t="shared" si="189"/>
        <v>500</v>
      </c>
      <c r="X781" s="19">
        <f t="shared" si="190"/>
        <v>83.33</v>
      </c>
      <c r="Y781" s="3">
        <v>71</v>
      </c>
      <c r="Z781" s="4">
        <v>73</v>
      </c>
      <c r="AA781" s="5">
        <v>88</v>
      </c>
      <c r="AB781" s="6">
        <v>120</v>
      </c>
      <c r="AC781" s="7">
        <v>89</v>
      </c>
      <c r="AD781" s="8">
        <v>59</v>
      </c>
      <c r="AE781" s="1">
        <v>500</v>
      </c>
      <c r="AF781" s="19">
        <v>83.33</v>
      </c>
      <c r="AN781" s="174"/>
      <c r="AV781" s="174"/>
      <c r="AW781" s="45"/>
      <c r="AX781" s="174" t="b">
        <f>IF('Refined Compare'!$D$2="All",TRUE,IF(F781='Refined Compare'!$D$2,TRUE,IF(G781='Refined Compare'!$D$2,TRUE,FALSE)))</f>
        <v>0</v>
      </c>
      <c r="AY781" s="174" t="b">
        <f>IF('Refined Compare'!$D$3="All",TRUE,IF(F781='Refined Compare'!$D$3,TRUE,IF(G781='Refined Compare'!$D$3,TRUE,FALSE)))</f>
        <v>1</v>
      </c>
      <c r="AZ781" s="174" t="b">
        <f t="shared" si="199"/>
        <v>0</v>
      </c>
    </row>
    <row r="782" spans="1:52" x14ac:dyDescent="0.35">
      <c r="A782">
        <f t="shared" si="188"/>
        <v>781</v>
      </c>
      <c r="B782" s="18">
        <v>694</v>
      </c>
      <c r="C782" s="61">
        <v>6</v>
      </c>
      <c r="D782" s="61" t="b">
        <v>0</v>
      </c>
      <c r="E782" s="61"/>
      <c r="F782" s="66" t="s">
        <v>813</v>
      </c>
      <c r="G782" s="66" t="s">
        <v>812</v>
      </c>
      <c r="H782" s="38" t="s">
        <v>452</v>
      </c>
      <c r="I782" s="39">
        <f t="shared" si="191"/>
        <v>0</v>
      </c>
      <c r="J782" s="40">
        <f t="shared" si="192"/>
        <v>0</v>
      </c>
      <c r="K782" s="41">
        <f t="shared" si="193"/>
        <v>0</v>
      </c>
      <c r="L782" s="42">
        <f t="shared" si="194"/>
        <v>0</v>
      </c>
      <c r="M782" s="43">
        <f t="shared" si="195"/>
        <v>0</v>
      </c>
      <c r="N782" s="44">
        <f t="shared" si="196"/>
        <v>0</v>
      </c>
      <c r="O782" s="45">
        <f t="shared" si="197"/>
        <v>0</v>
      </c>
      <c r="P782" s="19">
        <f t="shared" si="198"/>
        <v>0</v>
      </c>
      <c r="Q782" s="177">
        <v>44</v>
      </c>
      <c r="R782" s="40">
        <v>38</v>
      </c>
      <c r="S782" s="41">
        <v>33</v>
      </c>
      <c r="T782" s="42">
        <v>61</v>
      </c>
      <c r="U782" s="43">
        <v>43</v>
      </c>
      <c r="V782" s="44">
        <v>70</v>
      </c>
      <c r="W782" s="45">
        <f t="shared" si="189"/>
        <v>289</v>
      </c>
      <c r="X782" s="19">
        <f t="shared" si="190"/>
        <v>48.17</v>
      </c>
      <c r="Y782" s="3">
        <v>44</v>
      </c>
      <c r="Z782" s="4">
        <v>38</v>
      </c>
      <c r="AA782" s="5">
        <v>33</v>
      </c>
      <c r="AB782" s="6">
        <v>61</v>
      </c>
      <c r="AC782" s="7">
        <v>43</v>
      </c>
      <c r="AD782" s="8">
        <v>70</v>
      </c>
      <c r="AE782" s="1">
        <v>289</v>
      </c>
      <c r="AF782" s="19">
        <v>48.17</v>
      </c>
      <c r="AN782" s="174"/>
      <c r="AV782" s="174"/>
      <c r="AW782" s="45"/>
      <c r="AX782" s="174" t="b">
        <f>IF('Refined Compare'!$D$2="All",TRUE,IF(F782='Refined Compare'!$D$2,TRUE,IF(G782='Refined Compare'!$D$2,TRUE,FALSE)))</f>
        <v>0</v>
      </c>
      <c r="AY782" s="174" t="b">
        <f>IF('Refined Compare'!$D$3="All",TRUE,IF(F782='Refined Compare'!$D$3,TRUE,IF(G782='Refined Compare'!$D$3,TRUE,FALSE)))</f>
        <v>0</v>
      </c>
      <c r="AZ782" s="174" t="b">
        <f t="shared" si="199"/>
        <v>0</v>
      </c>
    </row>
    <row r="783" spans="1:52" x14ac:dyDescent="0.35">
      <c r="A783">
        <f t="shared" ref="A783:A846" si="200">A782+1</f>
        <v>782</v>
      </c>
      <c r="B783" s="18">
        <v>695</v>
      </c>
      <c r="C783" s="61">
        <v>6</v>
      </c>
      <c r="D783" s="118" t="b">
        <v>1</v>
      </c>
      <c r="E783" s="61"/>
      <c r="F783" s="66" t="s">
        <v>813</v>
      </c>
      <c r="G783" s="66" t="s">
        <v>812</v>
      </c>
      <c r="H783" s="38" t="s">
        <v>714</v>
      </c>
      <c r="I783" s="39">
        <f t="shared" si="191"/>
        <v>0</v>
      </c>
      <c r="J783" s="40">
        <f t="shared" si="192"/>
        <v>0</v>
      </c>
      <c r="K783" s="41">
        <f t="shared" si="193"/>
        <v>0</v>
      </c>
      <c r="L783" s="42">
        <f t="shared" si="194"/>
        <v>0</v>
      </c>
      <c r="M783" s="43">
        <f t="shared" si="195"/>
        <v>0</v>
      </c>
      <c r="N783" s="44">
        <f t="shared" si="196"/>
        <v>0</v>
      </c>
      <c r="O783" s="45">
        <f t="shared" si="197"/>
        <v>0</v>
      </c>
      <c r="P783" s="19">
        <f t="shared" si="198"/>
        <v>0</v>
      </c>
      <c r="Q783" s="177">
        <v>62</v>
      </c>
      <c r="R783" s="40">
        <v>55</v>
      </c>
      <c r="S783" s="41">
        <v>52</v>
      </c>
      <c r="T783" s="42">
        <v>109</v>
      </c>
      <c r="U783" s="43">
        <v>94</v>
      </c>
      <c r="V783" s="44">
        <v>109</v>
      </c>
      <c r="W783" s="45">
        <f t="shared" si="189"/>
        <v>481</v>
      </c>
      <c r="X783" s="19">
        <f t="shared" si="190"/>
        <v>80.17</v>
      </c>
      <c r="Y783" s="3">
        <v>62</v>
      </c>
      <c r="Z783" s="4">
        <v>55</v>
      </c>
      <c r="AA783" s="5">
        <v>52</v>
      </c>
      <c r="AB783" s="6">
        <v>109</v>
      </c>
      <c r="AC783" s="7">
        <v>94</v>
      </c>
      <c r="AD783" s="8">
        <v>109</v>
      </c>
      <c r="AE783" s="1">
        <v>481</v>
      </c>
      <c r="AF783" s="19">
        <v>80.17</v>
      </c>
      <c r="AN783" s="174"/>
      <c r="AV783" s="174"/>
      <c r="AW783" s="45"/>
      <c r="AX783" s="174" t="b">
        <f>IF('Refined Compare'!$D$2="All",TRUE,IF(F783='Refined Compare'!$D$2,TRUE,IF(G783='Refined Compare'!$D$2,TRUE,FALSE)))</f>
        <v>0</v>
      </c>
      <c r="AY783" s="174" t="b">
        <f>IF('Refined Compare'!$D$3="All",TRUE,IF(F783='Refined Compare'!$D$3,TRUE,IF(G783='Refined Compare'!$D$3,TRUE,FALSE)))</f>
        <v>0</v>
      </c>
      <c r="AZ783" s="174" t="b">
        <f t="shared" si="199"/>
        <v>0</v>
      </c>
    </row>
    <row r="784" spans="1:52" x14ac:dyDescent="0.35">
      <c r="A784">
        <f t="shared" si="200"/>
        <v>783</v>
      </c>
      <c r="B784" s="18">
        <v>696</v>
      </c>
      <c r="C784" s="61">
        <v>6</v>
      </c>
      <c r="D784" s="61" t="b">
        <v>0</v>
      </c>
      <c r="E784" s="61"/>
      <c r="F784" s="66" t="s">
        <v>818</v>
      </c>
      <c r="G784" s="66" t="s">
        <v>822</v>
      </c>
      <c r="H784" s="38" t="s">
        <v>209</v>
      </c>
      <c r="I784" s="39">
        <f t="shared" si="191"/>
        <v>0</v>
      </c>
      <c r="J784" s="40">
        <f t="shared" si="192"/>
        <v>0</v>
      </c>
      <c r="K784" s="41">
        <f t="shared" si="193"/>
        <v>0</v>
      </c>
      <c r="L784" s="42">
        <f t="shared" si="194"/>
        <v>0</v>
      </c>
      <c r="M784" s="43">
        <f t="shared" si="195"/>
        <v>0</v>
      </c>
      <c r="N784" s="44">
        <f t="shared" si="196"/>
        <v>0</v>
      </c>
      <c r="O784" s="45">
        <f t="shared" si="197"/>
        <v>0</v>
      </c>
      <c r="P784" s="19">
        <f t="shared" si="198"/>
        <v>0</v>
      </c>
      <c r="Q784" s="177">
        <v>58</v>
      </c>
      <c r="R784" s="40">
        <v>89</v>
      </c>
      <c r="S784" s="41">
        <v>77</v>
      </c>
      <c r="T784" s="42">
        <v>45</v>
      </c>
      <c r="U784" s="43">
        <v>45</v>
      </c>
      <c r="V784" s="44">
        <v>48</v>
      </c>
      <c r="W784" s="45">
        <f t="shared" si="189"/>
        <v>362</v>
      </c>
      <c r="X784" s="19">
        <f t="shared" si="190"/>
        <v>60.33</v>
      </c>
      <c r="Y784" s="3">
        <v>58</v>
      </c>
      <c r="Z784" s="4">
        <v>89</v>
      </c>
      <c r="AA784" s="5">
        <v>77</v>
      </c>
      <c r="AB784" s="6">
        <v>45</v>
      </c>
      <c r="AC784" s="7">
        <v>45</v>
      </c>
      <c r="AD784" s="8">
        <v>48</v>
      </c>
      <c r="AE784" s="1">
        <v>362</v>
      </c>
      <c r="AF784" s="19">
        <v>60.33</v>
      </c>
      <c r="AN784" s="174"/>
      <c r="AV784" s="174"/>
      <c r="AW784" s="45"/>
      <c r="AX784" s="174" t="b">
        <f>IF('Refined Compare'!$D$2="All",TRUE,IF(F784='Refined Compare'!$D$2,TRUE,IF(G784='Refined Compare'!$D$2,TRUE,FALSE)))</f>
        <v>0</v>
      </c>
      <c r="AY784" s="174" t="b">
        <f>IF('Refined Compare'!$D$3="All",TRUE,IF(F784='Refined Compare'!$D$3,TRUE,IF(G784='Refined Compare'!$D$3,TRUE,FALSE)))</f>
        <v>0</v>
      </c>
      <c r="AZ784" s="174" t="b">
        <f t="shared" si="199"/>
        <v>0</v>
      </c>
    </row>
    <row r="785" spans="1:52" x14ac:dyDescent="0.35">
      <c r="A785">
        <f t="shared" si="200"/>
        <v>784</v>
      </c>
      <c r="B785" s="18">
        <v>697</v>
      </c>
      <c r="C785" s="61">
        <v>6</v>
      </c>
      <c r="D785" s="118" t="b">
        <v>1</v>
      </c>
      <c r="E785" s="61"/>
      <c r="F785" s="66" t="s">
        <v>818</v>
      </c>
      <c r="G785" s="66" t="s">
        <v>822</v>
      </c>
      <c r="H785" s="38" t="s">
        <v>460</v>
      </c>
      <c r="I785" s="39">
        <f t="shared" si="191"/>
        <v>0</v>
      </c>
      <c r="J785" s="40">
        <f t="shared" si="192"/>
        <v>0</v>
      </c>
      <c r="K785" s="41">
        <f t="shared" si="193"/>
        <v>0</v>
      </c>
      <c r="L785" s="42">
        <f t="shared" si="194"/>
        <v>0</v>
      </c>
      <c r="M785" s="43">
        <f t="shared" si="195"/>
        <v>0</v>
      </c>
      <c r="N785" s="44">
        <f t="shared" si="196"/>
        <v>0</v>
      </c>
      <c r="O785" s="45">
        <f t="shared" si="197"/>
        <v>0</v>
      </c>
      <c r="P785" s="19">
        <f t="shared" si="198"/>
        <v>0</v>
      </c>
      <c r="Q785" s="177">
        <v>82</v>
      </c>
      <c r="R785" s="40">
        <v>121</v>
      </c>
      <c r="S785" s="41">
        <v>119</v>
      </c>
      <c r="T785" s="42">
        <v>69</v>
      </c>
      <c r="U785" s="43">
        <v>59</v>
      </c>
      <c r="V785" s="44">
        <v>71</v>
      </c>
      <c r="W785" s="45">
        <f t="shared" si="189"/>
        <v>521</v>
      </c>
      <c r="X785" s="19">
        <f t="shared" si="190"/>
        <v>86.83</v>
      </c>
      <c r="Y785" s="3">
        <v>82</v>
      </c>
      <c r="Z785" s="4">
        <v>121</v>
      </c>
      <c r="AA785" s="5">
        <v>119</v>
      </c>
      <c r="AB785" s="6">
        <v>69</v>
      </c>
      <c r="AC785" s="7">
        <v>59</v>
      </c>
      <c r="AD785" s="8">
        <v>71</v>
      </c>
      <c r="AE785" s="1">
        <v>521</v>
      </c>
      <c r="AF785" s="19">
        <v>86.83</v>
      </c>
      <c r="AN785" s="174"/>
      <c r="AV785" s="174"/>
      <c r="AW785" s="45"/>
      <c r="AX785" s="174" t="b">
        <f>IF('Refined Compare'!$D$2="All",TRUE,IF(F785='Refined Compare'!$D$2,TRUE,IF(G785='Refined Compare'!$D$2,TRUE,FALSE)))</f>
        <v>0</v>
      </c>
      <c r="AY785" s="174" t="b">
        <f>IF('Refined Compare'!$D$3="All",TRUE,IF(F785='Refined Compare'!$D$3,TRUE,IF(G785='Refined Compare'!$D$3,TRUE,FALSE)))</f>
        <v>0</v>
      </c>
      <c r="AZ785" s="174" t="b">
        <f t="shared" si="199"/>
        <v>0</v>
      </c>
    </row>
    <row r="786" spans="1:52" x14ac:dyDescent="0.35">
      <c r="A786">
        <f t="shared" si="200"/>
        <v>785</v>
      </c>
      <c r="B786" s="18">
        <v>698</v>
      </c>
      <c r="C786" s="61">
        <v>6</v>
      </c>
      <c r="D786" s="61" t="b">
        <v>0</v>
      </c>
      <c r="E786" s="61"/>
      <c r="F786" s="66" t="s">
        <v>818</v>
      </c>
      <c r="G786" s="66" t="s">
        <v>820</v>
      </c>
      <c r="H786" s="38" t="s">
        <v>201</v>
      </c>
      <c r="I786" s="39">
        <f t="shared" si="191"/>
        <v>0</v>
      </c>
      <c r="J786" s="40">
        <f t="shared" si="192"/>
        <v>0</v>
      </c>
      <c r="K786" s="41">
        <f t="shared" si="193"/>
        <v>0</v>
      </c>
      <c r="L786" s="42">
        <f t="shared" si="194"/>
        <v>0</v>
      </c>
      <c r="M786" s="43">
        <f t="shared" si="195"/>
        <v>0</v>
      </c>
      <c r="N786" s="44">
        <f t="shared" si="196"/>
        <v>0</v>
      </c>
      <c r="O786" s="45">
        <f t="shared" si="197"/>
        <v>0</v>
      </c>
      <c r="P786" s="19">
        <f t="shared" si="198"/>
        <v>0</v>
      </c>
      <c r="Q786" s="177">
        <v>77</v>
      </c>
      <c r="R786" s="40">
        <v>59</v>
      </c>
      <c r="S786" s="41">
        <v>50</v>
      </c>
      <c r="T786" s="42">
        <v>67</v>
      </c>
      <c r="U786" s="43">
        <v>63</v>
      </c>
      <c r="V786" s="44">
        <v>46</v>
      </c>
      <c r="W786" s="45">
        <f t="shared" si="189"/>
        <v>362</v>
      </c>
      <c r="X786" s="19">
        <f t="shared" si="190"/>
        <v>60.33</v>
      </c>
      <c r="Y786" s="3">
        <v>77</v>
      </c>
      <c r="Z786" s="4">
        <v>59</v>
      </c>
      <c r="AA786" s="5">
        <v>50</v>
      </c>
      <c r="AB786" s="6">
        <v>67</v>
      </c>
      <c r="AC786" s="7">
        <v>63</v>
      </c>
      <c r="AD786" s="8">
        <v>46</v>
      </c>
      <c r="AE786" s="1">
        <v>362</v>
      </c>
      <c r="AF786" s="19">
        <v>60.33</v>
      </c>
      <c r="AN786" s="174"/>
      <c r="AV786" s="174"/>
      <c r="AW786" s="45"/>
      <c r="AX786" s="174" t="b">
        <f>IF('Refined Compare'!$D$2="All",TRUE,IF(F786='Refined Compare'!$D$2,TRUE,IF(G786='Refined Compare'!$D$2,TRUE,FALSE)))</f>
        <v>0</v>
      </c>
      <c r="AY786" s="174" t="b">
        <f>IF('Refined Compare'!$D$3="All",TRUE,IF(F786='Refined Compare'!$D$3,TRUE,IF(G786='Refined Compare'!$D$3,TRUE,FALSE)))</f>
        <v>0</v>
      </c>
      <c r="AZ786" s="174" t="b">
        <f t="shared" si="199"/>
        <v>0</v>
      </c>
    </row>
    <row r="787" spans="1:52" x14ac:dyDescent="0.35">
      <c r="A787">
        <f t="shared" si="200"/>
        <v>786</v>
      </c>
      <c r="B787" s="18">
        <v>699</v>
      </c>
      <c r="C787" s="61">
        <v>6</v>
      </c>
      <c r="D787" s="118" t="b">
        <v>1</v>
      </c>
      <c r="E787" s="61"/>
      <c r="F787" s="66" t="s">
        <v>818</v>
      </c>
      <c r="G787" s="66" t="s">
        <v>820</v>
      </c>
      <c r="H787" s="38" t="s">
        <v>309</v>
      </c>
      <c r="I787" s="39">
        <f t="shared" si="191"/>
        <v>0</v>
      </c>
      <c r="J787" s="40">
        <f t="shared" si="192"/>
        <v>0</v>
      </c>
      <c r="K787" s="41">
        <f t="shared" si="193"/>
        <v>0</v>
      </c>
      <c r="L787" s="42">
        <f t="shared" si="194"/>
        <v>0</v>
      </c>
      <c r="M787" s="43">
        <f t="shared" si="195"/>
        <v>0</v>
      </c>
      <c r="N787" s="44">
        <f t="shared" si="196"/>
        <v>0</v>
      </c>
      <c r="O787" s="45">
        <f t="shared" si="197"/>
        <v>0</v>
      </c>
      <c r="P787" s="19">
        <f t="shared" si="198"/>
        <v>0</v>
      </c>
      <c r="Q787" s="177">
        <v>123</v>
      </c>
      <c r="R787" s="40">
        <v>77</v>
      </c>
      <c r="S787" s="41">
        <v>72</v>
      </c>
      <c r="T787" s="42">
        <v>99</v>
      </c>
      <c r="U787" s="43">
        <v>92</v>
      </c>
      <c r="V787" s="44">
        <v>58</v>
      </c>
      <c r="W787" s="45">
        <f t="shared" si="189"/>
        <v>521</v>
      </c>
      <c r="X787" s="19">
        <f t="shared" si="190"/>
        <v>86.83</v>
      </c>
      <c r="Y787" s="3">
        <v>123</v>
      </c>
      <c r="Z787" s="4">
        <v>77</v>
      </c>
      <c r="AA787" s="5">
        <v>72</v>
      </c>
      <c r="AB787" s="6">
        <v>99</v>
      </c>
      <c r="AC787" s="7">
        <v>92</v>
      </c>
      <c r="AD787" s="8">
        <v>58</v>
      </c>
      <c r="AE787" s="1">
        <v>521</v>
      </c>
      <c r="AF787" s="19">
        <v>86.83</v>
      </c>
      <c r="AN787" s="174"/>
      <c r="AV787" s="174"/>
      <c r="AW787" s="45"/>
      <c r="AX787" s="174" t="b">
        <f>IF('Refined Compare'!$D$2="All",TRUE,IF(F787='Refined Compare'!$D$2,TRUE,IF(G787='Refined Compare'!$D$2,TRUE,FALSE)))</f>
        <v>0</v>
      </c>
      <c r="AY787" s="174" t="b">
        <f>IF('Refined Compare'!$D$3="All",TRUE,IF(F787='Refined Compare'!$D$3,TRUE,IF(G787='Refined Compare'!$D$3,TRUE,FALSE)))</f>
        <v>0</v>
      </c>
      <c r="AZ787" s="174" t="b">
        <f t="shared" si="199"/>
        <v>0</v>
      </c>
    </row>
    <row r="788" spans="1:52" x14ac:dyDescent="0.35">
      <c r="A788">
        <f t="shared" si="200"/>
        <v>787</v>
      </c>
      <c r="B788" s="18">
        <v>700</v>
      </c>
      <c r="C788" s="61">
        <v>6</v>
      </c>
      <c r="D788" s="118" t="b">
        <v>1</v>
      </c>
      <c r="E788" s="61"/>
      <c r="F788" s="66" t="s">
        <v>815</v>
      </c>
      <c r="G788" s="66" t="s">
        <v>827</v>
      </c>
      <c r="H788" s="38" t="s">
        <v>354</v>
      </c>
      <c r="I788" s="39">
        <f t="shared" si="191"/>
        <v>0</v>
      </c>
      <c r="J788" s="40">
        <f t="shared" si="192"/>
        <v>0</v>
      </c>
      <c r="K788" s="41">
        <f t="shared" si="193"/>
        <v>0</v>
      </c>
      <c r="L788" s="42">
        <f t="shared" si="194"/>
        <v>0</v>
      </c>
      <c r="M788" s="43">
        <f t="shared" si="195"/>
        <v>0</v>
      </c>
      <c r="N788" s="44">
        <f t="shared" si="196"/>
        <v>0</v>
      </c>
      <c r="O788" s="45">
        <f t="shared" si="197"/>
        <v>0</v>
      </c>
      <c r="P788" s="19">
        <f t="shared" si="198"/>
        <v>0</v>
      </c>
      <c r="Q788" s="177">
        <v>95</v>
      </c>
      <c r="R788" s="40">
        <v>65</v>
      </c>
      <c r="S788" s="41">
        <v>65</v>
      </c>
      <c r="T788" s="42">
        <v>110</v>
      </c>
      <c r="U788" s="43">
        <v>130</v>
      </c>
      <c r="V788" s="44">
        <v>60</v>
      </c>
      <c r="W788" s="45">
        <f t="shared" si="189"/>
        <v>525</v>
      </c>
      <c r="X788" s="19">
        <f t="shared" si="190"/>
        <v>87.5</v>
      </c>
      <c r="Y788" s="3">
        <v>95</v>
      </c>
      <c r="Z788" s="4">
        <v>65</v>
      </c>
      <c r="AA788" s="5">
        <v>65</v>
      </c>
      <c r="AB788" s="6">
        <v>110</v>
      </c>
      <c r="AC788" s="7">
        <v>130</v>
      </c>
      <c r="AD788" s="8">
        <v>60</v>
      </c>
      <c r="AE788" s="1">
        <v>525</v>
      </c>
      <c r="AF788" s="19">
        <v>87.5</v>
      </c>
      <c r="AN788" s="174"/>
      <c r="AV788" s="174"/>
      <c r="AW788" s="45"/>
      <c r="AX788" s="174" t="b">
        <f>IF('Refined Compare'!$D$2="All",TRUE,IF(F788='Refined Compare'!$D$2,TRUE,IF(G788='Refined Compare'!$D$2,TRUE,FALSE)))</f>
        <v>0</v>
      </c>
      <c r="AY788" s="174" t="b">
        <f>IF('Refined Compare'!$D$3="All",TRUE,IF(F788='Refined Compare'!$D$3,TRUE,IF(G788='Refined Compare'!$D$3,TRUE,FALSE)))</f>
        <v>1</v>
      </c>
      <c r="AZ788" s="174" t="b">
        <f t="shared" si="199"/>
        <v>0</v>
      </c>
    </row>
    <row r="789" spans="1:52" x14ac:dyDescent="0.35">
      <c r="A789">
        <f t="shared" si="200"/>
        <v>788</v>
      </c>
      <c r="B789" s="18">
        <v>701</v>
      </c>
      <c r="C789" s="61">
        <v>6</v>
      </c>
      <c r="D789" s="118" t="b">
        <v>1</v>
      </c>
      <c r="E789" s="61"/>
      <c r="F789" s="66" t="s">
        <v>816</v>
      </c>
      <c r="G789" s="66" t="s">
        <v>809</v>
      </c>
      <c r="H789" s="38" t="s">
        <v>748</v>
      </c>
      <c r="I789" s="39">
        <f t="shared" si="191"/>
        <v>0</v>
      </c>
      <c r="J789" s="40">
        <f t="shared" si="192"/>
        <v>0</v>
      </c>
      <c r="K789" s="41">
        <f t="shared" si="193"/>
        <v>0</v>
      </c>
      <c r="L789" s="42">
        <f t="shared" si="194"/>
        <v>0</v>
      </c>
      <c r="M789" s="43">
        <f t="shared" si="195"/>
        <v>0</v>
      </c>
      <c r="N789" s="44">
        <f t="shared" si="196"/>
        <v>0</v>
      </c>
      <c r="O789" s="45">
        <f t="shared" si="197"/>
        <v>0</v>
      </c>
      <c r="P789" s="19">
        <f t="shared" si="198"/>
        <v>0</v>
      </c>
      <c r="Q789" s="177">
        <v>78</v>
      </c>
      <c r="R789" s="40">
        <v>92</v>
      </c>
      <c r="S789" s="41">
        <v>75</v>
      </c>
      <c r="T789" s="42">
        <v>74</v>
      </c>
      <c r="U789" s="43">
        <v>63</v>
      </c>
      <c r="V789" s="44">
        <v>118</v>
      </c>
      <c r="W789" s="45">
        <f t="shared" ref="W789:W816" si="201">SUM(Q789:V789)</f>
        <v>500</v>
      </c>
      <c r="X789" s="19">
        <f t="shared" ref="X789:X816" si="202">ROUND(AVERAGE(Q789:V789),2)</f>
        <v>83.33</v>
      </c>
      <c r="Y789" s="3">
        <v>78</v>
      </c>
      <c r="Z789" s="4">
        <v>92</v>
      </c>
      <c r="AA789" s="5">
        <v>75</v>
      </c>
      <c r="AB789" s="6">
        <v>74</v>
      </c>
      <c r="AC789" s="7">
        <v>63</v>
      </c>
      <c r="AD789" s="8">
        <v>118</v>
      </c>
      <c r="AE789" s="1">
        <v>500</v>
      </c>
      <c r="AF789" s="19">
        <v>83.33</v>
      </c>
      <c r="AN789" s="174"/>
      <c r="AV789" s="174"/>
      <c r="AW789" s="45"/>
      <c r="AX789" s="174" t="b">
        <f>IF('Refined Compare'!$D$2="All",TRUE,IF(F789='Refined Compare'!$D$2,TRUE,IF(G789='Refined Compare'!$D$2,TRUE,FALSE)))</f>
        <v>0</v>
      </c>
      <c r="AY789" s="174" t="b">
        <f>IF('Refined Compare'!$D$3="All",TRUE,IF(F789='Refined Compare'!$D$3,TRUE,IF(G789='Refined Compare'!$D$3,TRUE,FALSE)))</f>
        <v>0</v>
      </c>
      <c r="AZ789" s="174" t="b">
        <f t="shared" si="199"/>
        <v>0</v>
      </c>
    </row>
    <row r="790" spans="1:52" x14ac:dyDescent="0.35">
      <c r="A790">
        <f t="shared" si="200"/>
        <v>789</v>
      </c>
      <c r="B790" s="18">
        <v>702</v>
      </c>
      <c r="C790" s="61">
        <v>6</v>
      </c>
      <c r="D790" s="118" t="b">
        <v>1</v>
      </c>
      <c r="E790" s="61"/>
      <c r="F790" s="66" t="s">
        <v>813</v>
      </c>
      <c r="G790" s="66" t="s">
        <v>815</v>
      </c>
      <c r="H790" s="38" t="s">
        <v>687</v>
      </c>
      <c r="I790" s="39">
        <f t="shared" ref="I790:I853" si="203">IF($AW$2=7,Q790,IF($AW$2=6,Y790,IF($AW$2=1,AO790,AG790)))</f>
        <v>0</v>
      </c>
      <c r="J790" s="40">
        <f t="shared" ref="J790:J853" si="204">IF($AW$2=7,R790,IF($AW$2=6,Z790,IF($AW$2=1,AP790,AH790)))</f>
        <v>0</v>
      </c>
      <c r="K790" s="41">
        <f t="shared" ref="K790:K853" si="205">IF($AW$2=7,S790,IF($AW$2=6,AA790,IF($AW$2=1,AQ790,AI790)))</f>
        <v>0</v>
      </c>
      <c r="L790" s="42">
        <f t="shared" ref="L790:L853" si="206">IF($AW$2=7,T790,IF($AW$2=6,AB790,IF($AW$2=1,AR790,AJ790)))</f>
        <v>0</v>
      </c>
      <c r="M790" s="43">
        <f t="shared" ref="M790:M853" si="207">IF($AW$2=7,U790,IF($AW$2=6,AC790,IF($AW$2=1,AS790,AK790)))</f>
        <v>0</v>
      </c>
      <c r="N790" s="44">
        <f t="shared" ref="N790:N853" si="208">IF($AW$2=7,V790,IF($AW$2=6,AD790,IF($AW$2=1,AT790,AL790)))</f>
        <v>0</v>
      </c>
      <c r="O790" s="45">
        <f t="shared" ref="O790:O853" si="209">IF($AW$2=7,W790,IF($AW$2=6,AE790,IF($AW$2=1,AU790,AM790)))</f>
        <v>0</v>
      </c>
      <c r="P790" s="19">
        <f t="shared" ref="P790:P853" si="210">IF($AW$2=7,X790,IF($AW$2=6,AF790,IF($AW$2=1,AV790,AN790)))</f>
        <v>0</v>
      </c>
      <c r="Q790" s="177">
        <v>67</v>
      </c>
      <c r="R790" s="40">
        <v>58</v>
      </c>
      <c r="S790" s="41">
        <v>57</v>
      </c>
      <c r="T790" s="42">
        <v>81</v>
      </c>
      <c r="U790" s="43">
        <v>67</v>
      </c>
      <c r="V790" s="44">
        <v>101</v>
      </c>
      <c r="W790" s="45">
        <f t="shared" si="201"/>
        <v>431</v>
      </c>
      <c r="X790" s="19">
        <f t="shared" si="202"/>
        <v>71.83</v>
      </c>
      <c r="Y790" s="3">
        <v>67</v>
      </c>
      <c r="Z790" s="4">
        <v>58</v>
      </c>
      <c r="AA790" s="5">
        <v>57</v>
      </c>
      <c r="AB790" s="6">
        <v>81</v>
      </c>
      <c r="AC790" s="7">
        <v>67</v>
      </c>
      <c r="AD790" s="8">
        <v>101</v>
      </c>
      <c r="AE790" s="1">
        <v>431</v>
      </c>
      <c r="AF790" s="19">
        <v>71.83</v>
      </c>
      <c r="AN790" s="174"/>
      <c r="AV790" s="174"/>
      <c r="AW790" s="45"/>
      <c r="AX790" s="174" t="b">
        <f>IF('Refined Compare'!$D$2="All",TRUE,IF(F790='Refined Compare'!$D$2,TRUE,IF(G790='Refined Compare'!$D$2,TRUE,FALSE)))</f>
        <v>0</v>
      </c>
      <c r="AY790" s="174" t="b">
        <f>IF('Refined Compare'!$D$3="All",TRUE,IF(F790='Refined Compare'!$D$3,TRUE,IF(G790='Refined Compare'!$D$3,TRUE,FALSE)))</f>
        <v>0</v>
      </c>
      <c r="AZ790" s="174" t="b">
        <f t="shared" si="199"/>
        <v>0</v>
      </c>
    </row>
    <row r="791" spans="1:52" x14ac:dyDescent="0.35">
      <c r="A791">
        <f t="shared" si="200"/>
        <v>790</v>
      </c>
      <c r="B791" s="18">
        <v>703</v>
      </c>
      <c r="C791" s="61">
        <v>6</v>
      </c>
      <c r="D791" s="118" t="b">
        <v>1</v>
      </c>
      <c r="E791" s="61"/>
      <c r="F791" s="66" t="s">
        <v>818</v>
      </c>
      <c r="G791" s="66" t="s">
        <v>815</v>
      </c>
      <c r="H791" s="38" t="s">
        <v>255</v>
      </c>
      <c r="I791" s="39">
        <f t="shared" si="203"/>
        <v>0</v>
      </c>
      <c r="J791" s="40">
        <f t="shared" si="204"/>
        <v>0</v>
      </c>
      <c r="K791" s="41">
        <f t="shared" si="205"/>
        <v>0</v>
      </c>
      <c r="L791" s="42">
        <f t="shared" si="206"/>
        <v>0</v>
      </c>
      <c r="M791" s="43">
        <f t="shared" si="207"/>
        <v>0</v>
      </c>
      <c r="N791" s="44">
        <f t="shared" si="208"/>
        <v>0</v>
      </c>
      <c r="O791" s="45">
        <f t="shared" si="209"/>
        <v>0</v>
      </c>
      <c r="P791" s="19">
        <f t="shared" si="210"/>
        <v>0</v>
      </c>
      <c r="Q791" s="177">
        <v>50</v>
      </c>
      <c r="R791" s="40">
        <v>50</v>
      </c>
      <c r="S791" s="41">
        <v>150</v>
      </c>
      <c r="T791" s="42">
        <v>50</v>
      </c>
      <c r="U791" s="43">
        <v>150</v>
      </c>
      <c r="V791" s="44">
        <v>50</v>
      </c>
      <c r="W791" s="45">
        <f t="shared" si="201"/>
        <v>500</v>
      </c>
      <c r="X791" s="19">
        <f t="shared" si="202"/>
        <v>83.33</v>
      </c>
      <c r="Y791" s="3">
        <v>50</v>
      </c>
      <c r="Z791" s="4">
        <v>50</v>
      </c>
      <c r="AA791" s="5">
        <v>150</v>
      </c>
      <c r="AB791" s="6">
        <v>50</v>
      </c>
      <c r="AC791" s="7">
        <v>150</v>
      </c>
      <c r="AD791" s="8">
        <v>50</v>
      </c>
      <c r="AE791" s="1">
        <v>500</v>
      </c>
      <c r="AF791" s="19">
        <v>83.33</v>
      </c>
      <c r="AN791" s="174"/>
      <c r="AV791" s="174"/>
      <c r="AW791" s="45"/>
      <c r="AX791" s="174" t="b">
        <f>IF('Refined Compare'!$D$2="All",TRUE,IF(F791='Refined Compare'!$D$2,TRUE,IF(G791='Refined Compare'!$D$2,TRUE,FALSE)))</f>
        <v>0</v>
      </c>
      <c r="AY791" s="174" t="b">
        <f>IF('Refined Compare'!$D$3="All",TRUE,IF(F791='Refined Compare'!$D$3,TRUE,IF(G791='Refined Compare'!$D$3,TRUE,FALSE)))</f>
        <v>0</v>
      </c>
      <c r="AZ791" s="174" t="b">
        <f t="shared" si="199"/>
        <v>0</v>
      </c>
    </row>
    <row r="792" spans="1:52" x14ac:dyDescent="0.35">
      <c r="A792">
        <f t="shared" si="200"/>
        <v>791</v>
      </c>
      <c r="B792" s="18">
        <v>704</v>
      </c>
      <c r="C792" s="61">
        <v>6</v>
      </c>
      <c r="D792" s="61" t="b">
        <v>0</v>
      </c>
      <c r="E792" s="61"/>
      <c r="F792" s="66" t="s">
        <v>822</v>
      </c>
      <c r="G792" s="66" t="s">
        <v>827</v>
      </c>
      <c r="H792" s="38" t="s">
        <v>154</v>
      </c>
      <c r="I792" s="39">
        <f t="shared" si="203"/>
        <v>0</v>
      </c>
      <c r="J792" s="40">
        <f t="shared" si="204"/>
        <v>0</v>
      </c>
      <c r="K792" s="41">
        <f t="shared" si="205"/>
        <v>0</v>
      </c>
      <c r="L792" s="42">
        <f t="shared" si="206"/>
        <v>0</v>
      </c>
      <c r="M792" s="43">
        <f t="shared" si="207"/>
        <v>0</v>
      </c>
      <c r="N792" s="44">
        <f t="shared" si="208"/>
        <v>0</v>
      </c>
      <c r="O792" s="45">
        <f t="shared" si="209"/>
        <v>0</v>
      </c>
      <c r="P792" s="19">
        <f t="shared" si="210"/>
        <v>0</v>
      </c>
      <c r="Q792" s="177">
        <v>45</v>
      </c>
      <c r="R792" s="40">
        <v>50</v>
      </c>
      <c r="S792" s="41">
        <v>35</v>
      </c>
      <c r="T792" s="42">
        <v>55</v>
      </c>
      <c r="U792" s="43">
        <v>75</v>
      </c>
      <c r="V792" s="44">
        <v>40</v>
      </c>
      <c r="W792" s="45">
        <f t="shared" si="201"/>
        <v>300</v>
      </c>
      <c r="X792" s="19">
        <f t="shared" si="202"/>
        <v>50</v>
      </c>
      <c r="Y792" s="3">
        <v>45</v>
      </c>
      <c r="Z792" s="4">
        <v>50</v>
      </c>
      <c r="AA792" s="5">
        <v>35</v>
      </c>
      <c r="AB792" s="6">
        <v>55</v>
      </c>
      <c r="AC792" s="7">
        <v>75</v>
      </c>
      <c r="AD792" s="8">
        <v>40</v>
      </c>
      <c r="AE792" s="1">
        <v>300</v>
      </c>
      <c r="AF792" s="19">
        <v>50</v>
      </c>
      <c r="AN792" s="174"/>
      <c r="AV792" s="174"/>
      <c r="AW792" s="45"/>
      <c r="AX792" s="174" t="b">
        <f>IF('Refined Compare'!$D$2="All",TRUE,IF(F792='Refined Compare'!$D$2,TRUE,IF(G792='Refined Compare'!$D$2,TRUE,FALSE)))</f>
        <v>0</v>
      </c>
      <c r="AY792" s="174" t="b">
        <f>IF('Refined Compare'!$D$3="All",TRUE,IF(F792='Refined Compare'!$D$3,TRUE,IF(G792='Refined Compare'!$D$3,TRUE,FALSE)))</f>
        <v>1</v>
      </c>
      <c r="AZ792" s="174" t="b">
        <f t="shared" si="199"/>
        <v>0</v>
      </c>
    </row>
    <row r="793" spans="1:52" x14ac:dyDescent="0.35">
      <c r="A793">
        <f t="shared" si="200"/>
        <v>792</v>
      </c>
      <c r="B793" s="18">
        <v>705</v>
      </c>
      <c r="C793" s="61">
        <v>6</v>
      </c>
      <c r="D793" s="61" t="b">
        <v>0</v>
      </c>
      <c r="E793" s="61"/>
      <c r="F793" s="66" t="s">
        <v>822</v>
      </c>
      <c r="G793" s="66" t="s">
        <v>827</v>
      </c>
      <c r="H793" s="38" t="s">
        <v>355</v>
      </c>
      <c r="I793" s="39">
        <f t="shared" si="203"/>
        <v>0</v>
      </c>
      <c r="J793" s="40">
        <f t="shared" si="204"/>
        <v>0</v>
      </c>
      <c r="K793" s="41">
        <f t="shared" si="205"/>
        <v>0</v>
      </c>
      <c r="L793" s="42">
        <f t="shared" si="206"/>
        <v>0</v>
      </c>
      <c r="M793" s="43">
        <f t="shared" si="207"/>
        <v>0</v>
      </c>
      <c r="N793" s="44">
        <f t="shared" si="208"/>
        <v>0</v>
      </c>
      <c r="O793" s="45">
        <f t="shared" si="209"/>
        <v>0</v>
      </c>
      <c r="P793" s="19">
        <f t="shared" si="210"/>
        <v>0</v>
      </c>
      <c r="Q793" s="177">
        <v>68</v>
      </c>
      <c r="R793" s="40">
        <v>75</v>
      </c>
      <c r="S793" s="41">
        <v>53</v>
      </c>
      <c r="T793" s="42">
        <v>83</v>
      </c>
      <c r="U793" s="43">
        <v>113</v>
      </c>
      <c r="V793" s="44">
        <v>60</v>
      </c>
      <c r="W793" s="45">
        <f t="shared" si="201"/>
        <v>452</v>
      </c>
      <c r="X793" s="19">
        <f t="shared" si="202"/>
        <v>75.33</v>
      </c>
      <c r="Y793" s="3">
        <v>68</v>
      </c>
      <c r="Z793" s="4">
        <v>75</v>
      </c>
      <c r="AA793" s="5">
        <v>53</v>
      </c>
      <c r="AB793" s="6">
        <v>83</v>
      </c>
      <c r="AC793" s="7">
        <v>113</v>
      </c>
      <c r="AD793" s="8">
        <v>60</v>
      </c>
      <c r="AE793" s="1">
        <v>452</v>
      </c>
      <c r="AF793" s="19">
        <v>75.33</v>
      </c>
      <c r="AN793" s="174"/>
      <c r="AV793" s="174"/>
      <c r="AW793" s="45"/>
      <c r="AX793" s="174" t="b">
        <f>IF('Refined Compare'!$D$2="All",TRUE,IF(F793='Refined Compare'!$D$2,TRUE,IF(G793='Refined Compare'!$D$2,TRUE,FALSE)))</f>
        <v>0</v>
      </c>
      <c r="AY793" s="174" t="b">
        <f>IF('Refined Compare'!$D$3="All",TRUE,IF(F793='Refined Compare'!$D$3,TRUE,IF(G793='Refined Compare'!$D$3,TRUE,FALSE)))</f>
        <v>1</v>
      </c>
      <c r="AZ793" s="174" t="b">
        <f t="shared" si="199"/>
        <v>0</v>
      </c>
    </row>
    <row r="794" spans="1:52" x14ac:dyDescent="0.35">
      <c r="A794">
        <f t="shared" si="200"/>
        <v>793</v>
      </c>
      <c r="B794" s="18">
        <v>706</v>
      </c>
      <c r="C794" s="61">
        <v>6</v>
      </c>
      <c r="D794" s="118" t="b">
        <v>1</v>
      </c>
      <c r="E794" s="61"/>
      <c r="F794" s="66" t="s">
        <v>822</v>
      </c>
      <c r="G794" s="66" t="s">
        <v>827</v>
      </c>
      <c r="H794" s="38" t="s">
        <v>527</v>
      </c>
      <c r="I794" s="39">
        <f t="shared" si="203"/>
        <v>0</v>
      </c>
      <c r="J794" s="40">
        <f t="shared" si="204"/>
        <v>0</v>
      </c>
      <c r="K794" s="41">
        <f t="shared" si="205"/>
        <v>0</v>
      </c>
      <c r="L794" s="42">
        <f t="shared" si="206"/>
        <v>0</v>
      </c>
      <c r="M794" s="43">
        <f t="shared" si="207"/>
        <v>0</v>
      </c>
      <c r="N794" s="44">
        <f t="shared" si="208"/>
        <v>0</v>
      </c>
      <c r="O794" s="45">
        <f t="shared" si="209"/>
        <v>0</v>
      </c>
      <c r="P794" s="19">
        <f t="shared" si="210"/>
        <v>0</v>
      </c>
      <c r="Q794" s="177">
        <v>90</v>
      </c>
      <c r="R794" s="40">
        <v>100</v>
      </c>
      <c r="S794" s="41">
        <v>70</v>
      </c>
      <c r="T794" s="42">
        <v>110</v>
      </c>
      <c r="U794" s="43">
        <v>150</v>
      </c>
      <c r="V794" s="44">
        <v>80</v>
      </c>
      <c r="W794" s="45">
        <f t="shared" si="201"/>
        <v>600</v>
      </c>
      <c r="X794" s="19">
        <f t="shared" si="202"/>
        <v>100</v>
      </c>
      <c r="Y794" s="3">
        <v>90</v>
      </c>
      <c r="Z794" s="4">
        <v>100</v>
      </c>
      <c r="AA794" s="5">
        <v>70</v>
      </c>
      <c r="AB794" s="6">
        <v>110</v>
      </c>
      <c r="AC794" s="7">
        <v>150</v>
      </c>
      <c r="AD794" s="8">
        <v>80</v>
      </c>
      <c r="AE794" s="1">
        <v>600</v>
      </c>
      <c r="AF794" s="19">
        <v>100</v>
      </c>
      <c r="AN794" s="174"/>
      <c r="AV794" s="174"/>
      <c r="AW794" s="45"/>
      <c r="AX794" s="174" t="b">
        <f>IF('Refined Compare'!$D$2="All",TRUE,IF(F794='Refined Compare'!$D$2,TRUE,IF(G794='Refined Compare'!$D$2,TRUE,FALSE)))</f>
        <v>0</v>
      </c>
      <c r="AY794" s="174" t="b">
        <f>IF('Refined Compare'!$D$3="All",TRUE,IF(F794='Refined Compare'!$D$3,TRUE,IF(G794='Refined Compare'!$D$3,TRUE,FALSE)))</f>
        <v>1</v>
      </c>
      <c r="AZ794" s="174" t="b">
        <f t="shared" si="199"/>
        <v>0</v>
      </c>
    </row>
    <row r="795" spans="1:52" x14ac:dyDescent="0.35">
      <c r="A795">
        <f t="shared" si="200"/>
        <v>794</v>
      </c>
      <c r="B795" s="18">
        <v>707</v>
      </c>
      <c r="C795" s="61">
        <v>6</v>
      </c>
      <c r="D795" s="118" t="b">
        <v>1</v>
      </c>
      <c r="E795" s="61"/>
      <c r="F795" s="66" t="s">
        <v>819</v>
      </c>
      <c r="G795" s="66" t="s">
        <v>815</v>
      </c>
      <c r="H795" s="38" t="s">
        <v>485</v>
      </c>
      <c r="I795" s="39">
        <f t="shared" si="203"/>
        <v>0</v>
      </c>
      <c r="J795" s="40">
        <f t="shared" si="204"/>
        <v>0</v>
      </c>
      <c r="K795" s="41">
        <f t="shared" si="205"/>
        <v>0</v>
      </c>
      <c r="L795" s="42">
        <f t="shared" si="206"/>
        <v>0</v>
      </c>
      <c r="M795" s="43">
        <f t="shared" si="207"/>
        <v>0</v>
      </c>
      <c r="N795" s="44">
        <f t="shared" si="208"/>
        <v>0</v>
      </c>
      <c r="O795" s="45">
        <f t="shared" si="209"/>
        <v>0</v>
      </c>
      <c r="P795" s="19">
        <f t="shared" si="210"/>
        <v>0</v>
      </c>
      <c r="Q795" s="177">
        <v>57</v>
      </c>
      <c r="R795" s="40">
        <v>80</v>
      </c>
      <c r="S795" s="41">
        <v>91</v>
      </c>
      <c r="T795" s="42">
        <v>80</v>
      </c>
      <c r="U795" s="43">
        <v>87</v>
      </c>
      <c r="V795" s="44">
        <v>75</v>
      </c>
      <c r="W795" s="45">
        <f t="shared" si="201"/>
        <v>470</v>
      </c>
      <c r="X795" s="19">
        <f t="shared" si="202"/>
        <v>78.33</v>
      </c>
      <c r="Y795" s="3">
        <v>57</v>
      </c>
      <c r="Z795" s="4">
        <v>80</v>
      </c>
      <c r="AA795" s="5">
        <v>91</v>
      </c>
      <c r="AB795" s="6">
        <v>80</v>
      </c>
      <c r="AC795" s="7">
        <v>87</v>
      </c>
      <c r="AD795" s="8">
        <v>75</v>
      </c>
      <c r="AE795" s="1">
        <v>470</v>
      </c>
      <c r="AF795" s="19">
        <v>78.33</v>
      </c>
      <c r="AN795" s="174"/>
      <c r="AV795" s="174"/>
      <c r="AW795" s="45"/>
      <c r="AX795" s="174" t="b">
        <f>IF('Refined Compare'!$D$2="All",TRUE,IF(F795='Refined Compare'!$D$2,TRUE,IF(G795='Refined Compare'!$D$2,TRUE,FALSE)))</f>
        <v>0</v>
      </c>
      <c r="AY795" s="174" t="b">
        <f>IF('Refined Compare'!$D$3="All",TRUE,IF(F795='Refined Compare'!$D$3,TRUE,IF(G795='Refined Compare'!$D$3,TRUE,FALSE)))</f>
        <v>0</v>
      </c>
      <c r="AZ795" s="174" t="b">
        <f t="shared" si="199"/>
        <v>0</v>
      </c>
    </row>
    <row r="796" spans="1:52" x14ac:dyDescent="0.35">
      <c r="A796">
        <f t="shared" si="200"/>
        <v>795</v>
      </c>
      <c r="B796" s="18">
        <v>708</v>
      </c>
      <c r="C796" s="61">
        <v>6</v>
      </c>
      <c r="D796" s="61" t="b">
        <v>0</v>
      </c>
      <c r="E796" s="61"/>
      <c r="F796" s="66" t="s">
        <v>821</v>
      </c>
      <c r="G796" s="66" t="s">
        <v>806</v>
      </c>
      <c r="H796" s="38" t="s">
        <v>121</v>
      </c>
      <c r="I796" s="39">
        <f t="shared" si="203"/>
        <v>0</v>
      </c>
      <c r="J796" s="40">
        <f t="shared" si="204"/>
        <v>0</v>
      </c>
      <c r="K796" s="41">
        <f t="shared" si="205"/>
        <v>0</v>
      </c>
      <c r="L796" s="42">
        <f t="shared" si="206"/>
        <v>0</v>
      </c>
      <c r="M796" s="43">
        <f t="shared" si="207"/>
        <v>0</v>
      </c>
      <c r="N796" s="44">
        <f t="shared" si="208"/>
        <v>0</v>
      </c>
      <c r="O796" s="45">
        <f t="shared" si="209"/>
        <v>0</v>
      </c>
      <c r="P796" s="19">
        <f t="shared" si="210"/>
        <v>0</v>
      </c>
      <c r="Q796" s="177">
        <v>43</v>
      </c>
      <c r="R796" s="40">
        <v>70</v>
      </c>
      <c r="S796" s="41">
        <v>48</v>
      </c>
      <c r="T796" s="42">
        <v>50</v>
      </c>
      <c r="U796" s="43">
        <v>60</v>
      </c>
      <c r="V796" s="44">
        <v>38</v>
      </c>
      <c r="W796" s="45">
        <f t="shared" si="201"/>
        <v>309</v>
      </c>
      <c r="X796" s="19">
        <f t="shared" si="202"/>
        <v>51.5</v>
      </c>
      <c r="Y796" s="3">
        <v>43</v>
      </c>
      <c r="Z796" s="4">
        <v>70</v>
      </c>
      <c r="AA796" s="5">
        <v>48</v>
      </c>
      <c r="AB796" s="6">
        <v>50</v>
      </c>
      <c r="AC796" s="7">
        <v>60</v>
      </c>
      <c r="AD796" s="8">
        <v>38</v>
      </c>
      <c r="AE796" s="1">
        <v>309</v>
      </c>
      <c r="AF796" s="19">
        <v>51.5</v>
      </c>
      <c r="AN796" s="174"/>
      <c r="AV796" s="174"/>
      <c r="AW796" s="45"/>
      <c r="AX796" s="174" t="b">
        <f>IF('Refined Compare'!$D$2="All",TRUE,IF(F796='Refined Compare'!$D$2,TRUE,IF(G796='Refined Compare'!$D$2,TRUE,FALSE)))</f>
        <v>0</v>
      </c>
      <c r="AY796" s="174" t="b">
        <f>IF('Refined Compare'!$D$3="All",TRUE,IF(F796='Refined Compare'!$D$3,TRUE,IF(G796='Refined Compare'!$D$3,TRUE,FALSE)))</f>
        <v>0</v>
      </c>
      <c r="AZ796" s="174" t="b">
        <f t="shared" si="199"/>
        <v>0</v>
      </c>
    </row>
    <row r="797" spans="1:52" x14ac:dyDescent="0.35">
      <c r="A797">
        <f t="shared" si="200"/>
        <v>796</v>
      </c>
      <c r="B797" s="18">
        <v>709</v>
      </c>
      <c r="C797" s="61">
        <v>6</v>
      </c>
      <c r="D797" s="118" t="b">
        <v>1</v>
      </c>
      <c r="E797" s="61"/>
      <c r="F797" s="66" t="s">
        <v>821</v>
      </c>
      <c r="G797" s="66" t="s">
        <v>806</v>
      </c>
      <c r="H797" s="38" t="s">
        <v>297</v>
      </c>
      <c r="I797" s="39">
        <f t="shared" si="203"/>
        <v>0</v>
      </c>
      <c r="J797" s="40">
        <f t="shared" si="204"/>
        <v>0</v>
      </c>
      <c r="K797" s="41">
        <f t="shared" si="205"/>
        <v>0</v>
      </c>
      <c r="L797" s="42">
        <f t="shared" si="206"/>
        <v>0</v>
      </c>
      <c r="M797" s="43">
        <f t="shared" si="207"/>
        <v>0</v>
      </c>
      <c r="N797" s="44">
        <f t="shared" si="208"/>
        <v>0</v>
      </c>
      <c r="O797" s="45">
        <f t="shared" si="209"/>
        <v>0</v>
      </c>
      <c r="P797" s="19">
        <f t="shared" si="210"/>
        <v>0</v>
      </c>
      <c r="Q797" s="177">
        <v>85</v>
      </c>
      <c r="R797" s="40">
        <v>110</v>
      </c>
      <c r="S797" s="41">
        <v>76</v>
      </c>
      <c r="T797" s="42">
        <v>65</v>
      </c>
      <c r="U797" s="43">
        <v>82</v>
      </c>
      <c r="V797" s="44">
        <v>56</v>
      </c>
      <c r="W797" s="45">
        <f t="shared" si="201"/>
        <v>474</v>
      </c>
      <c r="X797" s="19">
        <f t="shared" si="202"/>
        <v>79</v>
      </c>
      <c r="Y797" s="3">
        <v>85</v>
      </c>
      <c r="Z797" s="4">
        <v>110</v>
      </c>
      <c r="AA797" s="5">
        <v>76</v>
      </c>
      <c r="AB797" s="6">
        <v>65</v>
      </c>
      <c r="AC797" s="7">
        <v>82</v>
      </c>
      <c r="AD797" s="8">
        <v>56</v>
      </c>
      <c r="AE797" s="1">
        <v>474</v>
      </c>
      <c r="AF797" s="19">
        <v>79</v>
      </c>
      <c r="AN797" s="174"/>
      <c r="AV797" s="174"/>
      <c r="AW797" s="45"/>
      <c r="AX797" s="174" t="b">
        <f>IF('Refined Compare'!$D$2="All",TRUE,IF(F797='Refined Compare'!$D$2,TRUE,IF(G797='Refined Compare'!$D$2,TRUE,FALSE)))</f>
        <v>0</v>
      </c>
      <c r="AY797" s="174" t="b">
        <f>IF('Refined Compare'!$D$3="All",TRUE,IF(F797='Refined Compare'!$D$3,TRUE,IF(G797='Refined Compare'!$D$3,TRUE,FALSE)))</f>
        <v>0</v>
      </c>
      <c r="AZ797" s="174" t="b">
        <f t="shared" si="199"/>
        <v>0</v>
      </c>
    </row>
    <row r="798" spans="1:52" x14ac:dyDescent="0.35">
      <c r="A798">
        <f t="shared" si="200"/>
        <v>797</v>
      </c>
      <c r="B798" s="18">
        <v>710</v>
      </c>
      <c r="C798" s="61">
        <v>6</v>
      </c>
      <c r="D798" s="61" t="b">
        <v>0</v>
      </c>
      <c r="E798" s="61"/>
      <c r="F798" s="66" t="s">
        <v>821</v>
      </c>
      <c r="G798" s="66" t="s">
        <v>806</v>
      </c>
      <c r="H798" s="38" t="s">
        <v>843</v>
      </c>
      <c r="I798" s="39">
        <f t="shared" si="203"/>
        <v>0</v>
      </c>
      <c r="J798" s="40">
        <f t="shared" si="204"/>
        <v>0</v>
      </c>
      <c r="K798" s="41">
        <f t="shared" si="205"/>
        <v>0</v>
      </c>
      <c r="L798" s="42">
        <f t="shared" si="206"/>
        <v>0</v>
      </c>
      <c r="M798" s="43">
        <f t="shared" si="207"/>
        <v>0</v>
      </c>
      <c r="N798" s="44">
        <f t="shared" si="208"/>
        <v>0</v>
      </c>
      <c r="O798" s="45">
        <f t="shared" si="209"/>
        <v>0</v>
      </c>
      <c r="P798" s="19">
        <f t="shared" si="210"/>
        <v>0</v>
      </c>
      <c r="Q798" s="177">
        <v>59</v>
      </c>
      <c r="R798" s="40">
        <v>66</v>
      </c>
      <c r="S798" s="41">
        <v>70</v>
      </c>
      <c r="T798" s="42">
        <v>44</v>
      </c>
      <c r="U798" s="43">
        <v>55</v>
      </c>
      <c r="V798" s="44">
        <v>41</v>
      </c>
      <c r="W798" s="45">
        <f t="shared" si="201"/>
        <v>335</v>
      </c>
      <c r="X798" s="19">
        <f t="shared" si="202"/>
        <v>55.83</v>
      </c>
      <c r="Y798" s="3">
        <v>59</v>
      </c>
      <c r="Z798" s="4">
        <v>66</v>
      </c>
      <c r="AA798" s="5">
        <v>70</v>
      </c>
      <c r="AB798" s="6">
        <v>44</v>
      </c>
      <c r="AC798" s="7">
        <v>55</v>
      </c>
      <c r="AD798" s="8">
        <v>41</v>
      </c>
      <c r="AE798" s="1">
        <v>335</v>
      </c>
      <c r="AF798" s="19">
        <v>55.83</v>
      </c>
      <c r="AN798" s="174"/>
      <c r="AV798" s="174"/>
      <c r="AW798" s="45"/>
      <c r="AX798" s="174" t="b">
        <f>IF('Refined Compare'!$D$2="All",TRUE,IF(F798='Refined Compare'!$D$2,TRUE,IF(G798='Refined Compare'!$D$2,TRUE,FALSE)))</f>
        <v>0</v>
      </c>
      <c r="AY798" s="174" t="b">
        <f>IF('Refined Compare'!$D$3="All",TRUE,IF(F798='Refined Compare'!$D$3,TRUE,IF(G798='Refined Compare'!$D$3,TRUE,FALSE)))</f>
        <v>0</v>
      </c>
      <c r="AZ798" s="174" t="b">
        <f t="shared" si="199"/>
        <v>0</v>
      </c>
    </row>
    <row r="799" spans="1:52" x14ac:dyDescent="0.35">
      <c r="A799">
        <f t="shared" si="200"/>
        <v>798</v>
      </c>
      <c r="B799" s="18">
        <v>710</v>
      </c>
      <c r="C799" s="61">
        <v>6</v>
      </c>
      <c r="D799" s="61" t="b">
        <v>0</v>
      </c>
      <c r="E799" s="61"/>
      <c r="F799" s="66" t="s">
        <v>821</v>
      </c>
      <c r="G799" s="66" t="s">
        <v>806</v>
      </c>
      <c r="H799" s="38" t="s">
        <v>844</v>
      </c>
      <c r="I799" s="39">
        <f t="shared" si="203"/>
        <v>0</v>
      </c>
      <c r="J799" s="40">
        <f t="shared" si="204"/>
        <v>0</v>
      </c>
      <c r="K799" s="41">
        <f t="shared" si="205"/>
        <v>0</v>
      </c>
      <c r="L799" s="42">
        <f t="shared" si="206"/>
        <v>0</v>
      </c>
      <c r="M799" s="43">
        <f t="shared" si="207"/>
        <v>0</v>
      </c>
      <c r="N799" s="44">
        <f t="shared" si="208"/>
        <v>0</v>
      </c>
      <c r="O799" s="45">
        <f t="shared" si="209"/>
        <v>0</v>
      </c>
      <c r="P799" s="19">
        <f t="shared" si="210"/>
        <v>0</v>
      </c>
      <c r="Q799" s="177">
        <v>54</v>
      </c>
      <c r="R799" s="40">
        <v>66</v>
      </c>
      <c r="S799" s="41">
        <v>70</v>
      </c>
      <c r="T799" s="42">
        <v>44</v>
      </c>
      <c r="U799" s="43">
        <v>55</v>
      </c>
      <c r="V799" s="44">
        <v>46</v>
      </c>
      <c r="W799" s="45">
        <f t="shared" si="201"/>
        <v>335</v>
      </c>
      <c r="X799" s="19">
        <f t="shared" si="202"/>
        <v>55.83</v>
      </c>
      <c r="Y799" s="3">
        <v>54</v>
      </c>
      <c r="Z799" s="4">
        <v>66</v>
      </c>
      <c r="AA799" s="5">
        <v>70</v>
      </c>
      <c r="AB799" s="6">
        <v>44</v>
      </c>
      <c r="AC799" s="7">
        <v>55</v>
      </c>
      <c r="AD799" s="8">
        <v>46</v>
      </c>
      <c r="AE799" s="1">
        <v>335</v>
      </c>
      <c r="AF799" s="19">
        <v>55.83</v>
      </c>
      <c r="AN799" s="174"/>
      <c r="AV799" s="174"/>
      <c r="AW799" s="45"/>
      <c r="AX799" s="174" t="b">
        <f>IF('Refined Compare'!$D$2="All",TRUE,IF(F799='Refined Compare'!$D$2,TRUE,IF(G799='Refined Compare'!$D$2,TRUE,FALSE)))</f>
        <v>0</v>
      </c>
      <c r="AY799" s="174" t="b">
        <f>IF('Refined Compare'!$D$3="All",TRUE,IF(F799='Refined Compare'!$D$3,TRUE,IF(G799='Refined Compare'!$D$3,TRUE,FALSE)))</f>
        <v>0</v>
      </c>
      <c r="AZ799" s="174" t="b">
        <f t="shared" si="199"/>
        <v>0</v>
      </c>
    </row>
    <row r="800" spans="1:52" x14ac:dyDescent="0.35">
      <c r="A800">
        <f t="shared" si="200"/>
        <v>799</v>
      </c>
      <c r="B800" s="18">
        <v>710</v>
      </c>
      <c r="C800" s="61">
        <v>6</v>
      </c>
      <c r="D800" s="61" t="b">
        <v>0</v>
      </c>
      <c r="E800" s="61"/>
      <c r="F800" s="66" t="s">
        <v>821</v>
      </c>
      <c r="G800" s="66" t="s">
        <v>806</v>
      </c>
      <c r="H800" s="38" t="s">
        <v>845</v>
      </c>
      <c r="I800" s="39">
        <f t="shared" si="203"/>
        <v>0</v>
      </c>
      <c r="J800" s="40">
        <f t="shared" si="204"/>
        <v>0</v>
      </c>
      <c r="K800" s="41">
        <f t="shared" si="205"/>
        <v>0</v>
      </c>
      <c r="L800" s="42">
        <f t="shared" si="206"/>
        <v>0</v>
      </c>
      <c r="M800" s="43">
        <f t="shared" si="207"/>
        <v>0</v>
      </c>
      <c r="N800" s="44">
        <f t="shared" si="208"/>
        <v>0</v>
      </c>
      <c r="O800" s="45">
        <f t="shared" si="209"/>
        <v>0</v>
      </c>
      <c r="P800" s="19">
        <f t="shared" si="210"/>
        <v>0</v>
      </c>
      <c r="Q800" s="177">
        <v>49</v>
      </c>
      <c r="R800" s="40">
        <v>66</v>
      </c>
      <c r="S800" s="41">
        <v>70</v>
      </c>
      <c r="T800" s="42">
        <v>44</v>
      </c>
      <c r="U800" s="43">
        <v>55</v>
      </c>
      <c r="V800" s="44">
        <v>51</v>
      </c>
      <c r="W800" s="45">
        <f t="shared" si="201"/>
        <v>335</v>
      </c>
      <c r="X800" s="19">
        <f t="shared" si="202"/>
        <v>55.83</v>
      </c>
      <c r="Y800" s="3">
        <v>49</v>
      </c>
      <c r="Z800" s="4">
        <v>66</v>
      </c>
      <c r="AA800" s="5">
        <v>70</v>
      </c>
      <c r="AB800" s="6">
        <v>44</v>
      </c>
      <c r="AC800" s="7">
        <v>55</v>
      </c>
      <c r="AD800" s="8">
        <v>51</v>
      </c>
      <c r="AE800" s="1">
        <v>335</v>
      </c>
      <c r="AF800" s="19">
        <v>55.83</v>
      </c>
      <c r="AN800" s="174"/>
      <c r="AV800" s="174"/>
      <c r="AW800" s="45"/>
      <c r="AX800" s="174" t="b">
        <f>IF('Refined Compare'!$D$2="All",TRUE,IF(F800='Refined Compare'!$D$2,TRUE,IF(G800='Refined Compare'!$D$2,TRUE,FALSE)))</f>
        <v>0</v>
      </c>
      <c r="AY800" s="174" t="b">
        <f>IF('Refined Compare'!$D$3="All",TRUE,IF(F800='Refined Compare'!$D$3,TRUE,IF(G800='Refined Compare'!$D$3,TRUE,FALSE)))</f>
        <v>0</v>
      </c>
      <c r="AZ800" s="174" t="b">
        <f t="shared" si="199"/>
        <v>0</v>
      </c>
    </row>
    <row r="801" spans="1:52" x14ac:dyDescent="0.35">
      <c r="A801">
        <f t="shared" si="200"/>
        <v>800</v>
      </c>
      <c r="B801" s="18">
        <v>710</v>
      </c>
      <c r="C801" s="61">
        <v>6</v>
      </c>
      <c r="D801" s="61" t="b">
        <v>0</v>
      </c>
      <c r="E801" s="61"/>
      <c r="F801" s="66" t="s">
        <v>821</v>
      </c>
      <c r="G801" s="66" t="s">
        <v>806</v>
      </c>
      <c r="H801" s="38" t="s">
        <v>846</v>
      </c>
      <c r="I801" s="39">
        <f t="shared" si="203"/>
        <v>0</v>
      </c>
      <c r="J801" s="40">
        <f t="shared" si="204"/>
        <v>0</v>
      </c>
      <c r="K801" s="41">
        <f t="shared" si="205"/>
        <v>0</v>
      </c>
      <c r="L801" s="42">
        <f t="shared" si="206"/>
        <v>0</v>
      </c>
      <c r="M801" s="43">
        <f t="shared" si="207"/>
        <v>0</v>
      </c>
      <c r="N801" s="44">
        <f t="shared" si="208"/>
        <v>0</v>
      </c>
      <c r="O801" s="45">
        <f t="shared" si="209"/>
        <v>0</v>
      </c>
      <c r="P801" s="19">
        <f t="shared" si="210"/>
        <v>0</v>
      </c>
      <c r="Q801" s="177">
        <v>44</v>
      </c>
      <c r="R801" s="40">
        <v>66</v>
      </c>
      <c r="S801" s="41">
        <v>70</v>
      </c>
      <c r="T801" s="42">
        <v>44</v>
      </c>
      <c r="U801" s="43">
        <v>55</v>
      </c>
      <c r="V801" s="44">
        <v>56</v>
      </c>
      <c r="W801" s="45">
        <f t="shared" si="201"/>
        <v>335</v>
      </c>
      <c r="X801" s="19">
        <f t="shared" si="202"/>
        <v>55.83</v>
      </c>
      <c r="Y801" s="3">
        <v>44</v>
      </c>
      <c r="Z801" s="4">
        <v>66</v>
      </c>
      <c r="AA801" s="5">
        <v>70</v>
      </c>
      <c r="AB801" s="6">
        <v>44</v>
      </c>
      <c r="AC801" s="7">
        <v>55</v>
      </c>
      <c r="AD801" s="8">
        <v>56</v>
      </c>
      <c r="AE801" s="1">
        <v>335</v>
      </c>
      <c r="AF801" s="19">
        <v>55.83</v>
      </c>
      <c r="AN801" s="174"/>
      <c r="AV801" s="174"/>
      <c r="AW801" s="45"/>
      <c r="AX801" s="174" t="b">
        <f>IF('Refined Compare'!$D$2="All",TRUE,IF(F801='Refined Compare'!$D$2,TRUE,IF(G801='Refined Compare'!$D$2,TRUE,FALSE)))</f>
        <v>0</v>
      </c>
      <c r="AY801" s="174" t="b">
        <f>IF('Refined Compare'!$D$3="All",TRUE,IF(F801='Refined Compare'!$D$3,TRUE,IF(G801='Refined Compare'!$D$3,TRUE,FALSE)))</f>
        <v>0</v>
      </c>
      <c r="AZ801" s="174" t="b">
        <f t="shared" si="199"/>
        <v>0</v>
      </c>
    </row>
    <row r="802" spans="1:52" x14ac:dyDescent="0.35">
      <c r="A802">
        <f t="shared" si="200"/>
        <v>801</v>
      </c>
      <c r="B802" s="18">
        <v>711</v>
      </c>
      <c r="C802" s="61">
        <v>6</v>
      </c>
      <c r="D802" s="118" t="b">
        <v>1</v>
      </c>
      <c r="E802" s="61"/>
      <c r="F802" s="66" t="s">
        <v>821</v>
      </c>
      <c r="G802" s="66" t="s">
        <v>806</v>
      </c>
      <c r="H802" s="38" t="s">
        <v>263</v>
      </c>
      <c r="I802" s="39">
        <f t="shared" si="203"/>
        <v>0</v>
      </c>
      <c r="J802" s="40">
        <f t="shared" si="204"/>
        <v>0</v>
      </c>
      <c r="K802" s="41">
        <f t="shared" si="205"/>
        <v>0</v>
      </c>
      <c r="L802" s="42">
        <f t="shared" si="206"/>
        <v>0</v>
      </c>
      <c r="M802" s="43">
        <f t="shared" si="207"/>
        <v>0</v>
      </c>
      <c r="N802" s="44">
        <f t="shared" si="208"/>
        <v>0</v>
      </c>
      <c r="O802" s="45">
        <f t="shared" si="209"/>
        <v>0</v>
      </c>
      <c r="P802" s="19">
        <f t="shared" si="210"/>
        <v>0</v>
      </c>
      <c r="Q802" s="177">
        <v>85</v>
      </c>
      <c r="R802" s="40">
        <v>100</v>
      </c>
      <c r="S802" s="41">
        <v>122</v>
      </c>
      <c r="T802" s="42">
        <v>58</v>
      </c>
      <c r="U802" s="43">
        <v>75</v>
      </c>
      <c r="V802" s="44">
        <v>54</v>
      </c>
      <c r="W802" s="45">
        <f t="shared" si="201"/>
        <v>494</v>
      </c>
      <c r="X802" s="19">
        <f t="shared" si="202"/>
        <v>82.33</v>
      </c>
      <c r="Y802" s="3">
        <v>85</v>
      </c>
      <c r="Z802" s="4">
        <v>100</v>
      </c>
      <c r="AA802" s="5">
        <v>122</v>
      </c>
      <c r="AB802" s="6">
        <v>58</v>
      </c>
      <c r="AC802" s="7">
        <v>75</v>
      </c>
      <c r="AD802" s="8">
        <v>54</v>
      </c>
      <c r="AE802" s="1">
        <v>494</v>
      </c>
      <c r="AF802" s="19">
        <v>82.33</v>
      </c>
      <c r="AN802" s="174"/>
      <c r="AV802" s="174"/>
      <c r="AW802" s="45"/>
      <c r="AX802" s="174" t="b">
        <f>IF('Refined Compare'!$D$2="All",TRUE,IF(F802='Refined Compare'!$D$2,TRUE,IF(G802='Refined Compare'!$D$2,TRUE,FALSE)))</f>
        <v>0</v>
      </c>
      <c r="AY802" s="174" t="b">
        <f>IF('Refined Compare'!$D$3="All",TRUE,IF(F802='Refined Compare'!$D$3,TRUE,IF(G802='Refined Compare'!$D$3,TRUE,FALSE)))</f>
        <v>0</v>
      </c>
      <c r="AZ802" s="174" t="b">
        <f t="shared" si="199"/>
        <v>0</v>
      </c>
    </row>
    <row r="803" spans="1:52" x14ac:dyDescent="0.35">
      <c r="A803">
        <f t="shared" si="200"/>
        <v>802</v>
      </c>
      <c r="B803" s="18">
        <v>711</v>
      </c>
      <c r="C803" s="61">
        <v>6</v>
      </c>
      <c r="D803" s="118" t="b">
        <v>1</v>
      </c>
      <c r="E803" s="61"/>
      <c r="F803" s="66" t="s">
        <v>821</v>
      </c>
      <c r="G803" s="66" t="s">
        <v>806</v>
      </c>
      <c r="H803" s="38" t="s">
        <v>417</v>
      </c>
      <c r="I803" s="39">
        <f t="shared" si="203"/>
        <v>0</v>
      </c>
      <c r="J803" s="40">
        <f t="shared" si="204"/>
        <v>0</v>
      </c>
      <c r="K803" s="41">
        <f t="shared" si="205"/>
        <v>0</v>
      </c>
      <c r="L803" s="42">
        <f t="shared" si="206"/>
        <v>0</v>
      </c>
      <c r="M803" s="43">
        <f t="shared" si="207"/>
        <v>0</v>
      </c>
      <c r="N803" s="44">
        <f t="shared" si="208"/>
        <v>0</v>
      </c>
      <c r="O803" s="45">
        <f t="shared" si="209"/>
        <v>0</v>
      </c>
      <c r="P803" s="19">
        <f t="shared" si="210"/>
        <v>0</v>
      </c>
      <c r="Q803" s="177">
        <v>75</v>
      </c>
      <c r="R803" s="40">
        <v>95</v>
      </c>
      <c r="S803" s="41">
        <v>122</v>
      </c>
      <c r="T803" s="42">
        <v>58</v>
      </c>
      <c r="U803" s="43">
        <v>75</v>
      </c>
      <c r="V803" s="44">
        <v>69</v>
      </c>
      <c r="W803" s="45">
        <f t="shared" si="201"/>
        <v>494</v>
      </c>
      <c r="X803" s="19">
        <f t="shared" si="202"/>
        <v>82.33</v>
      </c>
      <c r="Y803" s="3">
        <v>75</v>
      </c>
      <c r="Z803" s="4">
        <v>95</v>
      </c>
      <c r="AA803" s="5">
        <v>122</v>
      </c>
      <c r="AB803" s="6">
        <v>58</v>
      </c>
      <c r="AC803" s="7">
        <v>75</v>
      </c>
      <c r="AD803" s="8">
        <v>69</v>
      </c>
      <c r="AE803" s="1">
        <v>494</v>
      </c>
      <c r="AF803" s="19">
        <v>82.33</v>
      </c>
      <c r="AN803" s="174"/>
      <c r="AV803" s="174"/>
      <c r="AW803" s="45"/>
      <c r="AX803" s="174" t="b">
        <f>IF('Refined Compare'!$D$2="All",TRUE,IF(F803='Refined Compare'!$D$2,TRUE,IF(G803='Refined Compare'!$D$2,TRUE,FALSE)))</f>
        <v>0</v>
      </c>
      <c r="AY803" s="174" t="b">
        <f>IF('Refined Compare'!$D$3="All",TRUE,IF(F803='Refined Compare'!$D$3,TRUE,IF(G803='Refined Compare'!$D$3,TRUE,FALSE)))</f>
        <v>0</v>
      </c>
      <c r="AZ803" s="174" t="b">
        <f t="shared" si="199"/>
        <v>0</v>
      </c>
    </row>
    <row r="804" spans="1:52" x14ac:dyDescent="0.35">
      <c r="A804">
        <f t="shared" si="200"/>
        <v>803</v>
      </c>
      <c r="B804" s="18">
        <v>711</v>
      </c>
      <c r="C804" s="61">
        <v>6</v>
      </c>
      <c r="D804" s="118" t="b">
        <v>1</v>
      </c>
      <c r="E804" s="61"/>
      <c r="F804" s="66" t="s">
        <v>821</v>
      </c>
      <c r="G804" s="66" t="s">
        <v>806</v>
      </c>
      <c r="H804" s="38" t="s">
        <v>847</v>
      </c>
      <c r="I804" s="39">
        <f t="shared" si="203"/>
        <v>0</v>
      </c>
      <c r="J804" s="40">
        <f t="shared" si="204"/>
        <v>0</v>
      </c>
      <c r="K804" s="41">
        <f t="shared" si="205"/>
        <v>0</v>
      </c>
      <c r="L804" s="42">
        <f t="shared" si="206"/>
        <v>0</v>
      </c>
      <c r="M804" s="43">
        <f t="shared" si="207"/>
        <v>0</v>
      </c>
      <c r="N804" s="44">
        <f t="shared" si="208"/>
        <v>0</v>
      </c>
      <c r="O804" s="45">
        <f t="shared" si="209"/>
        <v>0</v>
      </c>
      <c r="P804" s="19">
        <f t="shared" si="210"/>
        <v>0</v>
      </c>
      <c r="Q804" s="177">
        <v>65</v>
      </c>
      <c r="R804" s="40">
        <v>90</v>
      </c>
      <c r="S804" s="41">
        <v>122</v>
      </c>
      <c r="T804" s="42">
        <v>58</v>
      </c>
      <c r="U804" s="43">
        <v>75</v>
      </c>
      <c r="V804" s="44">
        <v>84</v>
      </c>
      <c r="W804" s="45">
        <f t="shared" si="201"/>
        <v>494</v>
      </c>
      <c r="X804" s="19">
        <f t="shared" si="202"/>
        <v>82.33</v>
      </c>
      <c r="Y804" s="3">
        <v>65</v>
      </c>
      <c r="Z804" s="4">
        <v>90</v>
      </c>
      <c r="AA804" s="5">
        <v>122</v>
      </c>
      <c r="AB804" s="6">
        <v>58</v>
      </c>
      <c r="AC804" s="7">
        <v>75</v>
      </c>
      <c r="AD804" s="8">
        <v>84</v>
      </c>
      <c r="AE804" s="1">
        <v>494</v>
      </c>
      <c r="AF804" s="19">
        <v>82.33</v>
      </c>
      <c r="AN804" s="174"/>
      <c r="AV804" s="174"/>
      <c r="AW804" s="45"/>
      <c r="AX804" s="174" t="b">
        <f>IF('Refined Compare'!$D$2="All",TRUE,IF(F804='Refined Compare'!$D$2,TRUE,IF(G804='Refined Compare'!$D$2,TRUE,FALSE)))</f>
        <v>0</v>
      </c>
      <c r="AY804" s="174" t="b">
        <f>IF('Refined Compare'!$D$3="All",TRUE,IF(F804='Refined Compare'!$D$3,TRUE,IF(G804='Refined Compare'!$D$3,TRUE,FALSE)))</f>
        <v>0</v>
      </c>
      <c r="AZ804" s="174" t="b">
        <f t="shared" si="199"/>
        <v>0</v>
      </c>
    </row>
    <row r="805" spans="1:52" x14ac:dyDescent="0.35">
      <c r="A805">
        <f t="shared" si="200"/>
        <v>804</v>
      </c>
      <c r="B805" s="18">
        <v>711</v>
      </c>
      <c r="C805" s="61">
        <v>6</v>
      </c>
      <c r="D805" s="118" t="b">
        <v>1</v>
      </c>
      <c r="E805" s="61"/>
      <c r="F805" s="66" t="s">
        <v>821</v>
      </c>
      <c r="G805" s="66" t="s">
        <v>806</v>
      </c>
      <c r="H805" s="38" t="s">
        <v>650</v>
      </c>
      <c r="I805" s="39">
        <f t="shared" si="203"/>
        <v>0</v>
      </c>
      <c r="J805" s="40">
        <f t="shared" si="204"/>
        <v>0</v>
      </c>
      <c r="K805" s="41">
        <f t="shared" si="205"/>
        <v>0</v>
      </c>
      <c r="L805" s="42">
        <f t="shared" si="206"/>
        <v>0</v>
      </c>
      <c r="M805" s="43">
        <f t="shared" si="207"/>
        <v>0</v>
      </c>
      <c r="N805" s="44">
        <f t="shared" si="208"/>
        <v>0</v>
      </c>
      <c r="O805" s="45">
        <f t="shared" si="209"/>
        <v>0</v>
      </c>
      <c r="P805" s="19">
        <f t="shared" si="210"/>
        <v>0</v>
      </c>
      <c r="Q805" s="177">
        <v>55</v>
      </c>
      <c r="R805" s="40">
        <v>85</v>
      </c>
      <c r="S805" s="41">
        <v>122</v>
      </c>
      <c r="T805" s="42">
        <v>58</v>
      </c>
      <c r="U805" s="43">
        <v>75</v>
      </c>
      <c r="V805" s="44">
        <v>99</v>
      </c>
      <c r="W805" s="45">
        <f t="shared" si="201"/>
        <v>494</v>
      </c>
      <c r="X805" s="19">
        <f t="shared" si="202"/>
        <v>82.33</v>
      </c>
      <c r="Y805" s="3">
        <v>55</v>
      </c>
      <c r="Z805" s="4">
        <v>85</v>
      </c>
      <c r="AA805" s="5">
        <v>122</v>
      </c>
      <c r="AB805" s="6">
        <v>58</v>
      </c>
      <c r="AC805" s="7">
        <v>75</v>
      </c>
      <c r="AD805" s="8">
        <v>99</v>
      </c>
      <c r="AE805" s="1">
        <v>494</v>
      </c>
      <c r="AF805" s="19">
        <v>82.33</v>
      </c>
      <c r="AN805" s="174"/>
      <c r="AV805" s="174"/>
      <c r="AW805" s="45"/>
      <c r="AX805" s="174" t="b">
        <f>IF('Refined Compare'!$D$2="All",TRUE,IF(F805='Refined Compare'!$D$2,TRUE,IF(G805='Refined Compare'!$D$2,TRUE,FALSE)))</f>
        <v>0</v>
      </c>
      <c r="AY805" s="174" t="b">
        <f>IF('Refined Compare'!$D$3="All",TRUE,IF(F805='Refined Compare'!$D$3,TRUE,IF(G805='Refined Compare'!$D$3,TRUE,FALSE)))</f>
        <v>0</v>
      </c>
      <c r="AZ805" s="174" t="b">
        <f t="shared" si="199"/>
        <v>0</v>
      </c>
    </row>
    <row r="806" spans="1:52" x14ac:dyDescent="0.35">
      <c r="A806">
        <f t="shared" si="200"/>
        <v>805</v>
      </c>
      <c r="B806" s="18">
        <v>712</v>
      </c>
      <c r="C806" s="61">
        <v>6</v>
      </c>
      <c r="D806" s="61" t="b">
        <v>0</v>
      </c>
      <c r="E806" s="61"/>
      <c r="F806" s="66" t="s">
        <v>820</v>
      </c>
      <c r="G806" s="66" t="s">
        <v>827</v>
      </c>
      <c r="H806" s="38" t="s">
        <v>47</v>
      </c>
      <c r="I806" s="39">
        <f t="shared" si="203"/>
        <v>0</v>
      </c>
      <c r="J806" s="40">
        <f t="shared" si="204"/>
        <v>0</v>
      </c>
      <c r="K806" s="41">
        <f t="shared" si="205"/>
        <v>0</v>
      </c>
      <c r="L806" s="42">
        <f t="shared" si="206"/>
        <v>0</v>
      </c>
      <c r="M806" s="43">
        <f t="shared" si="207"/>
        <v>0</v>
      </c>
      <c r="N806" s="44">
        <f t="shared" si="208"/>
        <v>0</v>
      </c>
      <c r="O806" s="45">
        <f t="shared" si="209"/>
        <v>0</v>
      </c>
      <c r="P806" s="19">
        <f t="shared" si="210"/>
        <v>0</v>
      </c>
      <c r="Q806" s="177">
        <v>55</v>
      </c>
      <c r="R806" s="40">
        <v>69</v>
      </c>
      <c r="S806" s="41">
        <v>85</v>
      </c>
      <c r="T806" s="42">
        <v>32</v>
      </c>
      <c r="U806" s="43">
        <v>35</v>
      </c>
      <c r="V806" s="44">
        <v>28</v>
      </c>
      <c r="W806" s="45">
        <f t="shared" si="201"/>
        <v>304</v>
      </c>
      <c r="X806" s="19">
        <f t="shared" si="202"/>
        <v>50.67</v>
      </c>
      <c r="Y806" s="3">
        <v>55</v>
      </c>
      <c r="Z806" s="4">
        <v>69</v>
      </c>
      <c r="AA806" s="5">
        <v>85</v>
      </c>
      <c r="AB806" s="6">
        <v>32</v>
      </c>
      <c r="AC806" s="7">
        <v>35</v>
      </c>
      <c r="AD806" s="8">
        <v>28</v>
      </c>
      <c r="AE806" s="1">
        <v>304</v>
      </c>
      <c r="AF806" s="19">
        <v>50.67</v>
      </c>
      <c r="AN806" s="174"/>
      <c r="AV806" s="174"/>
      <c r="AW806" s="45"/>
      <c r="AX806" s="174" t="b">
        <f>IF('Refined Compare'!$D$2="All",TRUE,IF(F806='Refined Compare'!$D$2,TRUE,IF(G806='Refined Compare'!$D$2,TRUE,FALSE)))</f>
        <v>0</v>
      </c>
      <c r="AY806" s="174" t="b">
        <f>IF('Refined Compare'!$D$3="All",TRUE,IF(F806='Refined Compare'!$D$3,TRUE,IF(G806='Refined Compare'!$D$3,TRUE,FALSE)))</f>
        <v>1</v>
      </c>
      <c r="AZ806" s="174" t="b">
        <f t="shared" si="199"/>
        <v>0</v>
      </c>
    </row>
    <row r="807" spans="1:52" x14ac:dyDescent="0.35">
      <c r="A807">
        <f t="shared" si="200"/>
        <v>806</v>
      </c>
      <c r="B807" s="18">
        <v>713</v>
      </c>
      <c r="C807" s="61">
        <v>6</v>
      </c>
      <c r="D807" s="118" t="b">
        <v>1</v>
      </c>
      <c r="E807" s="61"/>
      <c r="F807" s="66" t="s">
        <v>820</v>
      </c>
      <c r="G807" s="66" t="s">
        <v>827</v>
      </c>
      <c r="H807" s="38" t="s">
        <v>48</v>
      </c>
      <c r="I807" s="39">
        <f t="shared" si="203"/>
        <v>0</v>
      </c>
      <c r="J807" s="40">
        <f t="shared" si="204"/>
        <v>0</v>
      </c>
      <c r="K807" s="41">
        <f t="shared" si="205"/>
        <v>0</v>
      </c>
      <c r="L807" s="42">
        <f t="shared" si="206"/>
        <v>0</v>
      </c>
      <c r="M807" s="43">
        <f t="shared" si="207"/>
        <v>0</v>
      </c>
      <c r="N807" s="44">
        <f t="shared" si="208"/>
        <v>0</v>
      </c>
      <c r="O807" s="45">
        <f t="shared" si="209"/>
        <v>0</v>
      </c>
      <c r="P807" s="19">
        <f t="shared" si="210"/>
        <v>0</v>
      </c>
      <c r="Q807" s="177">
        <v>95</v>
      </c>
      <c r="R807" s="40">
        <v>117</v>
      </c>
      <c r="S807" s="41">
        <v>184</v>
      </c>
      <c r="T807" s="42">
        <v>44</v>
      </c>
      <c r="U807" s="43">
        <v>46</v>
      </c>
      <c r="V807" s="44">
        <v>28</v>
      </c>
      <c r="W807" s="45">
        <f t="shared" si="201"/>
        <v>514</v>
      </c>
      <c r="X807" s="19">
        <f t="shared" si="202"/>
        <v>85.67</v>
      </c>
      <c r="Y807" s="3">
        <v>95</v>
      </c>
      <c r="Z807" s="4">
        <v>117</v>
      </c>
      <c r="AA807" s="5">
        <v>184</v>
      </c>
      <c r="AB807" s="6">
        <v>44</v>
      </c>
      <c r="AC807" s="7">
        <v>46</v>
      </c>
      <c r="AD807" s="8">
        <v>28</v>
      </c>
      <c r="AE807" s="1">
        <v>514</v>
      </c>
      <c r="AF807" s="19">
        <v>85.67</v>
      </c>
      <c r="AN807" s="174"/>
      <c r="AV807" s="174"/>
      <c r="AW807" s="45"/>
      <c r="AX807" s="174" t="b">
        <f>IF('Refined Compare'!$D$2="All",TRUE,IF(F807='Refined Compare'!$D$2,TRUE,IF(G807='Refined Compare'!$D$2,TRUE,FALSE)))</f>
        <v>0</v>
      </c>
      <c r="AY807" s="174" t="b">
        <f>IF('Refined Compare'!$D$3="All",TRUE,IF(F807='Refined Compare'!$D$3,TRUE,IF(G807='Refined Compare'!$D$3,TRUE,FALSE)))</f>
        <v>1</v>
      </c>
      <c r="AZ807" s="174" t="b">
        <f t="shared" si="199"/>
        <v>0</v>
      </c>
    </row>
    <row r="808" spans="1:52" x14ac:dyDescent="0.35">
      <c r="A808">
        <f t="shared" si="200"/>
        <v>807</v>
      </c>
      <c r="B808" s="18">
        <v>714</v>
      </c>
      <c r="C808" s="61">
        <v>6</v>
      </c>
      <c r="D808" s="61" t="b">
        <v>0</v>
      </c>
      <c r="E808" s="61"/>
      <c r="F808" s="66" t="s">
        <v>809</v>
      </c>
      <c r="G808" s="66" t="s">
        <v>822</v>
      </c>
      <c r="H808" s="38" t="s">
        <v>293</v>
      </c>
      <c r="I808" s="39">
        <f t="shared" si="203"/>
        <v>0</v>
      </c>
      <c r="J808" s="40">
        <f t="shared" si="204"/>
        <v>0</v>
      </c>
      <c r="K808" s="41">
        <f t="shared" si="205"/>
        <v>0</v>
      </c>
      <c r="L808" s="42">
        <f t="shared" si="206"/>
        <v>0</v>
      </c>
      <c r="M808" s="43">
        <f t="shared" si="207"/>
        <v>0</v>
      </c>
      <c r="N808" s="44">
        <f t="shared" si="208"/>
        <v>0</v>
      </c>
      <c r="O808" s="45">
        <f t="shared" si="209"/>
        <v>0</v>
      </c>
      <c r="P808" s="19">
        <f t="shared" si="210"/>
        <v>0</v>
      </c>
      <c r="Q808" s="177">
        <v>40</v>
      </c>
      <c r="R808" s="40">
        <v>30</v>
      </c>
      <c r="S808" s="41">
        <v>35</v>
      </c>
      <c r="T808" s="42">
        <v>45</v>
      </c>
      <c r="U808" s="43">
        <v>40</v>
      </c>
      <c r="V808" s="44">
        <v>55</v>
      </c>
      <c r="W808" s="45">
        <f t="shared" si="201"/>
        <v>245</v>
      </c>
      <c r="X808" s="19">
        <f t="shared" si="202"/>
        <v>40.83</v>
      </c>
      <c r="Y808" s="3">
        <v>40</v>
      </c>
      <c r="Z808" s="4">
        <v>30</v>
      </c>
      <c r="AA808" s="5">
        <v>35</v>
      </c>
      <c r="AB808" s="6">
        <v>45</v>
      </c>
      <c r="AC808" s="7">
        <v>40</v>
      </c>
      <c r="AD808" s="8">
        <v>55</v>
      </c>
      <c r="AE808" s="1">
        <v>245</v>
      </c>
      <c r="AF808" s="19">
        <v>40.83</v>
      </c>
      <c r="AN808" s="174"/>
      <c r="AV808" s="174"/>
      <c r="AW808" s="45"/>
      <c r="AX808" s="174" t="b">
        <f>IF('Refined Compare'!$D$2="All",TRUE,IF(F808='Refined Compare'!$D$2,TRUE,IF(G808='Refined Compare'!$D$2,TRUE,FALSE)))</f>
        <v>0</v>
      </c>
      <c r="AY808" s="174" t="b">
        <f>IF('Refined Compare'!$D$3="All",TRUE,IF(F808='Refined Compare'!$D$3,TRUE,IF(G808='Refined Compare'!$D$3,TRUE,FALSE)))</f>
        <v>0</v>
      </c>
      <c r="AZ808" s="174" t="b">
        <f t="shared" si="199"/>
        <v>0</v>
      </c>
    </row>
    <row r="809" spans="1:52" x14ac:dyDescent="0.35">
      <c r="A809">
        <f t="shared" si="200"/>
        <v>808</v>
      </c>
      <c r="B809" s="18">
        <v>715</v>
      </c>
      <c r="C809" s="61">
        <v>6</v>
      </c>
      <c r="D809" s="118" t="b">
        <v>1</v>
      </c>
      <c r="E809" s="61"/>
      <c r="F809" s="66" t="s">
        <v>809</v>
      </c>
      <c r="G809" s="66" t="s">
        <v>822</v>
      </c>
      <c r="H809" s="38" t="s">
        <v>756</v>
      </c>
      <c r="I809" s="39">
        <f t="shared" si="203"/>
        <v>0</v>
      </c>
      <c r="J809" s="40">
        <f t="shared" si="204"/>
        <v>0</v>
      </c>
      <c r="K809" s="41">
        <f t="shared" si="205"/>
        <v>0</v>
      </c>
      <c r="L809" s="42">
        <f t="shared" si="206"/>
        <v>0</v>
      </c>
      <c r="M809" s="43">
        <f t="shared" si="207"/>
        <v>0</v>
      </c>
      <c r="N809" s="44">
        <f t="shared" si="208"/>
        <v>0</v>
      </c>
      <c r="O809" s="45">
        <f t="shared" si="209"/>
        <v>0</v>
      </c>
      <c r="P809" s="19">
        <f t="shared" si="210"/>
        <v>0</v>
      </c>
      <c r="Q809" s="177">
        <v>85</v>
      </c>
      <c r="R809" s="40">
        <v>70</v>
      </c>
      <c r="S809" s="41">
        <v>80</v>
      </c>
      <c r="T809" s="42">
        <v>97</v>
      </c>
      <c r="U809" s="43">
        <v>80</v>
      </c>
      <c r="V809" s="44">
        <v>123</v>
      </c>
      <c r="W809" s="45">
        <f t="shared" si="201"/>
        <v>535</v>
      </c>
      <c r="X809" s="19">
        <f t="shared" si="202"/>
        <v>89.17</v>
      </c>
      <c r="Y809" s="3">
        <v>85</v>
      </c>
      <c r="Z809" s="4">
        <v>70</v>
      </c>
      <c r="AA809" s="5">
        <v>80</v>
      </c>
      <c r="AB809" s="6">
        <v>97</v>
      </c>
      <c r="AC809" s="7">
        <v>80</v>
      </c>
      <c r="AD809" s="8">
        <v>123</v>
      </c>
      <c r="AE809" s="1">
        <v>535</v>
      </c>
      <c r="AF809" s="19">
        <v>89.17</v>
      </c>
      <c r="AN809" s="174"/>
      <c r="AV809" s="174"/>
      <c r="AW809" s="45"/>
      <c r="AX809" s="174" t="b">
        <f>IF('Refined Compare'!$D$2="All",TRUE,IF(F809='Refined Compare'!$D$2,TRUE,IF(G809='Refined Compare'!$D$2,TRUE,FALSE)))</f>
        <v>0</v>
      </c>
      <c r="AY809" s="174" t="b">
        <f>IF('Refined Compare'!$D$3="All",TRUE,IF(F809='Refined Compare'!$D$3,TRUE,IF(G809='Refined Compare'!$D$3,TRUE,FALSE)))</f>
        <v>0</v>
      </c>
      <c r="AZ809" s="174" t="b">
        <f t="shared" si="199"/>
        <v>0</v>
      </c>
    </row>
    <row r="810" spans="1:52" x14ac:dyDescent="0.35">
      <c r="A810">
        <f t="shared" si="200"/>
        <v>809</v>
      </c>
      <c r="B810" s="18">
        <v>716</v>
      </c>
      <c r="C810" s="61">
        <v>6</v>
      </c>
      <c r="D810" s="118" t="b">
        <v>1</v>
      </c>
      <c r="E810" s="61"/>
      <c r="F810" s="66" t="s">
        <v>815</v>
      </c>
      <c r="G810" s="66" t="s">
        <v>827</v>
      </c>
      <c r="H810" s="38" t="s">
        <v>651</v>
      </c>
      <c r="I810" s="39">
        <f t="shared" si="203"/>
        <v>0</v>
      </c>
      <c r="J810" s="40">
        <f t="shared" si="204"/>
        <v>0</v>
      </c>
      <c r="K810" s="41">
        <f t="shared" si="205"/>
        <v>0</v>
      </c>
      <c r="L810" s="42">
        <f t="shared" si="206"/>
        <v>0</v>
      </c>
      <c r="M810" s="43">
        <f t="shared" si="207"/>
        <v>0</v>
      </c>
      <c r="N810" s="44">
        <f t="shared" si="208"/>
        <v>0</v>
      </c>
      <c r="O810" s="45">
        <f t="shared" si="209"/>
        <v>0</v>
      </c>
      <c r="P810" s="19">
        <f t="shared" si="210"/>
        <v>0</v>
      </c>
      <c r="Q810" s="177">
        <v>126</v>
      </c>
      <c r="R810" s="40">
        <v>131</v>
      </c>
      <c r="S810" s="41">
        <v>95</v>
      </c>
      <c r="T810" s="42">
        <v>131</v>
      </c>
      <c r="U810" s="43">
        <v>98</v>
      </c>
      <c r="V810" s="44">
        <v>99</v>
      </c>
      <c r="W810" s="45">
        <f t="shared" si="201"/>
        <v>680</v>
      </c>
      <c r="X810" s="19">
        <f t="shared" si="202"/>
        <v>113.33</v>
      </c>
      <c r="Y810" s="3">
        <v>126</v>
      </c>
      <c r="Z810" s="4">
        <v>131</v>
      </c>
      <c r="AA810" s="5">
        <v>95</v>
      </c>
      <c r="AB810" s="6">
        <v>131</v>
      </c>
      <c r="AC810" s="7">
        <v>98</v>
      </c>
      <c r="AD810" s="8">
        <v>99</v>
      </c>
      <c r="AE810" s="1">
        <v>680</v>
      </c>
      <c r="AF810" s="19">
        <v>113.33</v>
      </c>
      <c r="AN810" s="174"/>
      <c r="AV810" s="174"/>
      <c r="AW810" s="45"/>
      <c r="AX810" s="174" t="b">
        <f>IF('Refined Compare'!$D$2="All",TRUE,IF(F810='Refined Compare'!$D$2,TRUE,IF(G810='Refined Compare'!$D$2,TRUE,FALSE)))</f>
        <v>0</v>
      </c>
      <c r="AY810" s="174" t="b">
        <f>IF('Refined Compare'!$D$3="All",TRUE,IF(F810='Refined Compare'!$D$3,TRUE,IF(G810='Refined Compare'!$D$3,TRUE,FALSE)))</f>
        <v>1</v>
      </c>
      <c r="AZ810" s="174" t="b">
        <f t="shared" si="199"/>
        <v>0</v>
      </c>
    </row>
    <row r="811" spans="1:52" x14ac:dyDescent="0.35">
      <c r="A811">
        <f t="shared" si="200"/>
        <v>810</v>
      </c>
      <c r="B811" s="18">
        <v>717</v>
      </c>
      <c r="C811" s="61">
        <v>6</v>
      </c>
      <c r="D811" s="118" t="b">
        <v>1</v>
      </c>
      <c r="E811" s="61"/>
      <c r="F811" s="66" t="s">
        <v>823</v>
      </c>
      <c r="G811" s="66" t="s">
        <v>809</v>
      </c>
      <c r="H811" s="38" t="s">
        <v>652</v>
      </c>
      <c r="I811" s="39">
        <f t="shared" si="203"/>
        <v>0</v>
      </c>
      <c r="J811" s="40">
        <f t="shared" si="204"/>
        <v>0</v>
      </c>
      <c r="K811" s="41">
        <f t="shared" si="205"/>
        <v>0</v>
      </c>
      <c r="L811" s="42">
        <f t="shared" si="206"/>
        <v>0</v>
      </c>
      <c r="M811" s="43">
        <f t="shared" si="207"/>
        <v>0</v>
      </c>
      <c r="N811" s="44">
        <f t="shared" si="208"/>
        <v>0</v>
      </c>
      <c r="O811" s="45">
        <f t="shared" si="209"/>
        <v>0</v>
      </c>
      <c r="P811" s="19">
        <f t="shared" si="210"/>
        <v>0</v>
      </c>
      <c r="Q811" s="177">
        <v>126</v>
      </c>
      <c r="R811" s="40">
        <v>131</v>
      </c>
      <c r="S811" s="41">
        <v>95</v>
      </c>
      <c r="T811" s="42">
        <v>131</v>
      </c>
      <c r="U811" s="43">
        <v>98</v>
      </c>
      <c r="V811" s="44">
        <v>99</v>
      </c>
      <c r="W811" s="45">
        <f t="shared" si="201"/>
        <v>680</v>
      </c>
      <c r="X811" s="19">
        <f t="shared" si="202"/>
        <v>113.33</v>
      </c>
      <c r="Y811" s="3">
        <v>126</v>
      </c>
      <c r="Z811" s="4">
        <v>131</v>
      </c>
      <c r="AA811" s="5">
        <v>95</v>
      </c>
      <c r="AB811" s="6">
        <v>131</v>
      </c>
      <c r="AC811" s="7">
        <v>98</v>
      </c>
      <c r="AD811" s="8">
        <v>99</v>
      </c>
      <c r="AE811" s="1">
        <v>680</v>
      </c>
      <c r="AF811" s="19">
        <v>113.33</v>
      </c>
      <c r="AN811" s="174"/>
      <c r="AV811" s="174"/>
      <c r="AW811" s="45"/>
      <c r="AX811" s="174" t="b">
        <f>IF('Refined Compare'!$D$2="All",TRUE,IF(F811='Refined Compare'!$D$2,TRUE,IF(G811='Refined Compare'!$D$2,TRUE,FALSE)))</f>
        <v>1</v>
      </c>
      <c r="AY811" s="174" t="b">
        <f>IF('Refined Compare'!$D$3="All",TRUE,IF(F811='Refined Compare'!$D$3,TRUE,IF(G811='Refined Compare'!$D$3,TRUE,FALSE)))</f>
        <v>0</v>
      </c>
      <c r="AZ811" s="174" t="b">
        <f t="shared" si="199"/>
        <v>0</v>
      </c>
    </row>
    <row r="812" spans="1:52" x14ac:dyDescent="0.35">
      <c r="A812">
        <f t="shared" si="200"/>
        <v>811</v>
      </c>
      <c r="B812" s="18">
        <v>718</v>
      </c>
      <c r="C812" s="61">
        <v>6</v>
      </c>
      <c r="D812" s="118" t="b">
        <v>1</v>
      </c>
      <c r="E812" s="61"/>
      <c r="F812" s="66" t="s">
        <v>822</v>
      </c>
      <c r="G812" s="66" t="s">
        <v>814</v>
      </c>
      <c r="H812" s="38" t="s">
        <v>640</v>
      </c>
      <c r="I812" s="39">
        <f t="shared" si="203"/>
        <v>0</v>
      </c>
      <c r="J812" s="40">
        <f t="shared" si="204"/>
        <v>0</v>
      </c>
      <c r="K812" s="41">
        <f t="shared" si="205"/>
        <v>0</v>
      </c>
      <c r="L812" s="42">
        <f t="shared" si="206"/>
        <v>0</v>
      </c>
      <c r="M812" s="43">
        <f t="shared" si="207"/>
        <v>0</v>
      </c>
      <c r="N812" s="44">
        <f t="shared" si="208"/>
        <v>0</v>
      </c>
      <c r="O812" s="45">
        <f t="shared" si="209"/>
        <v>0</v>
      </c>
      <c r="P812" s="19">
        <f t="shared" si="210"/>
        <v>0</v>
      </c>
      <c r="Q812" s="177">
        <v>108</v>
      </c>
      <c r="R812" s="40">
        <v>100</v>
      </c>
      <c r="S812" s="41">
        <v>121</v>
      </c>
      <c r="T812" s="42">
        <v>81</v>
      </c>
      <c r="U812" s="43">
        <v>95</v>
      </c>
      <c r="V812" s="44">
        <v>95</v>
      </c>
      <c r="W812" s="45">
        <f t="shared" si="201"/>
        <v>600</v>
      </c>
      <c r="X812" s="19">
        <f t="shared" si="202"/>
        <v>100</v>
      </c>
      <c r="Y812" s="3">
        <v>108</v>
      </c>
      <c r="Z812" s="4">
        <v>100</v>
      </c>
      <c r="AA812" s="5">
        <v>121</v>
      </c>
      <c r="AB812" s="6">
        <v>81</v>
      </c>
      <c r="AC812" s="7">
        <v>95</v>
      </c>
      <c r="AD812" s="8">
        <v>95</v>
      </c>
      <c r="AE812" s="1">
        <v>600</v>
      </c>
      <c r="AF812" s="19">
        <v>100</v>
      </c>
      <c r="AN812" s="174"/>
      <c r="AV812" s="174"/>
      <c r="AW812" s="45"/>
      <c r="AX812" s="174" t="b">
        <f>IF('Refined Compare'!$D$2="All",TRUE,IF(F812='Refined Compare'!$D$2,TRUE,IF(G812='Refined Compare'!$D$2,TRUE,FALSE)))</f>
        <v>0</v>
      </c>
      <c r="AY812" s="174" t="b">
        <f>IF('Refined Compare'!$D$3="All",TRUE,IF(F812='Refined Compare'!$D$3,TRUE,IF(G812='Refined Compare'!$D$3,TRUE,FALSE)))</f>
        <v>0</v>
      </c>
      <c r="AZ812" s="174" t="b">
        <f t="shared" si="199"/>
        <v>0</v>
      </c>
    </row>
    <row r="813" spans="1:52" x14ac:dyDescent="0.35">
      <c r="A813">
        <f t="shared" si="200"/>
        <v>812</v>
      </c>
      <c r="B813" s="62">
        <v>719</v>
      </c>
      <c r="C813" s="61">
        <v>6</v>
      </c>
      <c r="D813" s="118" t="b">
        <v>1</v>
      </c>
      <c r="E813" s="61" t="s">
        <v>801</v>
      </c>
      <c r="F813" s="66" t="s">
        <v>818</v>
      </c>
      <c r="G813" s="66" t="s">
        <v>815</v>
      </c>
      <c r="H813" s="38" t="s">
        <v>729</v>
      </c>
      <c r="I813" s="39">
        <f t="shared" si="203"/>
        <v>0</v>
      </c>
      <c r="J813" s="40">
        <f t="shared" si="204"/>
        <v>0</v>
      </c>
      <c r="K813" s="41">
        <f t="shared" si="205"/>
        <v>0</v>
      </c>
      <c r="L813" s="42">
        <f t="shared" si="206"/>
        <v>0</v>
      </c>
      <c r="M813" s="43">
        <f t="shared" si="207"/>
        <v>0</v>
      </c>
      <c r="N813" s="44">
        <f t="shared" si="208"/>
        <v>0</v>
      </c>
      <c r="O813" s="45">
        <f t="shared" si="209"/>
        <v>0</v>
      </c>
      <c r="P813" s="19">
        <f t="shared" si="210"/>
        <v>0</v>
      </c>
      <c r="Q813" s="177">
        <v>50</v>
      </c>
      <c r="R813" s="40">
        <v>160</v>
      </c>
      <c r="S813" s="41">
        <v>110</v>
      </c>
      <c r="T813" s="42">
        <v>160</v>
      </c>
      <c r="U813" s="43">
        <v>110</v>
      </c>
      <c r="V813" s="44">
        <v>110</v>
      </c>
      <c r="W813" s="45">
        <f t="shared" si="201"/>
        <v>700</v>
      </c>
      <c r="X813" s="19">
        <f t="shared" si="202"/>
        <v>116.67</v>
      </c>
      <c r="Y813" s="3">
        <v>50</v>
      </c>
      <c r="Z813" s="4">
        <v>160</v>
      </c>
      <c r="AA813" s="5">
        <v>110</v>
      </c>
      <c r="AB813" s="6">
        <v>160</v>
      </c>
      <c r="AC813" s="7">
        <v>110</v>
      </c>
      <c r="AD813" s="8">
        <v>110</v>
      </c>
      <c r="AE813" s="1">
        <v>700</v>
      </c>
      <c r="AF813" s="19">
        <v>116.67</v>
      </c>
      <c r="AN813" s="174"/>
      <c r="AV813" s="174"/>
      <c r="AW813" s="45"/>
      <c r="AX813" s="174" t="b">
        <f>IF('Refined Compare'!$D$2="All",TRUE,IF(F813='Refined Compare'!$D$2,TRUE,IF(G813='Refined Compare'!$D$2,TRUE,FALSE)))</f>
        <v>0</v>
      </c>
      <c r="AY813" s="174" t="b">
        <f>IF('Refined Compare'!$D$3="All",TRUE,IF(F813='Refined Compare'!$D$3,TRUE,IF(G813='Refined Compare'!$D$3,TRUE,FALSE)))</f>
        <v>0</v>
      </c>
      <c r="AZ813" s="174" t="b">
        <f t="shared" si="199"/>
        <v>0</v>
      </c>
    </row>
    <row r="814" spans="1:52" x14ac:dyDescent="0.35">
      <c r="A814">
        <f t="shared" si="200"/>
        <v>813</v>
      </c>
      <c r="B814" s="18">
        <v>719</v>
      </c>
      <c r="C814" s="61">
        <v>6</v>
      </c>
      <c r="D814" s="61" t="b">
        <v>0</v>
      </c>
      <c r="E814" s="61"/>
      <c r="F814" s="66" t="s">
        <v>818</v>
      </c>
      <c r="G814" s="66" t="s">
        <v>815</v>
      </c>
      <c r="H814" s="38" t="s">
        <v>256</v>
      </c>
      <c r="I814" s="39">
        <f t="shared" si="203"/>
        <v>0</v>
      </c>
      <c r="J814" s="40">
        <f t="shared" si="204"/>
        <v>0</v>
      </c>
      <c r="K814" s="41">
        <f t="shared" si="205"/>
        <v>0</v>
      </c>
      <c r="L814" s="42">
        <f t="shared" si="206"/>
        <v>0</v>
      </c>
      <c r="M814" s="43">
        <f t="shared" si="207"/>
        <v>0</v>
      </c>
      <c r="N814" s="44">
        <f t="shared" si="208"/>
        <v>0</v>
      </c>
      <c r="O814" s="45">
        <f t="shared" si="209"/>
        <v>0</v>
      </c>
      <c r="P814" s="19">
        <f t="shared" si="210"/>
        <v>0</v>
      </c>
      <c r="Q814" s="177">
        <v>50</v>
      </c>
      <c r="R814" s="40">
        <v>100</v>
      </c>
      <c r="S814" s="41">
        <v>150</v>
      </c>
      <c r="T814" s="42">
        <v>100</v>
      </c>
      <c r="U814" s="43">
        <v>150</v>
      </c>
      <c r="V814" s="44">
        <v>50</v>
      </c>
      <c r="W814" s="45">
        <f t="shared" si="201"/>
        <v>600</v>
      </c>
      <c r="X814" s="19">
        <f t="shared" si="202"/>
        <v>100</v>
      </c>
      <c r="Y814" s="3">
        <v>50</v>
      </c>
      <c r="Z814" s="4">
        <v>100</v>
      </c>
      <c r="AA814" s="5">
        <v>150</v>
      </c>
      <c r="AB814" s="6">
        <v>100</v>
      </c>
      <c r="AC814" s="7">
        <v>150</v>
      </c>
      <c r="AD814" s="8">
        <v>50</v>
      </c>
      <c r="AE814" s="1">
        <v>600</v>
      </c>
      <c r="AF814" s="19">
        <v>100</v>
      </c>
      <c r="AN814" s="174"/>
      <c r="AV814" s="174"/>
      <c r="AW814" s="45"/>
      <c r="AX814" s="174" t="b">
        <f>IF('Refined Compare'!$D$2="All",TRUE,IF(F814='Refined Compare'!$D$2,TRUE,IF(G814='Refined Compare'!$D$2,TRUE,FALSE)))</f>
        <v>0</v>
      </c>
      <c r="AY814" s="174" t="b">
        <f>IF('Refined Compare'!$D$3="All",TRUE,IF(F814='Refined Compare'!$D$3,TRUE,IF(G814='Refined Compare'!$D$3,TRUE,FALSE)))</f>
        <v>0</v>
      </c>
      <c r="AZ814" s="174" t="b">
        <f t="shared" si="199"/>
        <v>0</v>
      </c>
    </row>
    <row r="815" spans="1:52" x14ac:dyDescent="0.35">
      <c r="A815">
        <f t="shared" si="200"/>
        <v>814</v>
      </c>
      <c r="B815" s="62">
        <v>720</v>
      </c>
      <c r="C815" s="61">
        <v>6</v>
      </c>
      <c r="D815" s="118" t="b">
        <v>1</v>
      </c>
      <c r="E815" s="61" t="s">
        <v>805</v>
      </c>
      <c r="F815" s="66" t="s">
        <v>817</v>
      </c>
      <c r="G815" s="66" t="s">
        <v>823</v>
      </c>
      <c r="H815" s="38" t="s">
        <v>528</v>
      </c>
      <c r="I815" s="39">
        <f t="shared" si="203"/>
        <v>0</v>
      </c>
      <c r="J815" s="40">
        <f t="shared" si="204"/>
        <v>0</v>
      </c>
      <c r="K815" s="41">
        <f t="shared" si="205"/>
        <v>0</v>
      </c>
      <c r="L815" s="42">
        <f t="shared" si="206"/>
        <v>0</v>
      </c>
      <c r="M815" s="43">
        <f t="shared" si="207"/>
        <v>0</v>
      </c>
      <c r="N815" s="44">
        <f t="shared" si="208"/>
        <v>0</v>
      </c>
      <c r="O815" s="45">
        <f t="shared" si="209"/>
        <v>0</v>
      </c>
      <c r="P815" s="19">
        <f t="shared" si="210"/>
        <v>0</v>
      </c>
      <c r="Q815" s="177">
        <v>80</v>
      </c>
      <c r="R815" s="40">
        <v>160</v>
      </c>
      <c r="S815" s="41">
        <v>60</v>
      </c>
      <c r="T815" s="42">
        <v>170</v>
      </c>
      <c r="U815" s="43">
        <v>130</v>
      </c>
      <c r="V815" s="44">
        <v>80</v>
      </c>
      <c r="W815" s="45">
        <f t="shared" si="201"/>
        <v>680</v>
      </c>
      <c r="X815" s="19">
        <f t="shared" si="202"/>
        <v>113.33</v>
      </c>
      <c r="Y815" s="39">
        <v>80</v>
      </c>
      <c r="Z815" s="40">
        <v>160</v>
      </c>
      <c r="AA815" s="41">
        <v>60</v>
      </c>
      <c r="AB815" s="42">
        <v>170</v>
      </c>
      <c r="AC815" s="43">
        <v>130</v>
      </c>
      <c r="AD815" s="44">
        <v>80</v>
      </c>
      <c r="AE815" s="45">
        <v>680</v>
      </c>
      <c r="AF815" s="19">
        <v>113.33</v>
      </c>
      <c r="AN815" s="174"/>
      <c r="AV815" s="174"/>
      <c r="AW815" s="45"/>
      <c r="AX815" s="174" t="b">
        <f>IF('Refined Compare'!$D$2="All",TRUE,IF(F815='Refined Compare'!$D$2,TRUE,IF(G815='Refined Compare'!$D$2,TRUE,FALSE)))</f>
        <v>1</v>
      </c>
      <c r="AY815" s="174" t="b">
        <f>IF('Refined Compare'!$D$3="All",TRUE,IF(F815='Refined Compare'!$D$3,TRUE,IF(G815='Refined Compare'!$D$3,TRUE,FALSE)))</f>
        <v>0</v>
      </c>
      <c r="AZ815" s="174" t="b">
        <f t="shared" si="199"/>
        <v>0</v>
      </c>
    </row>
    <row r="816" spans="1:52" x14ac:dyDescent="0.35">
      <c r="A816">
        <f t="shared" si="200"/>
        <v>815</v>
      </c>
      <c r="B816" s="18">
        <v>720</v>
      </c>
      <c r="C816" s="61">
        <v>6</v>
      </c>
      <c r="D816" s="61" t="b">
        <v>0</v>
      </c>
      <c r="E816" s="61"/>
      <c r="F816" s="66" t="s">
        <v>817</v>
      </c>
      <c r="G816" s="66" t="s">
        <v>821</v>
      </c>
      <c r="H816" s="38" t="s">
        <v>453</v>
      </c>
      <c r="I816" s="39">
        <f t="shared" si="203"/>
        <v>0</v>
      </c>
      <c r="J816" s="40">
        <f t="shared" si="204"/>
        <v>0</v>
      </c>
      <c r="K816" s="41">
        <f t="shared" si="205"/>
        <v>0</v>
      </c>
      <c r="L816" s="42">
        <f t="shared" si="206"/>
        <v>0</v>
      </c>
      <c r="M816" s="43">
        <f t="shared" si="207"/>
        <v>0</v>
      </c>
      <c r="N816" s="44">
        <f t="shared" si="208"/>
        <v>0</v>
      </c>
      <c r="O816" s="45">
        <f t="shared" si="209"/>
        <v>0</v>
      </c>
      <c r="P816" s="19">
        <f t="shared" si="210"/>
        <v>0</v>
      </c>
      <c r="Q816" s="177">
        <v>80</v>
      </c>
      <c r="R816" s="40">
        <v>110</v>
      </c>
      <c r="S816" s="41">
        <v>60</v>
      </c>
      <c r="T816" s="42">
        <v>150</v>
      </c>
      <c r="U816" s="43">
        <v>130</v>
      </c>
      <c r="V816" s="44">
        <v>70</v>
      </c>
      <c r="W816" s="45">
        <f t="shared" si="201"/>
        <v>600</v>
      </c>
      <c r="X816" s="19">
        <f t="shared" si="202"/>
        <v>100</v>
      </c>
      <c r="Y816" s="39">
        <v>80</v>
      </c>
      <c r="Z816" s="40">
        <v>110</v>
      </c>
      <c r="AA816" s="41">
        <v>60</v>
      </c>
      <c r="AB816" s="42">
        <v>150</v>
      </c>
      <c r="AC816" s="43">
        <v>130</v>
      </c>
      <c r="AD816" s="44">
        <v>70</v>
      </c>
      <c r="AE816" s="45">
        <v>600</v>
      </c>
      <c r="AF816" s="19">
        <v>100</v>
      </c>
      <c r="AN816" s="174"/>
      <c r="AV816" s="174"/>
      <c r="AW816" s="45"/>
      <c r="AX816" s="174" t="b">
        <f>IF('Refined Compare'!$D$2="All",TRUE,IF(F816='Refined Compare'!$D$2,TRUE,IF(G816='Refined Compare'!$D$2,TRUE,FALSE)))</f>
        <v>0</v>
      </c>
      <c r="AY816" s="174" t="b">
        <f>IF('Refined Compare'!$D$3="All",TRUE,IF(F816='Refined Compare'!$D$3,TRUE,IF(G816='Refined Compare'!$D$3,TRUE,FALSE)))</f>
        <v>0</v>
      </c>
      <c r="AZ816" s="174" t="b">
        <f t="shared" si="199"/>
        <v>0</v>
      </c>
    </row>
    <row r="817" spans="1:52" s="174" customFormat="1" x14ac:dyDescent="0.35">
      <c r="A817">
        <f t="shared" si="200"/>
        <v>816</v>
      </c>
      <c r="B817" s="62">
        <v>721</v>
      </c>
      <c r="C817" s="61">
        <v>6</v>
      </c>
      <c r="D817" s="118" t="b">
        <v>1</v>
      </c>
      <c r="E817" s="45"/>
      <c r="F817" s="66" t="s">
        <v>808</v>
      </c>
      <c r="G817" s="66" t="s">
        <v>810</v>
      </c>
      <c r="H817" s="38" t="s">
        <v>454</v>
      </c>
      <c r="I817" s="39">
        <f t="shared" si="203"/>
        <v>0</v>
      </c>
      <c r="J817" s="40">
        <f t="shared" si="204"/>
        <v>0</v>
      </c>
      <c r="K817" s="41">
        <f t="shared" si="205"/>
        <v>0</v>
      </c>
      <c r="L817" s="42">
        <f t="shared" si="206"/>
        <v>0</v>
      </c>
      <c r="M817" s="43">
        <f t="shared" si="207"/>
        <v>0</v>
      </c>
      <c r="N817" s="44">
        <f t="shared" si="208"/>
        <v>0</v>
      </c>
      <c r="O817" s="45">
        <f t="shared" si="209"/>
        <v>0</v>
      </c>
      <c r="P817" s="19">
        <f t="shared" si="210"/>
        <v>0</v>
      </c>
      <c r="Q817" s="177">
        <v>80</v>
      </c>
      <c r="R817" s="40">
        <v>110</v>
      </c>
      <c r="S817" s="41">
        <v>120</v>
      </c>
      <c r="T817" s="42">
        <v>130</v>
      </c>
      <c r="U817" s="43">
        <v>90</v>
      </c>
      <c r="V817" s="44">
        <v>70</v>
      </c>
      <c r="W817" s="45">
        <f t="shared" ref="W817:W884" si="211">SUM(Q817:V817)</f>
        <v>600</v>
      </c>
      <c r="X817" s="19">
        <f t="shared" ref="X817:X884" si="212">ROUND(AVERAGE(Q817:V817),2)</f>
        <v>100</v>
      </c>
      <c r="Y817" s="39">
        <v>80</v>
      </c>
      <c r="Z817" s="40">
        <v>110</v>
      </c>
      <c r="AA817" s="41">
        <v>120</v>
      </c>
      <c r="AB817" s="42">
        <v>130</v>
      </c>
      <c r="AC817" s="43">
        <v>90</v>
      </c>
      <c r="AD817" s="44">
        <v>70</v>
      </c>
      <c r="AE817" s="45">
        <v>600</v>
      </c>
      <c r="AF817" s="19">
        <v>100</v>
      </c>
      <c r="AW817" s="45"/>
      <c r="AX817" s="174" t="b">
        <f>IF('Refined Compare'!$D$2="All",TRUE,IF(F817='Refined Compare'!$D$2,TRUE,IF(G817='Refined Compare'!$D$2,TRUE,FALSE)))</f>
        <v>0</v>
      </c>
      <c r="AY817" s="174" t="b">
        <f>IF('Refined Compare'!$D$3="All",TRUE,IF(F817='Refined Compare'!$D$3,TRUE,IF(G817='Refined Compare'!$D$3,TRUE,FALSE)))</f>
        <v>0</v>
      </c>
      <c r="AZ817" s="174" t="b">
        <f t="shared" si="199"/>
        <v>0</v>
      </c>
    </row>
    <row r="818" spans="1:52" x14ac:dyDescent="0.35">
      <c r="A818">
        <f t="shared" si="200"/>
        <v>817</v>
      </c>
      <c r="B818" s="18" t="s">
        <v>993</v>
      </c>
      <c r="C818" s="61">
        <v>7</v>
      </c>
      <c r="D818" s="61"/>
      <c r="E818" s="61"/>
      <c r="F818" s="66" t="s">
        <v>806</v>
      </c>
      <c r="G818" s="66" t="s">
        <v>809</v>
      </c>
      <c r="H818" s="179" t="s">
        <v>881</v>
      </c>
      <c r="I818" s="39">
        <f>IF($AW$2=7,Q818,IF($AW$2=6,Y818,IF($AW$2=1,AO818,AG818)))</f>
        <v>0</v>
      </c>
      <c r="J818" s="40">
        <f t="shared" si="204"/>
        <v>0</v>
      </c>
      <c r="K818" s="41">
        <f t="shared" si="205"/>
        <v>0</v>
      </c>
      <c r="L818" s="42">
        <f t="shared" si="206"/>
        <v>0</v>
      </c>
      <c r="M818" s="43">
        <f t="shared" si="207"/>
        <v>0</v>
      </c>
      <c r="N818" s="44">
        <f t="shared" si="208"/>
        <v>0</v>
      </c>
      <c r="O818" s="45">
        <f t="shared" si="209"/>
        <v>0</v>
      </c>
      <c r="P818" s="19">
        <f t="shared" si="210"/>
        <v>0</v>
      </c>
      <c r="Q818" s="177">
        <v>68</v>
      </c>
      <c r="R818" s="40">
        <v>55</v>
      </c>
      <c r="S818" s="41">
        <v>55</v>
      </c>
      <c r="T818" s="42">
        <v>50</v>
      </c>
      <c r="U818" s="43">
        <v>50</v>
      </c>
      <c r="V818" s="44">
        <v>42</v>
      </c>
      <c r="W818" s="45">
        <f t="shared" si="211"/>
        <v>320</v>
      </c>
      <c r="X818" s="19">
        <f t="shared" si="212"/>
        <v>53.33</v>
      </c>
      <c r="AX818" s="174" t="b">
        <f>IF('Refined Compare'!$D$2="All",TRUE,IF(F818='Refined Compare'!$D$2,TRUE,IF(G818='Refined Compare'!$D$2,TRUE,FALSE)))</f>
        <v>0</v>
      </c>
      <c r="AY818" s="174" t="b">
        <f>IF('Refined Compare'!$D$3="All",TRUE,IF(F818='Refined Compare'!$D$3,TRUE,IF(G818='Refined Compare'!$D$3,TRUE,FALSE)))</f>
        <v>0</v>
      </c>
      <c r="AZ818" s="174" t="b">
        <f t="shared" si="199"/>
        <v>0</v>
      </c>
    </row>
    <row r="819" spans="1:52" x14ac:dyDescent="0.35">
      <c r="A819">
        <f t="shared" si="200"/>
        <v>818</v>
      </c>
      <c r="B819" s="18" t="s">
        <v>994</v>
      </c>
      <c r="C819" s="61">
        <v>7</v>
      </c>
      <c r="D819" s="118"/>
      <c r="E819" s="61"/>
      <c r="F819" s="66" t="s">
        <v>806</v>
      </c>
      <c r="G819" s="66" t="s">
        <v>809</v>
      </c>
      <c r="H819" s="179" t="s">
        <v>882</v>
      </c>
      <c r="I819" s="39">
        <f t="shared" si="203"/>
        <v>0</v>
      </c>
      <c r="J819" s="40">
        <f t="shared" si="204"/>
        <v>0</v>
      </c>
      <c r="K819" s="41">
        <f t="shared" si="205"/>
        <v>0</v>
      </c>
      <c r="L819" s="42">
        <f t="shared" si="206"/>
        <v>0</v>
      </c>
      <c r="M819" s="43">
        <f t="shared" si="207"/>
        <v>0</v>
      </c>
      <c r="N819" s="44">
        <f t="shared" si="208"/>
        <v>0</v>
      </c>
      <c r="O819" s="45">
        <f t="shared" si="209"/>
        <v>0</v>
      </c>
      <c r="P819" s="19">
        <f t="shared" si="210"/>
        <v>0</v>
      </c>
      <c r="Q819" s="177">
        <v>78</v>
      </c>
      <c r="R819" s="40">
        <v>75</v>
      </c>
      <c r="S819" s="41">
        <v>75</v>
      </c>
      <c r="T819" s="42">
        <v>70</v>
      </c>
      <c r="U819" s="43">
        <v>70</v>
      </c>
      <c r="V819" s="44">
        <v>52</v>
      </c>
      <c r="W819" s="45">
        <f t="shared" si="211"/>
        <v>420</v>
      </c>
      <c r="X819" s="19">
        <f t="shared" si="212"/>
        <v>70</v>
      </c>
      <c r="AX819" s="174" t="b">
        <f>IF('Refined Compare'!$D$2="All",TRUE,IF(F819='Refined Compare'!$D$2,TRUE,IF(G819='Refined Compare'!$D$2,TRUE,FALSE)))</f>
        <v>0</v>
      </c>
      <c r="AY819" s="174" t="b">
        <f>IF('Refined Compare'!$D$3="All",TRUE,IF(F819='Refined Compare'!$D$3,TRUE,IF(G819='Refined Compare'!$D$3,TRUE,FALSE)))</f>
        <v>0</v>
      </c>
      <c r="AZ819" s="174" t="b">
        <f t="shared" si="199"/>
        <v>0</v>
      </c>
    </row>
    <row r="820" spans="1:52" x14ac:dyDescent="0.35">
      <c r="A820">
        <f t="shared" si="200"/>
        <v>819</v>
      </c>
      <c r="B820" s="18" t="s">
        <v>995</v>
      </c>
      <c r="C820" s="61">
        <v>7</v>
      </c>
      <c r="D820" s="118" t="b">
        <v>1</v>
      </c>
      <c r="E820" s="61"/>
      <c r="F820" s="66" t="s">
        <v>806</v>
      </c>
      <c r="G820" s="66" t="s">
        <v>821</v>
      </c>
      <c r="H820" s="179" t="s">
        <v>883</v>
      </c>
      <c r="I820" s="39">
        <f t="shared" si="203"/>
        <v>0</v>
      </c>
      <c r="J820" s="40">
        <f t="shared" si="204"/>
        <v>0</v>
      </c>
      <c r="K820" s="41">
        <f t="shared" si="205"/>
        <v>0</v>
      </c>
      <c r="L820" s="42">
        <f t="shared" si="206"/>
        <v>0</v>
      </c>
      <c r="M820" s="43">
        <f t="shared" si="207"/>
        <v>0</v>
      </c>
      <c r="N820" s="44">
        <f t="shared" si="208"/>
        <v>0</v>
      </c>
      <c r="O820" s="45">
        <f t="shared" si="209"/>
        <v>0</v>
      </c>
      <c r="P820" s="19">
        <f t="shared" si="210"/>
        <v>0</v>
      </c>
      <c r="Q820" s="177">
        <v>78</v>
      </c>
      <c r="R820" s="40">
        <v>107</v>
      </c>
      <c r="S820" s="41">
        <v>75</v>
      </c>
      <c r="T820" s="42">
        <v>100</v>
      </c>
      <c r="U820" s="43">
        <v>100</v>
      </c>
      <c r="V820" s="44">
        <v>70</v>
      </c>
      <c r="W820" s="45">
        <f t="shared" si="211"/>
        <v>530</v>
      </c>
      <c r="X820" s="19">
        <f t="shared" si="212"/>
        <v>88.33</v>
      </c>
      <c r="AX820" s="174" t="b">
        <f>IF('Refined Compare'!$D$2="All",TRUE,IF(F820='Refined Compare'!$D$2,TRUE,IF(G820='Refined Compare'!$D$2,TRUE,FALSE)))</f>
        <v>0</v>
      </c>
      <c r="AY820" s="174" t="b">
        <f>IF('Refined Compare'!$D$3="All",TRUE,IF(F820='Refined Compare'!$D$3,TRUE,IF(G820='Refined Compare'!$D$3,TRUE,FALSE)))</f>
        <v>0</v>
      </c>
      <c r="AZ820" s="174" t="b">
        <f t="shared" si="199"/>
        <v>0</v>
      </c>
    </row>
    <row r="821" spans="1:52" x14ac:dyDescent="0.35">
      <c r="A821">
        <f t="shared" si="200"/>
        <v>820</v>
      </c>
      <c r="B821" s="18" t="s">
        <v>996</v>
      </c>
      <c r="C821" s="61">
        <v>7</v>
      </c>
      <c r="D821" s="61"/>
      <c r="E821" s="61"/>
      <c r="F821" s="66" t="s">
        <v>808</v>
      </c>
      <c r="G821" s="66" t="s">
        <v>827</v>
      </c>
      <c r="H821" s="179" t="s">
        <v>884</v>
      </c>
      <c r="I821" s="39">
        <f t="shared" si="203"/>
        <v>0</v>
      </c>
      <c r="J821" s="40">
        <f t="shared" si="204"/>
        <v>0</v>
      </c>
      <c r="K821" s="41">
        <f t="shared" si="205"/>
        <v>0</v>
      </c>
      <c r="L821" s="42">
        <f t="shared" si="206"/>
        <v>0</v>
      </c>
      <c r="M821" s="43">
        <f t="shared" si="207"/>
        <v>0</v>
      </c>
      <c r="N821" s="44">
        <f t="shared" si="208"/>
        <v>0</v>
      </c>
      <c r="O821" s="45">
        <f t="shared" si="209"/>
        <v>0</v>
      </c>
      <c r="P821" s="19">
        <f t="shared" si="210"/>
        <v>0</v>
      </c>
      <c r="Q821" s="177">
        <v>45</v>
      </c>
      <c r="R821" s="40">
        <v>65</v>
      </c>
      <c r="S821" s="41">
        <v>40</v>
      </c>
      <c r="T821" s="42">
        <v>60</v>
      </c>
      <c r="U821" s="43">
        <v>40</v>
      </c>
      <c r="V821" s="44">
        <v>70</v>
      </c>
      <c r="W821" s="45">
        <f t="shared" si="211"/>
        <v>320</v>
      </c>
      <c r="X821" s="19">
        <f t="shared" si="212"/>
        <v>53.33</v>
      </c>
      <c r="AX821" s="174" t="b">
        <f>IF('Refined Compare'!$D$2="All",TRUE,IF(F821='Refined Compare'!$D$2,TRUE,IF(G821='Refined Compare'!$D$2,TRUE,FALSE)))</f>
        <v>0</v>
      </c>
      <c r="AY821" s="174" t="b">
        <f>IF('Refined Compare'!$D$3="All",TRUE,IF(F821='Refined Compare'!$D$3,TRUE,IF(G821='Refined Compare'!$D$3,TRUE,FALSE)))</f>
        <v>1</v>
      </c>
      <c r="AZ821" s="174" t="b">
        <f t="shared" si="199"/>
        <v>0</v>
      </c>
    </row>
    <row r="822" spans="1:52" x14ac:dyDescent="0.35">
      <c r="A822">
        <f t="shared" si="200"/>
        <v>821</v>
      </c>
      <c r="B822" s="18" t="s">
        <v>997</v>
      </c>
      <c r="C822" s="61">
        <v>7</v>
      </c>
      <c r="D822" s="118"/>
      <c r="E822" s="61"/>
      <c r="F822" s="66" t="s">
        <v>808</v>
      </c>
      <c r="G822" s="66" t="s">
        <v>827</v>
      </c>
      <c r="H822" s="179" t="s">
        <v>885</v>
      </c>
      <c r="I822" s="39">
        <f t="shared" si="203"/>
        <v>0</v>
      </c>
      <c r="J822" s="40">
        <f t="shared" si="204"/>
        <v>0</v>
      </c>
      <c r="K822" s="41">
        <f t="shared" si="205"/>
        <v>0</v>
      </c>
      <c r="L822" s="42">
        <f t="shared" si="206"/>
        <v>0</v>
      </c>
      <c r="M822" s="43">
        <f t="shared" si="207"/>
        <v>0</v>
      </c>
      <c r="N822" s="44">
        <f t="shared" si="208"/>
        <v>0</v>
      </c>
      <c r="O822" s="45">
        <f t="shared" si="209"/>
        <v>0</v>
      </c>
      <c r="P822" s="19">
        <f t="shared" si="210"/>
        <v>0</v>
      </c>
      <c r="Q822" s="177">
        <v>65</v>
      </c>
      <c r="R822" s="40">
        <v>85</v>
      </c>
      <c r="S822" s="41">
        <v>50</v>
      </c>
      <c r="T822" s="42">
        <v>80</v>
      </c>
      <c r="U822" s="43">
        <v>50</v>
      </c>
      <c r="V822" s="44">
        <v>90</v>
      </c>
      <c r="W822" s="45">
        <f t="shared" si="211"/>
        <v>420</v>
      </c>
      <c r="X822" s="19">
        <f t="shared" si="212"/>
        <v>70</v>
      </c>
      <c r="AX822" s="174" t="b">
        <f>IF('Refined Compare'!$D$2="All",TRUE,IF(F822='Refined Compare'!$D$2,TRUE,IF(G822='Refined Compare'!$D$2,TRUE,FALSE)))</f>
        <v>0</v>
      </c>
      <c r="AY822" s="174" t="b">
        <f>IF('Refined Compare'!$D$3="All",TRUE,IF(F822='Refined Compare'!$D$3,TRUE,IF(G822='Refined Compare'!$D$3,TRUE,FALSE)))</f>
        <v>1</v>
      </c>
      <c r="AZ822" s="174" t="b">
        <f t="shared" si="199"/>
        <v>0</v>
      </c>
    </row>
    <row r="823" spans="1:52" x14ac:dyDescent="0.35">
      <c r="A823">
        <f t="shared" si="200"/>
        <v>822</v>
      </c>
      <c r="B823" s="18" t="s">
        <v>998</v>
      </c>
      <c r="C823" s="61">
        <v>7</v>
      </c>
      <c r="D823" s="61" t="b">
        <v>1</v>
      </c>
      <c r="E823" s="61"/>
      <c r="F823" s="66" t="s">
        <v>808</v>
      </c>
      <c r="G823" s="66" t="s">
        <v>823</v>
      </c>
      <c r="H823" s="179" t="s">
        <v>886</v>
      </c>
      <c r="I823" s="39">
        <f t="shared" si="203"/>
        <v>0</v>
      </c>
      <c r="J823" s="40">
        <f t="shared" si="204"/>
        <v>0</v>
      </c>
      <c r="K823" s="41">
        <f t="shared" si="205"/>
        <v>0</v>
      </c>
      <c r="L823" s="42">
        <f t="shared" si="206"/>
        <v>0</v>
      </c>
      <c r="M823" s="43">
        <f t="shared" si="207"/>
        <v>0</v>
      </c>
      <c r="N823" s="44">
        <f t="shared" si="208"/>
        <v>0</v>
      </c>
      <c r="O823" s="45">
        <f t="shared" si="209"/>
        <v>0</v>
      </c>
      <c r="P823" s="19">
        <f t="shared" si="210"/>
        <v>0</v>
      </c>
      <c r="Q823" s="177">
        <v>95</v>
      </c>
      <c r="R823" s="40">
        <v>115</v>
      </c>
      <c r="S823" s="41">
        <v>90</v>
      </c>
      <c r="T823" s="42">
        <v>80</v>
      </c>
      <c r="U823" s="43">
        <v>90</v>
      </c>
      <c r="V823" s="44">
        <v>60</v>
      </c>
      <c r="W823" s="45">
        <f t="shared" si="211"/>
        <v>530</v>
      </c>
      <c r="X823" s="19">
        <f t="shared" si="212"/>
        <v>88.33</v>
      </c>
      <c r="AX823" s="174" t="b">
        <f>IF('Refined Compare'!$D$2="All",TRUE,IF(F823='Refined Compare'!$D$2,TRUE,IF(G823='Refined Compare'!$D$2,TRUE,FALSE)))</f>
        <v>1</v>
      </c>
      <c r="AY823" s="174" t="b">
        <f>IF('Refined Compare'!$D$3="All",TRUE,IF(F823='Refined Compare'!$D$3,TRUE,IF(G823='Refined Compare'!$D$3,TRUE,FALSE)))</f>
        <v>0</v>
      </c>
      <c r="AZ823" s="174" t="b">
        <f t="shared" si="199"/>
        <v>0</v>
      </c>
    </row>
    <row r="824" spans="1:52" x14ac:dyDescent="0.35">
      <c r="A824">
        <f t="shared" si="200"/>
        <v>823</v>
      </c>
      <c r="B824" s="18" t="s">
        <v>999</v>
      </c>
      <c r="C824" s="61">
        <v>7</v>
      </c>
      <c r="D824" s="61"/>
      <c r="E824" s="61"/>
      <c r="F824" s="66" t="s">
        <v>810</v>
      </c>
      <c r="G824" s="66" t="s">
        <v>827</v>
      </c>
      <c r="H824" s="179" t="s">
        <v>887</v>
      </c>
      <c r="I824" s="39">
        <f t="shared" si="203"/>
        <v>0</v>
      </c>
      <c r="J824" s="40">
        <f t="shared" si="204"/>
        <v>0</v>
      </c>
      <c r="K824" s="41">
        <f t="shared" si="205"/>
        <v>0</v>
      </c>
      <c r="L824" s="42">
        <f t="shared" si="206"/>
        <v>0</v>
      </c>
      <c r="M824" s="43">
        <f t="shared" si="207"/>
        <v>0</v>
      </c>
      <c r="N824" s="44">
        <f t="shared" si="208"/>
        <v>0</v>
      </c>
      <c r="O824" s="45">
        <f t="shared" si="209"/>
        <v>0</v>
      </c>
      <c r="P824" s="19">
        <f t="shared" si="210"/>
        <v>0</v>
      </c>
      <c r="Q824" s="177">
        <v>50</v>
      </c>
      <c r="R824" s="40">
        <v>54</v>
      </c>
      <c r="S824" s="41">
        <v>54</v>
      </c>
      <c r="T824" s="42">
        <v>66</v>
      </c>
      <c r="U824" s="43">
        <v>56</v>
      </c>
      <c r="V824" s="44">
        <v>40</v>
      </c>
      <c r="W824" s="45">
        <f t="shared" si="211"/>
        <v>320</v>
      </c>
      <c r="X824" s="19">
        <f t="shared" si="212"/>
        <v>53.33</v>
      </c>
      <c r="AX824" s="174" t="b">
        <f>IF('Refined Compare'!$D$2="All",TRUE,IF(F824='Refined Compare'!$D$2,TRUE,IF(G824='Refined Compare'!$D$2,TRUE,FALSE)))</f>
        <v>0</v>
      </c>
      <c r="AY824" s="174" t="b">
        <f>IF('Refined Compare'!$D$3="All",TRUE,IF(F824='Refined Compare'!$D$3,TRUE,IF(G824='Refined Compare'!$D$3,TRUE,FALSE)))</f>
        <v>1</v>
      </c>
      <c r="AZ824" s="174" t="b">
        <f t="shared" si="199"/>
        <v>0</v>
      </c>
    </row>
    <row r="825" spans="1:52" x14ac:dyDescent="0.35">
      <c r="A825">
        <f t="shared" si="200"/>
        <v>824</v>
      </c>
      <c r="B825" s="18" t="s">
        <v>1000</v>
      </c>
      <c r="C825" s="61">
        <v>7</v>
      </c>
      <c r="D825" s="118"/>
      <c r="E825" s="61"/>
      <c r="F825" s="66" t="s">
        <v>810</v>
      </c>
      <c r="G825" s="66" t="s">
        <v>827</v>
      </c>
      <c r="H825" s="179" t="s">
        <v>888</v>
      </c>
      <c r="I825" s="39">
        <f t="shared" si="203"/>
        <v>0</v>
      </c>
      <c r="J825" s="40">
        <f t="shared" si="204"/>
        <v>0</v>
      </c>
      <c r="K825" s="41">
        <f t="shared" si="205"/>
        <v>0</v>
      </c>
      <c r="L825" s="42">
        <f t="shared" si="206"/>
        <v>0</v>
      </c>
      <c r="M825" s="43">
        <f t="shared" si="207"/>
        <v>0</v>
      </c>
      <c r="N825" s="44">
        <f t="shared" si="208"/>
        <v>0</v>
      </c>
      <c r="O825" s="45">
        <f t="shared" si="209"/>
        <v>0</v>
      </c>
      <c r="P825" s="19">
        <f t="shared" si="210"/>
        <v>0</v>
      </c>
      <c r="Q825" s="177">
        <v>60</v>
      </c>
      <c r="R825" s="40">
        <v>69</v>
      </c>
      <c r="S825" s="41">
        <v>69</v>
      </c>
      <c r="T825" s="42">
        <v>91</v>
      </c>
      <c r="U825" s="43">
        <v>81</v>
      </c>
      <c r="V825" s="44">
        <v>50</v>
      </c>
      <c r="W825" s="45">
        <f t="shared" si="211"/>
        <v>420</v>
      </c>
      <c r="X825" s="19">
        <f t="shared" si="212"/>
        <v>70</v>
      </c>
      <c r="AX825" s="174" t="b">
        <f>IF('Refined Compare'!$D$2="All",TRUE,IF(F825='Refined Compare'!$D$2,TRUE,IF(G825='Refined Compare'!$D$2,TRUE,FALSE)))</f>
        <v>0</v>
      </c>
      <c r="AY825" s="174" t="b">
        <f>IF('Refined Compare'!$D$3="All",TRUE,IF(F825='Refined Compare'!$D$3,TRUE,IF(G825='Refined Compare'!$D$3,TRUE,FALSE)))</f>
        <v>1</v>
      </c>
      <c r="AZ825" s="174" t="b">
        <f t="shared" si="199"/>
        <v>0</v>
      </c>
    </row>
    <row r="826" spans="1:52" x14ac:dyDescent="0.35">
      <c r="A826">
        <f t="shared" si="200"/>
        <v>825</v>
      </c>
      <c r="B826" s="18" t="s">
        <v>1001</v>
      </c>
      <c r="C826" s="61">
        <v>7</v>
      </c>
      <c r="D826" s="118" t="b">
        <v>1</v>
      </c>
      <c r="E826" s="61"/>
      <c r="F826" s="66" t="s">
        <v>810</v>
      </c>
      <c r="G826" s="66" t="s">
        <v>815</v>
      </c>
      <c r="H826" s="179" t="s">
        <v>889</v>
      </c>
      <c r="I826" s="39">
        <f t="shared" si="203"/>
        <v>0</v>
      </c>
      <c r="J826" s="40">
        <f t="shared" si="204"/>
        <v>0</v>
      </c>
      <c r="K826" s="41">
        <f t="shared" si="205"/>
        <v>0</v>
      </c>
      <c r="L826" s="42">
        <f t="shared" si="206"/>
        <v>0</v>
      </c>
      <c r="M826" s="43">
        <f t="shared" si="207"/>
        <v>0</v>
      </c>
      <c r="N826" s="44">
        <f t="shared" si="208"/>
        <v>0</v>
      </c>
      <c r="O826" s="45">
        <f t="shared" si="209"/>
        <v>0</v>
      </c>
      <c r="P826" s="19">
        <f t="shared" si="210"/>
        <v>0</v>
      </c>
      <c r="Q826" s="177">
        <v>80</v>
      </c>
      <c r="R826" s="40">
        <v>74</v>
      </c>
      <c r="S826" s="41">
        <v>74</v>
      </c>
      <c r="T826" s="42">
        <v>126</v>
      </c>
      <c r="U826" s="43">
        <v>116</v>
      </c>
      <c r="V826" s="44">
        <v>60</v>
      </c>
      <c r="W826" s="45">
        <f t="shared" si="211"/>
        <v>530</v>
      </c>
      <c r="X826" s="19">
        <f t="shared" si="212"/>
        <v>88.33</v>
      </c>
      <c r="AX826" s="174" t="b">
        <f>IF('Refined Compare'!$D$2="All",TRUE,IF(F826='Refined Compare'!$D$2,TRUE,IF(G826='Refined Compare'!$D$2,TRUE,FALSE)))</f>
        <v>0</v>
      </c>
      <c r="AY826" s="174" t="b">
        <f>IF('Refined Compare'!$D$3="All",TRUE,IF(F826='Refined Compare'!$D$3,TRUE,IF(G826='Refined Compare'!$D$3,TRUE,FALSE)))</f>
        <v>0</v>
      </c>
      <c r="AZ826" s="174" t="b">
        <f t="shared" si="199"/>
        <v>0</v>
      </c>
    </row>
    <row r="827" spans="1:52" x14ac:dyDescent="0.35">
      <c r="A827">
        <f t="shared" si="200"/>
        <v>826</v>
      </c>
      <c r="B827" s="18" t="s">
        <v>1002</v>
      </c>
      <c r="C827" s="61">
        <v>7</v>
      </c>
      <c r="D827" s="61"/>
      <c r="E827" s="61"/>
      <c r="F827" s="66" t="s">
        <v>812</v>
      </c>
      <c r="G827" s="66" t="s">
        <v>809</v>
      </c>
      <c r="H827" s="179" t="s">
        <v>890</v>
      </c>
      <c r="I827" s="39">
        <f t="shared" si="203"/>
        <v>0</v>
      </c>
      <c r="J827" s="40">
        <f t="shared" si="204"/>
        <v>0</v>
      </c>
      <c r="K827" s="41">
        <f t="shared" si="205"/>
        <v>0</v>
      </c>
      <c r="L827" s="42">
        <f t="shared" si="206"/>
        <v>0</v>
      </c>
      <c r="M827" s="43">
        <f t="shared" si="207"/>
        <v>0</v>
      </c>
      <c r="N827" s="44">
        <f t="shared" si="208"/>
        <v>0</v>
      </c>
      <c r="O827" s="45">
        <f t="shared" si="209"/>
        <v>0</v>
      </c>
      <c r="P827" s="19">
        <f t="shared" si="210"/>
        <v>0</v>
      </c>
      <c r="Q827" s="177">
        <v>35</v>
      </c>
      <c r="R827" s="40">
        <v>75</v>
      </c>
      <c r="S827" s="41">
        <v>30</v>
      </c>
      <c r="T827" s="42">
        <v>30</v>
      </c>
      <c r="U827" s="43">
        <v>30</v>
      </c>
      <c r="V827" s="44">
        <v>65</v>
      </c>
      <c r="W827" s="45">
        <f t="shared" si="211"/>
        <v>265</v>
      </c>
      <c r="X827" s="19">
        <f t="shared" si="212"/>
        <v>44.17</v>
      </c>
      <c r="AX827" s="174" t="b">
        <f>IF('Refined Compare'!$D$2="All",TRUE,IF(F827='Refined Compare'!$D$2,TRUE,IF(G827='Refined Compare'!$D$2,TRUE,FALSE)))</f>
        <v>0</v>
      </c>
      <c r="AY827" s="174" t="b">
        <f>IF('Refined Compare'!$D$3="All",TRUE,IF(F827='Refined Compare'!$D$3,TRUE,IF(G827='Refined Compare'!$D$3,TRUE,FALSE)))</f>
        <v>0</v>
      </c>
      <c r="AZ827" s="174" t="b">
        <f t="shared" si="199"/>
        <v>0</v>
      </c>
    </row>
    <row r="828" spans="1:52" x14ac:dyDescent="0.35">
      <c r="A828">
        <f t="shared" si="200"/>
        <v>827</v>
      </c>
      <c r="B828" s="18" t="s">
        <v>1003</v>
      </c>
      <c r="C828" s="61">
        <v>7</v>
      </c>
      <c r="D828" s="118"/>
      <c r="E828" s="61"/>
      <c r="F828" s="66" t="s">
        <v>812</v>
      </c>
      <c r="G828" s="66" t="s">
        <v>809</v>
      </c>
      <c r="H828" s="179" t="s">
        <v>891</v>
      </c>
      <c r="I828" s="39">
        <f t="shared" si="203"/>
        <v>0</v>
      </c>
      <c r="J828" s="40">
        <f t="shared" si="204"/>
        <v>0</v>
      </c>
      <c r="K828" s="41">
        <f t="shared" si="205"/>
        <v>0</v>
      </c>
      <c r="L828" s="42">
        <f t="shared" si="206"/>
        <v>0</v>
      </c>
      <c r="M828" s="43">
        <f t="shared" si="207"/>
        <v>0</v>
      </c>
      <c r="N828" s="44">
        <f t="shared" si="208"/>
        <v>0</v>
      </c>
      <c r="O828" s="45">
        <f t="shared" si="209"/>
        <v>0</v>
      </c>
      <c r="P828" s="19">
        <f t="shared" si="210"/>
        <v>0</v>
      </c>
      <c r="Q828" s="177">
        <v>55</v>
      </c>
      <c r="R828" s="40">
        <v>85</v>
      </c>
      <c r="S828" s="41">
        <v>50</v>
      </c>
      <c r="T828" s="42">
        <v>40</v>
      </c>
      <c r="U828" s="43">
        <v>50</v>
      </c>
      <c r="V828" s="44">
        <v>75</v>
      </c>
      <c r="W828" s="45">
        <f t="shared" si="211"/>
        <v>355</v>
      </c>
      <c r="X828" s="19">
        <f t="shared" si="212"/>
        <v>59.17</v>
      </c>
      <c r="AX828" s="174" t="b">
        <f>IF('Refined Compare'!$D$2="All",TRUE,IF(F828='Refined Compare'!$D$2,TRUE,IF(G828='Refined Compare'!$D$2,TRUE,FALSE)))</f>
        <v>0</v>
      </c>
      <c r="AY828" s="174" t="b">
        <f>IF('Refined Compare'!$D$3="All",TRUE,IF(F828='Refined Compare'!$D$3,TRUE,IF(G828='Refined Compare'!$D$3,TRUE,FALSE)))</f>
        <v>0</v>
      </c>
      <c r="AZ828" s="174" t="b">
        <f t="shared" si="199"/>
        <v>0</v>
      </c>
    </row>
    <row r="829" spans="1:52" x14ac:dyDescent="0.35">
      <c r="A829">
        <f t="shared" si="200"/>
        <v>828</v>
      </c>
      <c r="B829" s="18" t="s">
        <v>1004</v>
      </c>
      <c r="C829" s="61">
        <v>7</v>
      </c>
      <c r="D829" s="61" t="b">
        <v>1</v>
      </c>
      <c r="E829" s="61"/>
      <c r="F829" s="66" t="s">
        <v>812</v>
      </c>
      <c r="G829" s="66" t="s">
        <v>809</v>
      </c>
      <c r="H829" s="179" t="s">
        <v>892</v>
      </c>
      <c r="I829" s="39">
        <f t="shared" si="203"/>
        <v>0</v>
      </c>
      <c r="J829" s="40">
        <f t="shared" si="204"/>
        <v>0</v>
      </c>
      <c r="K829" s="41">
        <f t="shared" si="205"/>
        <v>0</v>
      </c>
      <c r="L829" s="42">
        <f t="shared" si="206"/>
        <v>0</v>
      </c>
      <c r="M829" s="43">
        <f t="shared" si="207"/>
        <v>0</v>
      </c>
      <c r="N829" s="44">
        <f t="shared" si="208"/>
        <v>0</v>
      </c>
      <c r="O829" s="45">
        <f t="shared" si="209"/>
        <v>0</v>
      </c>
      <c r="P829" s="19">
        <f t="shared" si="210"/>
        <v>0</v>
      </c>
      <c r="Q829" s="177">
        <v>80</v>
      </c>
      <c r="R829" s="40">
        <v>120</v>
      </c>
      <c r="S829" s="41">
        <v>75</v>
      </c>
      <c r="T829" s="42">
        <v>75</v>
      </c>
      <c r="U829" s="43">
        <v>75</v>
      </c>
      <c r="V829" s="44">
        <v>60</v>
      </c>
      <c r="W829" s="45">
        <f t="shared" si="211"/>
        <v>485</v>
      </c>
      <c r="X829" s="19">
        <f t="shared" si="212"/>
        <v>80.83</v>
      </c>
      <c r="AX829" s="174" t="b">
        <f>IF('Refined Compare'!$D$2="All",TRUE,IF(F829='Refined Compare'!$D$2,TRUE,IF(G829='Refined Compare'!$D$2,TRUE,FALSE)))</f>
        <v>0</v>
      </c>
      <c r="AY829" s="174" t="b">
        <f>IF('Refined Compare'!$D$3="All",TRUE,IF(F829='Refined Compare'!$D$3,TRUE,IF(G829='Refined Compare'!$D$3,TRUE,FALSE)))</f>
        <v>0</v>
      </c>
      <c r="AZ829" s="174" t="b">
        <f t="shared" si="199"/>
        <v>0</v>
      </c>
    </row>
    <row r="830" spans="1:52" x14ac:dyDescent="0.35">
      <c r="A830">
        <f t="shared" si="200"/>
        <v>829</v>
      </c>
      <c r="B830" s="18" t="s">
        <v>1005</v>
      </c>
      <c r="C830" s="61">
        <v>7</v>
      </c>
      <c r="D830" s="118"/>
      <c r="E830" s="61"/>
      <c r="F830" s="66" t="s">
        <v>812</v>
      </c>
      <c r="G830" s="66" t="s">
        <v>827</v>
      </c>
      <c r="H830" s="179" t="s">
        <v>893</v>
      </c>
      <c r="I830" s="39">
        <f t="shared" si="203"/>
        <v>0</v>
      </c>
      <c r="J830" s="40">
        <f t="shared" si="204"/>
        <v>0</v>
      </c>
      <c r="K830" s="41">
        <f t="shared" si="205"/>
        <v>0</v>
      </c>
      <c r="L830" s="42">
        <f t="shared" si="206"/>
        <v>0</v>
      </c>
      <c r="M830" s="43">
        <f t="shared" si="207"/>
        <v>0</v>
      </c>
      <c r="N830" s="44">
        <f t="shared" si="208"/>
        <v>0</v>
      </c>
      <c r="O830" s="45">
        <f t="shared" si="209"/>
        <v>0</v>
      </c>
      <c r="P830" s="19">
        <f t="shared" si="210"/>
        <v>0</v>
      </c>
      <c r="Q830" s="177">
        <v>48</v>
      </c>
      <c r="R830" s="40">
        <v>70</v>
      </c>
      <c r="S830" s="41">
        <v>30</v>
      </c>
      <c r="T830" s="42">
        <v>30</v>
      </c>
      <c r="U830" s="43">
        <v>30</v>
      </c>
      <c r="V830" s="44">
        <v>45</v>
      </c>
      <c r="W830" s="45">
        <f t="shared" si="211"/>
        <v>253</v>
      </c>
      <c r="X830" s="19">
        <f t="shared" si="212"/>
        <v>42.17</v>
      </c>
      <c r="AX830" s="174" t="b">
        <f>IF('Refined Compare'!$D$2="All",TRUE,IF(F830='Refined Compare'!$D$2,TRUE,IF(G830='Refined Compare'!$D$2,TRUE,FALSE)))</f>
        <v>0</v>
      </c>
      <c r="AY830" s="174" t="b">
        <f>IF('Refined Compare'!$D$3="All",TRUE,IF(F830='Refined Compare'!$D$3,TRUE,IF(G830='Refined Compare'!$D$3,TRUE,FALSE)))</f>
        <v>1</v>
      </c>
      <c r="AZ830" s="174" t="b">
        <f t="shared" si="199"/>
        <v>0</v>
      </c>
    </row>
    <row r="831" spans="1:52" x14ac:dyDescent="0.35">
      <c r="A831">
        <f t="shared" si="200"/>
        <v>830</v>
      </c>
      <c r="B831" s="18" t="s">
        <v>1006</v>
      </c>
      <c r="C831" s="61">
        <v>7</v>
      </c>
      <c r="D831" s="61" t="b">
        <v>1</v>
      </c>
      <c r="E831" s="61"/>
      <c r="F831" s="66" t="s">
        <v>812</v>
      </c>
      <c r="G831" s="66" t="s">
        <v>827</v>
      </c>
      <c r="H831" s="179" t="s">
        <v>894</v>
      </c>
      <c r="I831" s="39">
        <f t="shared" si="203"/>
        <v>0</v>
      </c>
      <c r="J831" s="40">
        <f t="shared" si="204"/>
        <v>0</v>
      </c>
      <c r="K831" s="41">
        <f t="shared" si="205"/>
        <v>0</v>
      </c>
      <c r="L831" s="42">
        <f t="shared" si="206"/>
        <v>0</v>
      </c>
      <c r="M831" s="43">
        <f t="shared" si="207"/>
        <v>0</v>
      </c>
      <c r="N831" s="44">
        <f t="shared" si="208"/>
        <v>0</v>
      </c>
      <c r="O831" s="45">
        <f t="shared" si="209"/>
        <v>0</v>
      </c>
      <c r="P831" s="19">
        <f t="shared" si="210"/>
        <v>0</v>
      </c>
      <c r="Q831" s="177">
        <v>88</v>
      </c>
      <c r="R831" s="40">
        <v>110</v>
      </c>
      <c r="S831" s="41">
        <v>60</v>
      </c>
      <c r="T831" s="42">
        <v>55</v>
      </c>
      <c r="U831" s="43">
        <v>60</v>
      </c>
      <c r="V831" s="44">
        <v>45</v>
      </c>
      <c r="W831" s="45">
        <f t="shared" si="211"/>
        <v>418</v>
      </c>
      <c r="X831" s="19">
        <f t="shared" si="212"/>
        <v>69.67</v>
      </c>
      <c r="AX831" s="174" t="b">
        <f>IF('Refined Compare'!$D$2="All",TRUE,IF(F831='Refined Compare'!$D$2,TRUE,IF(G831='Refined Compare'!$D$2,TRUE,FALSE)))</f>
        <v>0</v>
      </c>
      <c r="AY831" s="174" t="b">
        <f>IF('Refined Compare'!$D$3="All",TRUE,IF(F831='Refined Compare'!$D$3,TRUE,IF(G831='Refined Compare'!$D$3,TRUE,FALSE)))</f>
        <v>1</v>
      </c>
      <c r="AZ831" s="174" t="b">
        <f t="shared" si="199"/>
        <v>0</v>
      </c>
    </row>
    <row r="832" spans="1:52" x14ac:dyDescent="0.35">
      <c r="A832">
        <f t="shared" si="200"/>
        <v>831</v>
      </c>
      <c r="B832" s="18" t="s">
        <v>1007</v>
      </c>
      <c r="C832" s="61">
        <v>7</v>
      </c>
      <c r="D832" s="118"/>
      <c r="E832" s="61"/>
      <c r="F832" s="66" t="s">
        <v>811</v>
      </c>
      <c r="G832" s="66" t="s">
        <v>827</v>
      </c>
      <c r="H832" s="179" t="s">
        <v>895</v>
      </c>
      <c r="I832" s="39">
        <f t="shared" si="203"/>
        <v>0</v>
      </c>
      <c r="J832" s="40">
        <f t="shared" si="204"/>
        <v>0</v>
      </c>
      <c r="K832" s="41">
        <f t="shared" si="205"/>
        <v>0</v>
      </c>
      <c r="L832" s="42">
        <f t="shared" si="206"/>
        <v>0</v>
      </c>
      <c r="M832" s="43">
        <f t="shared" si="207"/>
        <v>0</v>
      </c>
      <c r="N832" s="44">
        <f t="shared" si="208"/>
        <v>0</v>
      </c>
      <c r="O832" s="45">
        <f t="shared" si="209"/>
        <v>0</v>
      </c>
      <c r="P832" s="19">
        <f t="shared" si="210"/>
        <v>0</v>
      </c>
      <c r="Q832" s="177">
        <v>47</v>
      </c>
      <c r="R832" s="40">
        <v>62</v>
      </c>
      <c r="S832" s="41">
        <v>45</v>
      </c>
      <c r="T832" s="42">
        <v>55</v>
      </c>
      <c r="U832" s="43">
        <v>45</v>
      </c>
      <c r="V832" s="44">
        <v>46</v>
      </c>
      <c r="W832" s="45">
        <f t="shared" si="211"/>
        <v>300</v>
      </c>
      <c r="X832" s="19">
        <f t="shared" si="212"/>
        <v>50</v>
      </c>
      <c r="AX832" s="174" t="b">
        <f>IF('Refined Compare'!$D$2="All",TRUE,IF(F832='Refined Compare'!$D$2,TRUE,IF(G832='Refined Compare'!$D$2,TRUE,FALSE)))</f>
        <v>0</v>
      </c>
      <c r="AY832" s="174" t="b">
        <f>IF('Refined Compare'!$D$3="All",TRUE,IF(F832='Refined Compare'!$D$3,TRUE,IF(G832='Refined Compare'!$D$3,TRUE,FALSE)))</f>
        <v>1</v>
      </c>
      <c r="AZ832" s="174" t="b">
        <f t="shared" si="199"/>
        <v>0</v>
      </c>
    </row>
    <row r="833" spans="1:52" x14ac:dyDescent="0.35">
      <c r="A833">
        <f t="shared" si="200"/>
        <v>832</v>
      </c>
      <c r="B833" s="18" t="s">
        <v>1008</v>
      </c>
      <c r="C833" s="61">
        <v>7</v>
      </c>
      <c r="D833" s="61"/>
      <c r="E833" s="61"/>
      <c r="F833" s="66" t="s">
        <v>811</v>
      </c>
      <c r="G833" s="66" t="s">
        <v>813</v>
      </c>
      <c r="H833" s="179" t="s">
        <v>896</v>
      </c>
      <c r="I833" s="39">
        <f t="shared" si="203"/>
        <v>0</v>
      </c>
      <c r="J833" s="40">
        <f t="shared" si="204"/>
        <v>0</v>
      </c>
      <c r="K833" s="41">
        <f t="shared" si="205"/>
        <v>0</v>
      </c>
      <c r="L833" s="42">
        <f t="shared" si="206"/>
        <v>0</v>
      </c>
      <c r="M833" s="43">
        <f t="shared" si="207"/>
        <v>0</v>
      </c>
      <c r="N833" s="44">
        <f t="shared" si="208"/>
        <v>0</v>
      </c>
      <c r="O833" s="45">
        <f t="shared" si="209"/>
        <v>0</v>
      </c>
      <c r="P833" s="19">
        <f t="shared" si="210"/>
        <v>0</v>
      </c>
      <c r="Q833" s="177">
        <v>57</v>
      </c>
      <c r="R833" s="40">
        <v>82</v>
      </c>
      <c r="S833" s="41">
        <v>95</v>
      </c>
      <c r="T833" s="42">
        <v>55</v>
      </c>
      <c r="U833" s="43">
        <v>75</v>
      </c>
      <c r="V833" s="44">
        <v>36</v>
      </c>
      <c r="W833" s="45">
        <f t="shared" si="211"/>
        <v>400</v>
      </c>
      <c r="X833" s="19">
        <f t="shared" si="212"/>
        <v>66.67</v>
      </c>
      <c r="AX833" s="174" t="b">
        <f>IF('Refined Compare'!$D$2="All",TRUE,IF(F833='Refined Compare'!$D$2,TRUE,IF(G833='Refined Compare'!$D$2,TRUE,FALSE)))</f>
        <v>0</v>
      </c>
      <c r="AY833" s="174" t="b">
        <f>IF('Refined Compare'!$D$3="All",TRUE,IF(F833='Refined Compare'!$D$3,TRUE,IF(G833='Refined Compare'!$D$3,TRUE,FALSE)))</f>
        <v>0</v>
      </c>
      <c r="AZ833" s="174" t="b">
        <f t="shared" si="199"/>
        <v>0</v>
      </c>
    </row>
    <row r="834" spans="1:52" x14ac:dyDescent="0.35">
      <c r="A834">
        <f t="shared" si="200"/>
        <v>833</v>
      </c>
      <c r="B834" s="18" t="s">
        <v>1009</v>
      </c>
      <c r="C834" s="61">
        <v>7</v>
      </c>
      <c r="D834" s="118" t="b">
        <v>1</v>
      </c>
      <c r="E834" s="61"/>
      <c r="F834" s="66" t="s">
        <v>811</v>
      </c>
      <c r="G834" s="66" t="s">
        <v>813</v>
      </c>
      <c r="H834" s="179" t="s">
        <v>897</v>
      </c>
      <c r="I834" s="39">
        <f t="shared" si="203"/>
        <v>0</v>
      </c>
      <c r="J834" s="40">
        <f t="shared" si="204"/>
        <v>0</v>
      </c>
      <c r="K834" s="41">
        <f t="shared" si="205"/>
        <v>0</v>
      </c>
      <c r="L834" s="42">
        <f t="shared" si="206"/>
        <v>0</v>
      </c>
      <c r="M834" s="43">
        <f t="shared" si="207"/>
        <v>0</v>
      </c>
      <c r="N834" s="44">
        <f t="shared" si="208"/>
        <v>0</v>
      </c>
      <c r="O834" s="45">
        <f t="shared" si="209"/>
        <v>0</v>
      </c>
      <c r="P834" s="19">
        <f t="shared" si="210"/>
        <v>0</v>
      </c>
      <c r="Q834" s="177">
        <v>77</v>
      </c>
      <c r="R834" s="40">
        <v>70</v>
      </c>
      <c r="S834" s="41">
        <v>90</v>
      </c>
      <c r="T834" s="42">
        <v>145</v>
      </c>
      <c r="U834" s="43">
        <v>75</v>
      </c>
      <c r="V834" s="44">
        <v>43</v>
      </c>
      <c r="W834" s="45">
        <f t="shared" si="211"/>
        <v>500</v>
      </c>
      <c r="X834" s="19">
        <f t="shared" si="212"/>
        <v>83.33</v>
      </c>
      <c r="AX834" s="174" t="b">
        <f>IF('Refined Compare'!$D$2="All",TRUE,IF(F834='Refined Compare'!$D$2,TRUE,IF(G834='Refined Compare'!$D$2,TRUE,FALSE)))</f>
        <v>0</v>
      </c>
      <c r="AY834" s="174" t="b">
        <f>IF('Refined Compare'!$D$3="All",TRUE,IF(F834='Refined Compare'!$D$3,TRUE,IF(G834='Refined Compare'!$D$3,TRUE,FALSE)))</f>
        <v>0</v>
      </c>
      <c r="AZ834" s="174" t="b">
        <f t="shared" ref="AZ834:AZ897" si="213">IF(C834&lt;=$AW$2,TRUE,FALSE)</f>
        <v>0</v>
      </c>
    </row>
    <row r="835" spans="1:52" x14ac:dyDescent="0.35">
      <c r="A835">
        <f t="shared" si="200"/>
        <v>834</v>
      </c>
      <c r="B835" s="18" t="s">
        <v>1010</v>
      </c>
      <c r="C835" s="61">
        <v>7</v>
      </c>
      <c r="D835" s="61"/>
      <c r="E835" s="61"/>
      <c r="F835" s="66" t="s">
        <v>816</v>
      </c>
      <c r="G835" s="66" t="s">
        <v>827</v>
      </c>
      <c r="H835" s="179" t="s">
        <v>898</v>
      </c>
      <c r="I835" s="39">
        <f t="shared" si="203"/>
        <v>0</v>
      </c>
      <c r="J835" s="40">
        <f t="shared" si="204"/>
        <v>0</v>
      </c>
      <c r="K835" s="41">
        <f t="shared" si="205"/>
        <v>0</v>
      </c>
      <c r="L835" s="42">
        <f t="shared" si="206"/>
        <v>0</v>
      </c>
      <c r="M835" s="43">
        <f t="shared" si="207"/>
        <v>0</v>
      </c>
      <c r="N835" s="44">
        <f t="shared" si="208"/>
        <v>0</v>
      </c>
      <c r="O835" s="45">
        <f t="shared" si="209"/>
        <v>0</v>
      </c>
      <c r="P835" s="19">
        <f t="shared" si="210"/>
        <v>0</v>
      </c>
      <c r="Q835" s="177">
        <v>47</v>
      </c>
      <c r="R835" s="40">
        <v>82</v>
      </c>
      <c r="S835" s="41">
        <v>57</v>
      </c>
      <c r="T835" s="42">
        <v>42</v>
      </c>
      <c r="U835" s="43">
        <v>47</v>
      </c>
      <c r="V835" s="44">
        <v>63</v>
      </c>
      <c r="W835" s="45">
        <f t="shared" si="211"/>
        <v>338</v>
      </c>
      <c r="X835" s="19">
        <f t="shared" si="212"/>
        <v>56.33</v>
      </c>
      <c r="AX835" s="174" t="b">
        <f>IF('Refined Compare'!$D$2="All",TRUE,IF(F835='Refined Compare'!$D$2,TRUE,IF(G835='Refined Compare'!$D$2,TRUE,FALSE)))</f>
        <v>0</v>
      </c>
      <c r="AY835" s="174" t="b">
        <f>IF('Refined Compare'!$D$3="All",TRUE,IF(F835='Refined Compare'!$D$3,TRUE,IF(G835='Refined Compare'!$D$3,TRUE,FALSE)))</f>
        <v>1</v>
      </c>
      <c r="AZ835" s="174" t="b">
        <f t="shared" si="213"/>
        <v>0</v>
      </c>
    </row>
    <row r="836" spans="1:52" x14ac:dyDescent="0.35">
      <c r="A836">
        <f t="shared" si="200"/>
        <v>835</v>
      </c>
      <c r="B836" s="18" t="s">
        <v>1011</v>
      </c>
      <c r="C836" s="61">
        <v>7</v>
      </c>
      <c r="D836" s="118" t="b">
        <v>1</v>
      </c>
      <c r="E836" s="61"/>
      <c r="F836" s="66" t="s">
        <v>816</v>
      </c>
      <c r="G836" s="66" t="s">
        <v>820</v>
      </c>
      <c r="H836" s="179" t="s">
        <v>899</v>
      </c>
      <c r="I836" s="39">
        <f t="shared" si="203"/>
        <v>0</v>
      </c>
      <c r="J836" s="40">
        <f t="shared" si="204"/>
        <v>0</v>
      </c>
      <c r="K836" s="41">
        <f t="shared" si="205"/>
        <v>0</v>
      </c>
      <c r="L836" s="42">
        <f t="shared" si="206"/>
        <v>0</v>
      </c>
      <c r="M836" s="43">
        <f t="shared" si="207"/>
        <v>0</v>
      </c>
      <c r="N836" s="44">
        <f t="shared" si="208"/>
        <v>0</v>
      </c>
      <c r="O836" s="45">
        <f t="shared" si="209"/>
        <v>0</v>
      </c>
      <c r="P836" s="19">
        <f t="shared" si="210"/>
        <v>0</v>
      </c>
      <c r="Q836" s="177">
        <v>97</v>
      </c>
      <c r="R836" s="40">
        <v>132</v>
      </c>
      <c r="S836" s="41">
        <v>77</v>
      </c>
      <c r="T836" s="42">
        <v>62</v>
      </c>
      <c r="U836" s="43">
        <v>67</v>
      </c>
      <c r="V836" s="44">
        <v>43</v>
      </c>
      <c r="W836" s="45">
        <f t="shared" si="211"/>
        <v>478</v>
      </c>
      <c r="X836" s="19">
        <f t="shared" si="212"/>
        <v>79.67</v>
      </c>
      <c r="AX836" s="174" t="b">
        <f>IF('Refined Compare'!$D$2="All",TRUE,IF(F836='Refined Compare'!$D$2,TRUE,IF(G836='Refined Compare'!$D$2,TRUE,FALSE)))</f>
        <v>0</v>
      </c>
      <c r="AY836" s="174" t="b">
        <f>IF('Refined Compare'!$D$3="All",TRUE,IF(F836='Refined Compare'!$D$3,TRUE,IF(G836='Refined Compare'!$D$3,TRUE,FALSE)))</f>
        <v>0</v>
      </c>
      <c r="AZ836" s="174" t="b">
        <f t="shared" si="213"/>
        <v>0</v>
      </c>
    </row>
    <row r="837" spans="1:52" x14ac:dyDescent="0.35">
      <c r="A837">
        <f t="shared" si="200"/>
        <v>836</v>
      </c>
      <c r="B837" s="18" t="s">
        <v>989</v>
      </c>
      <c r="C837" s="61">
        <v>7</v>
      </c>
      <c r="D837" s="61" t="b">
        <v>1</v>
      </c>
      <c r="E837" s="61"/>
      <c r="F837" s="66" t="s">
        <v>808</v>
      </c>
      <c r="G837" s="66" t="s">
        <v>809</v>
      </c>
      <c r="H837" s="179" t="s">
        <v>987</v>
      </c>
      <c r="I837" s="39">
        <f t="shared" si="203"/>
        <v>0</v>
      </c>
      <c r="J837" s="40">
        <f t="shared" si="204"/>
        <v>0</v>
      </c>
      <c r="K837" s="41">
        <f t="shared" si="205"/>
        <v>0</v>
      </c>
      <c r="L837" s="42">
        <f t="shared" si="206"/>
        <v>0</v>
      </c>
      <c r="M837" s="43">
        <f t="shared" si="207"/>
        <v>0</v>
      </c>
      <c r="N837" s="44">
        <f t="shared" si="208"/>
        <v>0</v>
      </c>
      <c r="O837" s="45">
        <f t="shared" si="209"/>
        <v>0</v>
      </c>
      <c r="P837" s="19">
        <f t="shared" si="210"/>
        <v>0</v>
      </c>
      <c r="Q837" s="177">
        <v>75</v>
      </c>
      <c r="R837" s="40">
        <v>70</v>
      </c>
      <c r="S837" s="41">
        <v>70</v>
      </c>
      <c r="T837" s="42">
        <v>98</v>
      </c>
      <c r="U837" s="43">
        <v>70</v>
      </c>
      <c r="V837" s="44">
        <v>93</v>
      </c>
      <c r="W837" s="45">
        <v>476</v>
      </c>
      <c r="X837" s="19">
        <v>79.33</v>
      </c>
      <c r="AX837" s="174" t="b">
        <f>IF('Refined Compare'!$D$2="All",TRUE,IF(F837='Refined Compare'!$D$2,TRUE,IF(G837='Refined Compare'!$D$2,TRUE,FALSE)))</f>
        <v>0</v>
      </c>
      <c r="AY837" s="174" t="b">
        <f>IF('Refined Compare'!$D$3="All",TRUE,IF(F837='Refined Compare'!$D$3,TRUE,IF(G837='Refined Compare'!$D$3,TRUE,FALSE)))</f>
        <v>0</v>
      </c>
      <c r="AZ837" s="174" t="b">
        <f t="shared" si="213"/>
        <v>0</v>
      </c>
    </row>
    <row r="838" spans="1:52" x14ac:dyDescent="0.35">
      <c r="A838">
        <f t="shared" si="200"/>
        <v>837</v>
      </c>
      <c r="B838" s="18" t="s">
        <v>989</v>
      </c>
      <c r="C838" s="61">
        <v>7</v>
      </c>
      <c r="D838" s="118" t="b">
        <v>1</v>
      </c>
      <c r="E838" s="61"/>
      <c r="F838" s="66" t="s">
        <v>813</v>
      </c>
      <c r="G838" s="66" t="s">
        <v>809</v>
      </c>
      <c r="H838" s="179" t="s">
        <v>990</v>
      </c>
      <c r="I838" s="39">
        <f t="shared" si="203"/>
        <v>0</v>
      </c>
      <c r="J838" s="40">
        <f t="shared" si="204"/>
        <v>0</v>
      </c>
      <c r="K838" s="41">
        <f t="shared" si="205"/>
        <v>0</v>
      </c>
      <c r="L838" s="42">
        <f t="shared" si="206"/>
        <v>0</v>
      </c>
      <c r="M838" s="43">
        <f t="shared" si="207"/>
        <v>0</v>
      </c>
      <c r="N838" s="44">
        <f t="shared" si="208"/>
        <v>0</v>
      </c>
      <c r="O838" s="45">
        <f t="shared" si="209"/>
        <v>0</v>
      </c>
      <c r="P838" s="19">
        <f t="shared" si="210"/>
        <v>0</v>
      </c>
      <c r="Q838" s="177">
        <v>75</v>
      </c>
      <c r="R838" s="40">
        <v>70</v>
      </c>
      <c r="S838" s="41">
        <v>70</v>
      </c>
      <c r="T838" s="42">
        <v>98</v>
      </c>
      <c r="U838" s="43">
        <v>70</v>
      </c>
      <c r="V838" s="44">
        <v>93</v>
      </c>
      <c r="W838" s="45">
        <v>476</v>
      </c>
      <c r="X838" s="19">
        <v>79.33</v>
      </c>
      <c r="AX838" s="174" t="b">
        <f>IF('Refined Compare'!$D$2="All",TRUE,IF(F838='Refined Compare'!$D$2,TRUE,IF(G838='Refined Compare'!$D$2,TRUE,FALSE)))</f>
        <v>0</v>
      </c>
      <c r="AY838" s="174" t="b">
        <f>IF('Refined Compare'!$D$3="All",TRUE,IF(F838='Refined Compare'!$D$3,TRUE,IF(G838='Refined Compare'!$D$3,TRUE,FALSE)))</f>
        <v>0</v>
      </c>
      <c r="AZ838" s="174" t="b">
        <f t="shared" si="213"/>
        <v>0</v>
      </c>
    </row>
    <row r="839" spans="1:52" x14ac:dyDescent="0.35">
      <c r="A839">
        <f t="shared" si="200"/>
        <v>838</v>
      </c>
      <c r="B839" s="18" t="s">
        <v>989</v>
      </c>
      <c r="C839" s="61">
        <v>7</v>
      </c>
      <c r="D839" s="61" t="b">
        <v>1</v>
      </c>
      <c r="E839" s="61"/>
      <c r="F839" s="66" t="s">
        <v>817</v>
      </c>
      <c r="G839" s="66" t="s">
        <v>809</v>
      </c>
      <c r="H839" s="179" t="s">
        <v>991</v>
      </c>
      <c r="I839" s="39">
        <f t="shared" si="203"/>
        <v>0</v>
      </c>
      <c r="J839" s="40">
        <f t="shared" si="204"/>
        <v>0</v>
      </c>
      <c r="K839" s="41">
        <f t="shared" si="205"/>
        <v>0</v>
      </c>
      <c r="L839" s="42">
        <f t="shared" si="206"/>
        <v>0</v>
      </c>
      <c r="M839" s="43">
        <f t="shared" si="207"/>
        <v>0</v>
      </c>
      <c r="N839" s="44">
        <f t="shared" si="208"/>
        <v>0</v>
      </c>
      <c r="O839" s="45">
        <f t="shared" si="209"/>
        <v>0</v>
      </c>
      <c r="P839" s="19">
        <f t="shared" si="210"/>
        <v>0</v>
      </c>
      <c r="Q839" s="177">
        <v>75</v>
      </c>
      <c r="R839" s="40">
        <v>70</v>
      </c>
      <c r="S839" s="41">
        <v>70</v>
      </c>
      <c r="T839" s="42">
        <v>98</v>
      </c>
      <c r="U839" s="43">
        <v>70</v>
      </c>
      <c r="V839" s="44">
        <v>93</v>
      </c>
      <c r="W839" s="45">
        <v>476</v>
      </c>
      <c r="X839" s="19">
        <v>79.33</v>
      </c>
      <c r="AX839" s="174" t="b">
        <f>IF('Refined Compare'!$D$2="All",TRUE,IF(F839='Refined Compare'!$D$2,TRUE,IF(G839='Refined Compare'!$D$2,TRUE,FALSE)))</f>
        <v>0</v>
      </c>
      <c r="AY839" s="174" t="b">
        <f>IF('Refined Compare'!$D$3="All",TRUE,IF(F839='Refined Compare'!$D$3,TRUE,IF(G839='Refined Compare'!$D$3,TRUE,FALSE)))</f>
        <v>0</v>
      </c>
      <c r="AZ839" s="174" t="b">
        <f t="shared" si="213"/>
        <v>0</v>
      </c>
    </row>
    <row r="840" spans="1:52" x14ac:dyDescent="0.35">
      <c r="A840">
        <f t="shared" si="200"/>
        <v>839</v>
      </c>
      <c r="B840" s="18" t="s">
        <v>989</v>
      </c>
      <c r="C840" s="61">
        <v>7</v>
      </c>
      <c r="D840" s="118" t="b">
        <v>1</v>
      </c>
      <c r="E840" s="61"/>
      <c r="F840" s="66" t="s">
        <v>821</v>
      </c>
      <c r="G840" s="66" t="s">
        <v>809</v>
      </c>
      <c r="H840" s="179" t="s">
        <v>992</v>
      </c>
      <c r="I840" s="39">
        <f t="shared" si="203"/>
        <v>0</v>
      </c>
      <c r="J840" s="40">
        <f t="shared" si="204"/>
        <v>0</v>
      </c>
      <c r="K840" s="41">
        <f t="shared" si="205"/>
        <v>0</v>
      </c>
      <c r="L840" s="42">
        <f t="shared" si="206"/>
        <v>0</v>
      </c>
      <c r="M840" s="43">
        <f t="shared" si="207"/>
        <v>0</v>
      </c>
      <c r="N840" s="44">
        <f t="shared" si="208"/>
        <v>0</v>
      </c>
      <c r="O840" s="45">
        <f t="shared" si="209"/>
        <v>0</v>
      </c>
      <c r="P840" s="19">
        <f t="shared" si="210"/>
        <v>0</v>
      </c>
      <c r="Q840" s="177">
        <v>75</v>
      </c>
      <c r="R840" s="40">
        <v>70</v>
      </c>
      <c r="S840" s="41">
        <v>70</v>
      </c>
      <c r="T840" s="42">
        <v>98</v>
      </c>
      <c r="U840" s="43">
        <v>70</v>
      </c>
      <c r="V840" s="44">
        <v>93</v>
      </c>
      <c r="W840" s="45">
        <v>476</v>
      </c>
      <c r="X840" s="19">
        <v>79.33</v>
      </c>
      <c r="AX840" s="174" t="b">
        <f>IF('Refined Compare'!$D$2="All",TRUE,IF(F840='Refined Compare'!$D$2,TRUE,IF(G840='Refined Compare'!$D$2,TRUE,FALSE)))</f>
        <v>0</v>
      </c>
      <c r="AY840" s="174" t="b">
        <f>IF('Refined Compare'!$D$3="All",TRUE,IF(F840='Refined Compare'!$D$3,TRUE,IF(G840='Refined Compare'!$D$3,TRUE,FALSE)))</f>
        <v>0</v>
      </c>
      <c r="AZ840" s="174" t="b">
        <f t="shared" si="213"/>
        <v>0</v>
      </c>
    </row>
    <row r="841" spans="1:52" x14ac:dyDescent="0.35">
      <c r="A841">
        <f t="shared" si="200"/>
        <v>840</v>
      </c>
      <c r="B841" s="18" t="s">
        <v>1012</v>
      </c>
      <c r="C841" s="61">
        <v>7</v>
      </c>
      <c r="D841" s="61"/>
      <c r="E841" s="61"/>
      <c r="F841" s="66" t="s">
        <v>811</v>
      </c>
      <c r="G841" s="66" t="s">
        <v>815</v>
      </c>
      <c r="H841" s="179" t="s">
        <v>900</v>
      </c>
      <c r="I841" s="39">
        <f t="shared" si="203"/>
        <v>0</v>
      </c>
      <c r="J841" s="40">
        <f t="shared" si="204"/>
        <v>0</v>
      </c>
      <c r="K841" s="41">
        <f t="shared" si="205"/>
        <v>0</v>
      </c>
      <c r="L841" s="42">
        <f t="shared" si="206"/>
        <v>0</v>
      </c>
      <c r="M841" s="43">
        <f t="shared" si="207"/>
        <v>0</v>
      </c>
      <c r="N841" s="44">
        <f t="shared" si="208"/>
        <v>0</v>
      </c>
      <c r="O841" s="45">
        <f t="shared" si="209"/>
        <v>0</v>
      </c>
      <c r="P841" s="19">
        <f t="shared" si="210"/>
        <v>0</v>
      </c>
      <c r="Q841" s="177">
        <v>40</v>
      </c>
      <c r="R841" s="40">
        <v>45</v>
      </c>
      <c r="S841" s="41">
        <v>40</v>
      </c>
      <c r="T841" s="42">
        <v>55</v>
      </c>
      <c r="U841" s="43">
        <v>40</v>
      </c>
      <c r="V841" s="44">
        <v>84</v>
      </c>
      <c r="W841" s="45">
        <f t="shared" si="211"/>
        <v>304</v>
      </c>
      <c r="X841" s="19">
        <f t="shared" si="212"/>
        <v>50.67</v>
      </c>
      <c r="AX841" s="174" t="b">
        <f>IF('Refined Compare'!$D$2="All",TRUE,IF(F841='Refined Compare'!$D$2,TRUE,IF(G841='Refined Compare'!$D$2,TRUE,FALSE)))</f>
        <v>0</v>
      </c>
      <c r="AY841" s="174" t="b">
        <f>IF('Refined Compare'!$D$3="All",TRUE,IF(F841='Refined Compare'!$D$3,TRUE,IF(G841='Refined Compare'!$D$3,TRUE,FALSE)))</f>
        <v>0</v>
      </c>
      <c r="AZ841" s="174" t="b">
        <f t="shared" si="213"/>
        <v>0</v>
      </c>
    </row>
    <row r="842" spans="1:52" x14ac:dyDescent="0.35">
      <c r="A842">
        <f t="shared" si="200"/>
        <v>841</v>
      </c>
      <c r="B842" s="18" t="s">
        <v>1013</v>
      </c>
      <c r="C842" s="61">
        <v>7</v>
      </c>
      <c r="D842" s="118" t="b">
        <v>1</v>
      </c>
      <c r="E842" s="61"/>
      <c r="F842" s="66" t="s">
        <v>811</v>
      </c>
      <c r="G842" s="66" t="s">
        <v>815</v>
      </c>
      <c r="H842" s="179" t="s">
        <v>901</v>
      </c>
      <c r="I842" s="39">
        <f t="shared" si="203"/>
        <v>0</v>
      </c>
      <c r="J842" s="40">
        <f t="shared" si="204"/>
        <v>0</v>
      </c>
      <c r="K842" s="41">
        <f t="shared" si="205"/>
        <v>0</v>
      </c>
      <c r="L842" s="42">
        <f t="shared" si="206"/>
        <v>0</v>
      </c>
      <c r="M842" s="43">
        <f t="shared" si="207"/>
        <v>0</v>
      </c>
      <c r="N842" s="44">
        <f t="shared" si="208"/>
        <v>0</v>
      </c>
      <c r="O842" s="45">
        <f t="shared" si="209"/>
        <v>0</v>
      </c>
      <c r="P842" s="19">
        <f t="shared" si="210"/>
        <v>0</v>
      </c>
      <c r="Q842" s="177">
        <v>60</v>
      </c>
      <c r="R842" s="40">
        <v>55</v>
      </c>
      <c r="S842" s="41">
        <v>60</v>
      </c>
      <c r="T842" s="42">
        <v>95</v>
      </c>
      <c r="U842" s="43">
        <v>70</v>
      </c>
      <c r="V842" s="44">
        <v>124</v>
      </c>
      <c r="W842" s="45">
        <f t="shared" si="211"/>
        <v>464</v>
      </c>
      <c r="X842" s="19">
        <f t="shared" si="212"/>
        <v>77.33</v>
      </c>
      <c r="AX842" s="174" t="b">
        <f>IF('Refined Compare'!$D$2="All",TRUE,IF(F842='Refined Compare'!$D$2,TRUE,IF(G842='Refined Compare'!$D$2,TRUE,FALSE)))</f>
        <v>0</v>
      </c>
      <c r="AY842" s="174" t="b">
        <f>IF('Refined Compare'!$D$3="All",TRUE,IF(F842='Refined Compare'!$D$3,TRUE,IF(G842='Refined Compare'!$D$3,TRUE,FALSE)))</f>
        <v>0</v>
      </c>
      <c r="AZ842" s="174" t="b">
        <f t="shared" si="213"/>
        <v>0</v>
      </c>
    </row>
    <row r="843" spans="1:52" x14ac:dyDescent="0.35">
      <c r="A843">
        <f t="shared" si="200"/>
        <v>842</v>
      </c>
      <c r="B843" s="18" t="s">
        <v>1014</v>
      </c>
      <c r="C843" s="61">
        <v>7</v>
      </c>
      <c r="D843" s="61"/>
      <c r="E843" s="61"/>
      <c r="F843" s="66" t="s">
        <v>818</v>
      </c>
      <c r="G843" s="66" t="s">
        <v>827</v>
      </c>
      <c r="H843" s="179" t="s">
        <v>902</v>
      </c>
      <c r="I843" s="39">
        <f t="shared" si="203"/>
        <v>0</v>
      </c>
      <c r="J843" s="40">
        <f t="shared" si="204"/>
        <v>0</v>
      </c>
      <c r="K843" s="41">
        <f t="shared" si="205"/>
        <v>0</v>
      </c>
      <c r="L843" s="42">
        <f t="shared" si="206"/>
        <v>0</v>
      </c>
      <c r="M843" s="43">
        <f t="shared" si="207"/>
        <v>0</v>
      </c>
      <c r="N843" s="44">
        <f t="shared" si="208"/>
        <v>0</v>
      </c>
      <c r="O843" s="45">
        <f t="shared" si="209"/>
        <v>0</v>
      </c>
      <c r="P843" s="19">
        <f t="shared" si="210"/>
        <v>0</v>
      </c>
      <c r="Q843" s="177">
        <v>45</v>
      </c>
      <c r="R843" s="40">
        <v>65</v>
      </c>
      <c r="S843" s="41">
        <v>40</v>
      </c>
      <c r="T843" s="42">
        <v>30</v>
      </c>
      <c r="U843" s="43">
        <v>40</v>
      </c>
      <c r="V843" s="44">
        <v>60</v>
      </c>
      <c r="W843" s="45">
        <f t="shared" si="211"/>
        <v>280</v>
      </c>
      <c r="X843" s="19">
        <f t="shared" si="212"/>
        <v>46.67</v>
      </c>
      <c r="AX843" s="174" t="b">
        <f>IF('Refined Compare'!$D$2="All",TRUE,IF(F843='Refined Compare'!$D$2,TRUE,IF(G843='Refined Compare'!$D$2,TRUE,FALSE)))</f>
        <v>0</v>
      </c>
      <c r="AY843" s="174" t="b">
        <f>IF('Refined Compare'!$D$3="All",TRUE,IF(F843='Refined Compare'!$D$3,TRUE,IF(G843='Refined Compare'!$D$3,TRUE,FALSE)))</f>
        <v>1</v>
      </c>
      <c r="AZ843" s="174" t="b">
        <f t="shared" si="213"/>
        <v>0</v>
      </c>
    </row>
    <row r="844" spans="1:52" x14ac:dyDescent="0.35">
      <c r="A844">
        <f t="shared" si="200"/>
        <v>843</v>
      </c>
      <c r="B844" s="18" t="s">
        <v>1015</v>
      </c>
      <c r="C844" s="61">
        <v>7</v>
      </c>
      <c r="D844" s="118" t="b">
        <v>1</v>
      </c>
      <c r="E844" s="61"/>
      <c r="F844" s="66" t="s">
        <v>818</v>
      </c>
      <c r="G844" s="66" t="s">
        <v>827</v>
      </c>
      <c r="H844" s="179" t="s">
        <v>903</v>
      </c>
      <c r="I844" s="39">
        <f t="shared" si="203"/>
        <v>0</v>
      </c>
      <c r="J844" s="40">
        <f t="shared" si="204"/>
        <v>0</v>
      </c>
      <c r="K844" s="41">
        <f t="shared" si="205"/>
        <v>0</v>
      </c>
      <c r="L844" s="42">
        <f t="shared" si="206"/>
        <v>0</v>
      </c>
      <c r="M844" s="43">
        <f t="shared" si="207"/>
        <v>0</v>
      </c>
      <c r="N844" s="44">
        <f t="shared" si="208"/>
        <v>0</v>
      </c>
      <c r="O844" s="45">
        <f t="shared" si="209"/>
        <v>0</v>
      </c>
      <c r="P844" s="19">
        <f t="shared" si="210"/>
        <v>0</v>
      </c>
      <c r="Q844" s="177">
        <v>75</v>
      </c>
      <c r="R844" s="40">
        <v>115</v>
      </c>
      <c r="S844" s="41">
        <v>65</v>
      </c>
      <c r="T844" s="42">
        <v>55</v>
      </c>
      <c r="U844" s="43">
        <v>65</v>
      </c>
      <c r="V844" s="44">
        <v>112</v>
      </c>
      <c r="W844" s="45">
        <f t="shared" si="211"/>
        <v>487</v>
      </c>
      <c r="X844" s="19">
        <f t="shared" si="212"/>
        <v>81.17</v>
      </c>
      <c r="AX844" s="174" t="b">
        <f>IF('Refined Compare'!$D$2="All",TRUE,IF(F844='Refined Compare'!$D$2,TRUE,IF(G844='Refined Compare'!$D$2,TRUE,FALSE)))</f>
        <v>0</v>
      </c>
      <c r="AY844" s="174" t="b">
        <f>IF('Refined Compare'!$D$3="All",TRUE,IF(F844='Refined Compare'!$D$3,TRUE,IF(G844='Refined Compare'!$D$3,TRUE,FALSE)))</f>
        <v>1</v>
      </c>
      <c r="AZ844" s="174" t="b">
        <f t="shared" si="213"/>
        <v>0</v>
      </c>
    </row>
    <row r="845" spans="1:52" x14ac:dyDescent="0.35">
      <c r="A845">
        <f t="shared" si="200"/>
        <v>844</v>
      </c>
      <c r="B845" s="18" t="s">
        <v>1016</v>
      </c>
      <c r="C845" s="61">
        <v>7</v>
      </c>
      <c r="D845" s="118"/>
      <c r="E845" s="61"/>
      <c r="F845" s="66" t="s">
        <v>810</v>
      </c>
      <c r="G845" s="66" t="s">
        <v>827</v>
      </c>
      <c r="H845" s="179" t="s">
        <v>904</v>
      </c>
      <c r="I845" s="39">
        <f t="shared" si="203"/>
        <v>0</v>
      </c>
      <c r="J845" s="40">
        <f t="shared" si="204"/>
        <v>0</v>
      </c>
      <c r="K845" s="41">
        <f t="shared" si="205"/>
        <v>0</v>
      </c>
      <c r="L845" s="42">
        <f t="shared" si="206"/>
        <v>0</v>
      </c>
      <c r="M845" s="43">
        <f t="shared" si="207"/>
        <v>0</v>
      </c>
      <c r="N845" s="44">
        <f t="shared" si="208"/>
        <v>0</v>
      </c>
      <c r="O845" s="45">
        <f t="shared" si="209"/>
        <v>0</v>
      </c>
      <c r="P845" s="19">
        <f t="shared" si="210"/>
        <v>0</v>
      </c>
      <c r="Q845" s="177">
        <v>45</v>
      </c>
      <c r="R845" s="40">
        <v>20</v>
      </c>
      <c r="S845" s="41">
        <v>20</v>
      </c>
      <c r="T845" s="42">
        <v>25</v>
      </c>
      <c r="U845" s="43">
        <v>25</v>
      </c>
      <c r="V845" s="44">
        <v>40</v>
      </c>
      <c r="W845" s="45">
        <f t="shared" si="211"/>
        <v>175</v>
      </c>
      <c r="X845" s="19">
        <f t="shared" si="212"/>
        <v>29.17</v>
      </c>
      <c r="AX845" s="174" t="b">
        <f>IF('Refined Compare'!$D$2="All",TRUE,IF(F845='Refined Compare'!$D$2,TRUE,IF(G845='Refined Compare'!$D$2,TRUE,FALSE)))</f>
        <v>0</v>
      </c>
      <c r="AY845" s="174" t="b">
        <f>IF('Refined Compare'!$D$3="All",TRUE,IF(F845='Refined Compare'!$D$3,TRUE,IF(G845='Refined Compare'!$D$3,TRUE,FALSE)))</f>
        <v>1</v>
      </c>
      <c r="AZ845" s="174" t="b">
        <f t="shared" si="213"/>
        <v>0</v>
      </c>
    </row>
    <row r="846" spans="1:52" x14ac:dyDescent="0.35">
      <c r="A846">
        <f t="shared" si="200"/>
        <v>845</v>
      </c>
      <c r="B846" s="18">
        <v>746</v>
      </c>
      <c r="C846" s="61">
        <v>7</v>
      </c>
      <c r="D846" s="118" t="b">
        <v>1</v>
      </c>
      <c r="E846" s="61"/>
      <c r="F846" s="66" t="s">
        <v>810</v>
      </c>
      <c r="G846" s="66" t="s">
        <v>827</v>
      </c>
      <c r="H846" s="179" t="s">
        <v>988</v>
      </c>
      <c r="I846" s="39">
        <f t="shared" si="203"/>
        <v>0</v>
      </c>
      <c r="J846" s="40">
        <f t="shared" si="204"/>
        <v>0</v>
      </c>
      <c r="K846" s="41">
        <f t="shared" si="205"/>
        <v>0</v>
      </c>
      <c r="L846" s="42">
        <f t="shared" si="206"/>
        <v>0</v>
      </c>
      <c r="M846" s="43">
        <f t="shared" si="207"/>
        <v>0</v>
      </c>
      <c r="N846" s="44">
        <f t="shared" si="208"/>
        <v>0</v>
      </c>
      <c r="O846" s="45">
        <f t="shared" si="209"/>
        <v>0</v>
      </c>
      <c r="P846" s="19">
        <f t="shared" si="210"/>
        <v>0</v>
      </c>
      <c r="Q846" s="177">
        <v>45</v>
      </c>
      <c r="R846" s="40">
        <v>140</v>
      </c>
      <c r="S846" s="41">
        <v>130</v>
      </c>
      <c r="T846" s="42">
        <v>140</v>
      </c>
      <c r="U846" s="43">
        <v>135</v>
      </c>
      <c r="V846" s="44">
        <v>30</v>
      </c>
      <c r="W846" s="45">
        <f t="shared" ref="W846" si="214">SUM(Q846:V846)</f>
        <v>620</v>
      </c>
      <c r="X846" s="19">
        <f t="shared" ref="X846" si="215">ROUND(AVERAGE(Q846:V846),2)</f>
        <v>103.33</v>
      </c>
      <c r="AX846" s="174" t="b">
        <f>IF('Refined Compare'!$D$2="All",TRUE,IF(F846='Refined Compare'!$D$2,TRUE,IF(G846='Refined Compare'!$D$2,TRUE,FALSE)))</f>
        <v>0</v>
      </c>
      <c r="AY846" s="174" t="b">
        <f>IF('Refined Compare'!$D$3="All",TRUE,IF(F846='Refined Compare'!$D$3,TRUE,IF(G846='Refined Compare'!$D$3,TRUE,FALSE)))</f>
        <v>1</v>
      </c>
      <c r="AZ846" s="174" t="b">
        <f t="shared" si="213"/>
        <v>0</v>
      </c>
    </row>
    <row r="847" spans="1:52" x14ac:dyDescent="0.35">
      <c r="A847">
        <f t="shared" ref="A847:A902" si="216">A846+1</f>
        <v>846</v>
      </c>
      <c r="B847" s="18" t="s">
        <v>1017</v>
      </c>
      <c r="C847" s="61">
        <v>7</v>
      </c>
      <c r="D847" s="118"/>
      <c r="E847" s="61"/>
      <c r="F847" s="66" t="s">
        <v>807</v>
      </c>
      <c r="G847" s="66" t="s">
        <v>810</v>
      </c>
      <c r="H847" s="179" t="s">
        <v>905</v>
      </c>
      <c r="I847" s="39">
        <f t="shared" si="203"/>
        <v>0</v>
      </c>
      <c r="J847" s="40">
        <f t="shared" si="204"/>
        <v>0</v>
      </c>
      <c r="K847" s="41">
        <f t="shared" si="205"/>
        <v>0</v>
      </c>
      <c r="L847" s="42">
        <f t="shared" si="206"/>
        <v>0</v>
      </c>
      <c r="M847" s="43">
        <f t="shared" si="207"/>
        <v>0</v>
      </c>
      <c r="N847" s="44">
        <f t="shared" si="208"/>
        <v>0</v>
      </c>
      <c r="O847" s="45">
        <f t="shared" si="209"/>
        <v>0</v>
      </c>
      <c r="P847" s="19">
        <f t="shared" si="210"/>
        <v>0</v>
      </c>
      <c r="Q847" s="177">
        <v>50</v>
      </c>
      <c r="R847" s="40">
        <v>53</v>
      </c>
      <c r="S847" s="41">
        <v>62</v>
      </c>
      <c r="T847" s="42">
        <v>43</v>
      </c>
      <c r="U847" s="43">
        <v>52</v>
      </c>
      <c r="V847" s="44">
        <v>45</v>
      </c>
      <c r="W847" s="45">
        <f t="shared" si="211"/>
        <v>305</v>
      </c>
      <c r="X847" s="19">
        <f t="shared" si="212"/>
        <v>50.83</v>
      </c>
      <c r="AX847" s="174" t="b">
        <f>IF('Refined Compare'!$D$2="All",TRUE,IF(F847='Refined Compare'!$D$2,TRUE,IF(G847='Refined Compare'!$D$2,TRUE,FALSE)))</f>
        <v>0</v>
      </c>
      <c r="AY847" s="174" t="b">
        <f>IF('Refined Compare'!$D$3="All",TRUE,IF(F847='Refined Compare'!$D$3,TRUE,IF(G847='Refined Compare'!$D$3,TRUE,FALSE)))</f>
        <v>0</v>
      </c>
      <c r="AZ847" s="174" t="b">
        <f t="shared" si="213"/>
        <v>0</v>
      </c>
    </row>
    <row r="848" spans="1:52" x14ac:dyDescent="0.35">
      <c r="A848">
        <f t="shared" si="216"/>
        <v>847</v>
      </c>
      <c r="B848" s="18" t="s">
        <v>1018</v>
      </c>
      <c r="C848" s="61">
        <v>7</v>
      </c>
      <c r="D848" s="118" t="b">
        <v>1</v>
      </c>
      <c r="E848" s="61"/>
      <c r="F848" s="66" t="s">
        <v>807</v>
      </c>
      <c r="G848" s="66" t="s">
        <v>810</v>
      </c>
      <c r="H848" s="179" t="s">
        <v>906</v>
      </c>
      <c r="I848" s="39">
        <f t="shared" si="203"/>
        <v>0</v>
      </c>
      <c r="J848" s="40">
        <f t="shared" si="204"/>
        <v>0</v>
      </c>
      <c r="K848" s="41">
        <f t="shared" si="205"/>
        <v>0</v>
      </c>
      <c r="L848" s="42">
        <f t="shared" si="206"/>
        <v>0</v>
      </c>
      <c r="M848" s="43">
        <f t="shared" si="207"/>
        <v>0</v>
      </c>
      <c r="N848" s="44">
        <f t="shared" si="208"/>
        <v>0</v>
      </c>
      <c r="O848" s="45">
        <f t="shared" si="209"/>
        <v>0</v>
      </c>
      <c r="P848" s="19">
        <f t="shared" si="210"/>
        <v>0</v>
      </c>
      <c r="Q848" s="177">
        <v>50</v>
      </c>
      <c r="R848" s="40">
        <v>63</v>
      </c>
      <c r="S848" s="41">
        <v>152</v>
      </c>
      <c r="T848" s="42">
        <v>53</v>
      </c>
      <c r="U848" s="43">
        <v>142</v>
      </c>
      <c r="V848" s="44">
        <v>35</v>
      </c>
      <c r="W848" s="45">
        <f t="shared" si="211"/>
        <v>495</v>
      </c>
      <c r="X848" s="19">
        <f t="shared" si="212"/>
        <v>82.5</v>
      </c>
      <c r="AX848" s="174" t="b">
        <f>IF('Refined Compare'!$D$2="All",TRUE,IF(F848='Refined Compare'!$D$2,TRUE,IF(G848='Refined Compare'!$D$2,TRUE,FALSE)))</f>
        <v>0</v>
      </c>
      <c r="AY848" s="174" t="b">
        <f>IF('Refined Compare'!$D$3="All",TRUE,IF(F848='Refined Compare'!$D$3,TRUE,IF(G848='Refined Compare'!$D$3,TRUE,FALSE)))</f>
        <v>0</v>
      </c>
      <c r="AZ848" s="174" t="b">
        <f t="shared" si="213"/>
        <v>0</v>
      </c>
    </row>
    <row r="849" spans="1:52" x14ac:dyDescent="0.35">
      <c r="A849">
        <f t="shared" si="216"/>
        <v>848</v>
      </c>
      <c r="B849" s="18" t="s">
        <v>1019</v>
      </c>
      <c r="C849" s="61">
        <v>7</v>
      </c>
      <c r="D849" s="61"/>
      <c r="E849" s="61"/>
      <c r="F849" s="66" t="s">
        <v>814</v>
      </c>
      <c r="G849" s="66" t="s">
        <v>827</v>
      </c>
      <c r="H849" s="179" t="s">
        <v>907</v>
      </c>
      <c r="I849" s="39">
        <f t="shared" si="203"/>
        <v>0</v>
      </c>
      <c r="J849" s="40">
        <f t="shared" si="204"/>
        <v>0</v>
      </c>
      <c r="K849" s="41">
        <f t="shared" si="205"/>
        <v>0</v>
      </c>
      <c r="L849" s="42">
        <f t="shared" si="206"/>
        <v>0</v>
      </c>
      <c r="M849" s="43">
        <f t="shared" si="207"/>
        <v>0</v>
      </c>
      <c r="N849" s="44">
        <f t="shared" si="208"/>
        <v>0</v>
      </c>
      <c r="O849" s="45">
        <f t="shared" si="209"/>
        <v>0</v>
      </c>
      <c r="P849" s="19">
        <f t="shared" si="210"/>
        <v>0</v>
      </c>
      <c r="Q849" s="177">
        <v>70</v>
      </c>
      <c r="R849" s="40">
        <v>100</v>
      </c>
      <c r="S849" s="41">
        <v>70</v>
      </c>
      <c r="T849" s="42">
        <v>45</v>
      </c>
      <c r="U849" s="43">
        <v>55</v>
      </c>
      <c r="V849" s="44">
        <v>45</v>
      </c>
      <c r="W849" s="45">
        <f t="shared" si="211"/>
        <v>385</v>
      </c>
      <c r="X849" s="19">
        <f t="shared" si="212"/>
        <v>64.17</v>
      </c>
      <c r="AX849" s="174" t="b">
        <f>IF('Refined Compare'!$D$2="All",TRUE,IF(F849='Refined Compare'!$D$2,TRUE,IF(G849='Refined Compare'!$D$2,TRUE,FALSE)))</f>
        <v>0</v>
      </c>
      <c r="AY849" s="174" t="b">
        <f>IF('Refined Compare'!$D$3="All",TRUE,IF(F849='Refined Compare'!$D$3,TRUE,IF(G849='Refined Compare'!$D$3,TRUE,FALSE)))</f>
        <v>1</v>
      </c>
      <c r="AZ849" s="174" t="b">
        <f t="shared" si="213"/>
        <v>0</v>
      </c>
    </row>
    <row r="850" spans="1:52" x14ac:dyDescent="0.35">
      <c r="A850">
        <f t="shared" si="216"/>
        <v>849</v>
      </c>
      <c r="B850" s="18" t="s">
        <v>1020</v>
      </c>
      <c r="C850" s="61">
        <v>7</v>
      </c>
      <c r="D850" s="61" t="b">
        <v>1</v>
      </c>
      <c r="E850" s="61"/>
      <c r="F850" s="66" t="s">
        <v>814</v>
      </c>
      <c r="G850" s="66" t="s">
        <v>827</v>
      </c>
      <c r="H850" s="179" t="s">
        <v>908</v>
      </c>
      <c r="I850" s="39">
        <f t="shared" si="203"/>
        <v>0</v>
      </c>
      <c r="J850" s="40">
        <f t="shared" si="204"/>
        <v>0</v>
      </c>
      <c r="K850" s="41">
        <f t="shared" si="205"/>
        <v>0</v>
      </c>
      <c r="L850" s="42">
        <f t="shared" si="206"/>
        <v>0</v>
      </c>
      <c r="M850" s="43">
        <f t="shared" si="207"/>
        <v>0</v>
      </c>
      <c r="N850" s="44">
        <f t="shared" si="208"/>
        <v>0</v>
      </c>
      <c r="O850" s="45">
        <f t="shared" si="209"/>
        <v>0</v>
      </c>
      <c r="P850" s="19">
        <f t="shared" si="210"/>
        <v>0</v>
      </c>
      <c r="Q850" s="177">
        <v>100</v>
      </c>
      <c r="R850" s="40">
        <v>125</v>
      </c>
      <c r="S850" s="41">
        <v>100</v>
      </c>
      <c r="T850" s="42">
        <v>55</v>
      </c>
      <c r="U850" s="43">
        <v>85</v>
      </c>
      <c r="V850" s="44">
        <v>35</v>
      </c>
      <c r="W850" s="45">
        <f t="shared" si="211"/>
        <v>500</v>
      </c>
      <c r="X850" s="19">
        <f t="shared" si="212"/>
        <v>83.33</v>
      </c>
      <c r="AX850" s="174" t="b">
        <f>IF('Refined Compare'!$D$2="All",TRUE,IF(F850='Refined Compare'!$D$2,TRUE,IF(G850='Refined Compare'!$D$2,TRUE,FALSE)))</f>
        <v>0</v>
      </c>
      <c r="AY850" s="174" t="b">
        <f>IF('Refined Compare'!$D$3="All",TRUE,IF(F850='Refined Compare'!$D$3,TRUE,IF(G850='Refined Compare'!$D$3,TRUE,FALSE)))</f>
        <v>1</v>
      </c>
      <c r="AZ850" s="174" t="b">
        <f t="shared" si="213"/>
        <v>0</v>
      </c>
    </row>
    <row r="851" spans="1:52" x14ac:dyDescent="0.35">
      <c r="A851">
        <f t="shared" si="216"/>
        <v>850</v>
      </c>
      <c r="B851" s="18" t="s">
        <v>1021</v>
      </c>
      <c r="C851" s="61">
        <v>7</v>
      </c>
      <c r="D851" s="118"/>
      <c r="E851" s="61"/>
      <c r="F851" s="66" t="s">
        <v>810</v>
      </c>
      <c r="G851" s="66" t="s">
        <v>811</v>
      </c>
      <c r="H851" s="179" t="s">
        <v>909</v>
      </c>
      <c r="I851" s="39">
        <f t="shared" si="203"/>
        <v>0</v>
      </c>
      <c r="J851" s="40">
        <f t="shared" si="204"/>
        <v>0</v>
      </c>
      <c r="K851" s="41">
        <f t="shared" si="205"/>
        <v>0</v>
      </c>
      <c r="L851" s="42">
        <f t="shared" si="206"/>
        <v>0</v>
      </c>
      <c r="M851" s="43">
        <f t="shared" si="207"/>
        <v>0</v>
      </c>
      <c r="N851" s="44">
        <f t="shared" si="208"/>
        <v>0</v>
      </c>
      <c r="O851" s="45">
        <f t="shared" si="209"/>
        <v>0</v>
      </c>
      <c r="P851" s="19">
        <f t="shared" si="210"/>
        <v>0</v>
      </c>
      <c r="Q851" s="177">
        <v>38</v>
      </c>
      <c r="R851" s="40">
        <v>40</v>
      </c>
      <c r="S851" s="41">
        <v>52</v>
      </c>
      <c r="T851" s="42">
        <v>40</v>
      </c>
      <c r="U851" s="43">
        <v>72</v>
      </c>
      <c r="V851" s="44">
        <v>27</v>
      </c>
      <c r="W851" s="45">
        <f t="shared" si="211"/>
        <v>269</v>
      </c>
      <c r="X851" s="19">
        <f t="shared" si="212"/>
        <v>44.83</v>
      </c>
      <c r="AX851" s="174" t="b">
        <f>IF('Refined Compare'!$D$2="All",TRUE,IF(F851='Refined Compare'!$D$2,TRUE,IF(G851='Refined Compare'!$D$2,TRUE,FALSE)))</f>
        <v>0</v>
      </c>
      <c r="AY851" s="174" t="b">
        <f>IF('Refined Compare'!$D$3="All",TRUE,IF(F851='Refined Compare'!$D$3,TRUE,IF(G851='Refined Compare'!$D$3,TRUE,FALSE)))</f>
        <v>0</v>
      </c>
      <c r="AZ851" s="174" t="b">
        <f t="shared" si="213"/>
        <v>0</v>
      </c>
    </row>
    <row r="852" spans="1:52" x14ac:dyDescent="0.35">
      <c r="A852">
        <f t="shared" si="216"/>
        <v>851</v>
      </c>
      <c r="B852" s="18" t="s">
        <v>1022</v>
      </c>
      <c r="C852" s="61">
        <v>7</v>
      </c>
      <c r="D852" s="118" t="b">
        <v>1</v>
      </c>
      <c r="E852" s="61"/>
      <c r="F852" s="66" t="s">
        <v>810</v>
      </c>
      <c r="G852" s="66" t="s">
        <v>811</v>
      </c>
      <c r="H852" s="179" t="s">
        <v>910</v>
      </c>
      <c r="I852" s="39">
        <f t="shared" si="203"/>
        <v>0</v>
      </c>
      <c r="J852" s="40">
        <f t="shared" si="204"/>
        <v>0</v>
      </c>
      <c r="K852" s="41">
        <f t="shared" si="205"/>
        <v>0</v>
      </c>
      <c r="L852" s="42">
        <f t="shared" si="206"/>
        <v>0</v>
      </c>
      <c r="M852" s="43">
        <f t="shared" si="207"/>
        <v>0</v>
      </c>
      <c r="N852" s="44">
        <f t="shared" si="208"/>
        <v>0</v>
      </c>
      <c r="O852" s="45">
        <f t="shared" si="209"/>
        <v>0</v>
      </c>
      <c r="P852" s="19">
        <f t="shared" si="210"/>
        <v>0</v>
      </c>
      <c r="Q852" s="177">
        <v>68</v>
      </c>
      <c r="R852" s="40">
        <v>70</v>
      </c>
      <c r="S852" s="41">
        <v>92</v>
      </c>
      <c r="T852" s="42">
        <v>50</v>
      </c>
      <c r="U852" s="43">
        <v>132</v>
      </c>
      <c r="V852" s="44">
        <v>42</v>
      </c>
      <c r="W852" s="45">
        <f t="shared" si="211"/>
        <v>454</v>
      </c>
      <c r="X852" s="19">
        <f t="shared" si="212"/>
        <v>75.67</v>
      </c>
      <c r="AX852" s="174" t="b">
        <f>IF('Refined Compare'!$D$2="All",TRUE,IF(F852='Refined Compare'!$D$2,TRUE,IF(G852='Refined Compare'!$D$2,TRUE,FALSE)))</f>
        <v>0</v>
      </c>
      <c r="AY852" s="174" t="b">
        <f>IF('Refined Compare'!$D$3="All",TRUE,IF(F852='Refined Compare'!$D$3,TRUE,IF(G852='Refined Compare'!$D$3,TRUE,FALSE)))</f>
        <v>0</v>
      </c>
      <c r="AZ852" s="174" t="b">
        <f t="shared" si="213"/>
        <v>0</v>
      </c>
    </row>
    <row r="853" spans="1:52" x14ac:dyDescent="0.35">
      <c r="A853">
        <f t="shared" si="216"/>
        <v>852</v>
      </c>
      <c r="B853" s="18" t="s">
        <v>1023</v>
      </c>
      <c r="C853" s="61">
        <v>7</v>
      </c>
      <c r="D853" s="61"/>
      <c r="E853" s="61"/>
      <c r="F853" s="66" t="s">
        <v>806</v>
      </c>
      <c r="G853" s="66" t="s">
        <v>827</v>
      </c>
      <c r="H853" s="179" t="s">
        <v>911</v>
      </c>
      <c r="I853" s="39">
        <f t="shared" si="203"/>
        <v>0</v>
      </c>
      <c r="J853" s="40">
        <f t="shared" si="204"/>
        <v>0</v>
      </c>
      <c r="K853" s="41">
        <f t="shared" si="205"/>
        <v>0</v>
      </c>
      <c r="L853" s="42">
        <f t="shared" si="206"/>
        <v>0</v>
      </c>
      <c r="M853" s="43">
        <f t="shared" si="207"/>
        <v>0</v>
      </c>
      <c r="N853" s="44">
        <f t="shared" si="208"/>
        <v>0</v>
      </c>
      <c r="O853" s="45">
        <f t="shared" si="209"/>
        <v>0</v>
      </c>
      <c r="P853" s="19">
        <f t="shared" si="210"/>
        <v>0</v>
      </c>
      <c r="Q853" s="177">
        <v>40</v>
      </c>
      <c r="R853" s="40">
        <v>55</v>
      </c>
      <c r="S853" s="41">
        <v>35</v>
      </c>
      <c r="T853" s="42">
        <v>50</v>
      </c>
      <c r="U853" s="43">
        <v>35</v>
      </c>
      <c r="V853" s="44">
        <v>35</v>
      </c>
      <c r="W853" s="45">
        <f t="shared" si="211"/>
        <v>250</v>
      </c>
      <c r="X853" s="19">
        <f t="shared" si="212"/>
        <v>41.67</v>
      </c>
      <c r="AX853" s="174" t="b">
        <f>IF('Refined Compare'!$D$2="All",TRUE,IF(F853='Refined Compare'!$D$2,TRUE,IF(G853='Refined Compare'!$D$2,TRUE,FALSE)))</f>
        <v>0</v>
      </c>
      <c r="AY853" s="174" t="b">
        <f>IF('Refined Compare'!$D$3="All",TRUE,IF(F853='Refined Compare'!$D$3,TRUE,IF(G853='Refined Compare'!$D$3,TRUE,FALSE)))</f>
        <v>1</v>
      </c>
      <c r="AZ853" s="174" t="b">
        <f t="shared" si="213"/>
        <v>0</v>
      </c>
    </row>
    <row r="854" spans="1:52" x14ac:dyDescent="0.35">
      <c r="A854">
        <f t="shared" si="216"/>
        <v>853</v>
      </c>
      <c r="B854" s="18" t="s">
        <v>1024</v>
      </c>
      <c r="C854" s="61">
        <v>7</v>
      </c>
      <c r="D854" s="118" t="b">
        <v>1</v>
      </c>
      <c r="E854" s="61"/>
      <c r="F854" s="66" t="s">
        <v>806</v>
      </c>
      <c r="G854" s="66" t="s">
        <v>827</v>
      </c>
      <c r="H854" s="179" t="s">
        <v>912</v>
      </c>
      <c r="I854" s="39">
        <f t="shared" ref="I854:I902" si="217">IF($AW$2=7,Q854,IF($AW$2=6,Y854,IF($AW$2=1,AO854,AG854)))</f>
        <v>0</v>
      </c>
      <c r="J854" s="40">
        <f t="shared" ref="J854:J902" si="218">IF($AW$2=7,R854,IF($AW$2=6,Z854,IF($AW$2=1,AP854,AH854)))</f>
        <v>0</v>
      </c>
      <c r="K854" s="41">
        <f t="shared" ref="K854:K902" si="219">IF($AW$2=7,S854,IF($AW$2=6,AA854,IF($AW$2=1,AQ854,AI854)))</f>
        <v>0</v>
      </c>
      <c r="L854" s="42">
        <f t="shared" ref="L854:L902" si="220">IF($AW$2=7,T854,IF($AW$2=6,AB854,IF($AW$2=1,AR854,AJ854)))</f>
        <v>0</v>
      </c>
      <c r="M854" s="43">
        <f t="shared" ref="M854:M902" si="221">IF($AW$2=7,U854,IF($AW$2=6,AC854,IF($AW$2=1,AS854,AK854)))</f>
        <v>0</v>
      </c>
      <c r="N854" s="44">
        <f t="shared" ref="N854:N902" si="222">IF($AW$2=7,V854,IF($AW$2=6,AD854,IF($AW$2=1,AT854,AL854)))</f>
        <v>0</v>
      </c>
      <c r="O854" s="45">
        <f t="shared" ref="O854:O902" si="223">IF($AW$2=7,W854,IF($AW$2=6,AE854,IF($AW$2=1,AU854,AM854)))</f>
        <v>0</v>
      </c>
      <c r="P854" s="19">
        <f t="shared" ref="P854:P902" si="224">IF($AW$2=7,X854,IF($AW$2=6,AF854,IF($AW$2=1,AV854,AN854)))</f>
        <v>0</v>
      </c>
      <c r="Q854" s="177">
        <v>70</v>
      </c>
      <c r="R854" s="40">
        <v>105</v>
      </c>
      <c r="S854" s="41">
        <v>90</v>
      </c>
      <c r="T854" s="42">
        <v>80</v>
      </c>
      <c r="U854" s="43">
        <v>90</v>
      </c>
      <c r="V854" s="44">
        <v>45</v>
      </c>
      <c r="W854" s="45">
        <f t="shared" si="211"/>
        <v>480</v>
      </c>
      <c r="X854" s="19">
        <f t="shared" si="212"/>
        <v>80</v>
      </c>
      <c r="AX854" s="174" t="b">
        <f>IF('Refined Compare'!$D$2="All",TRUE,IF(F854='Refined Compare'!$D$2,TRUE,IF(G854='Refined Compare'!$D$2,TRUE,FALSE)))</f>
        <v>0</v>
      </c>
      <c r="AY854" s="174" t="b">
        <f>IF('Refined Compare'!$D$3="All",TRUE,IF(F854='Refined Compare'!$D$3,TRUE,IF(G854='Refined Compare'!$D$3,TRUE,FALSE)))</f>
        <v>1</v>
      </c>
      <c r="AZ854" s="174" t="b">
        <f t="shared" si="213"/>
        <v>0</v>
      </c>
    </row>
    <row r="855" spans="1:52" x14ac:dyDescent="0.35">
      <c r="A855">
        <f t="shared" si="216"/>
        <v>854</v>
      </c>
      <c r="B855" s="18" t="s">
        <v>1025</v>
      </c>
      <c r="C855" s="61">
        <v>7</v>
      </c>
      <c r="D855" s="61"/>
      <c r="E855" s="61"/>
      <c r="F855" s="66" t="s">
        <v>806</v>
      </c>
      <c r="G855" s="66" t="s">
        <v>815</v>
      </c>
      <c r="H855" s="179" t="s">
        <v>913</v>
      </c>
      <c r="I855" s="39">
        <f t="shared" si="217"/>
        <v>0</v>
      </c>
      <c r="J855" s="40">
        <f t="shared" si="218"/>
        <v>0</v>
      </c>
      <c r="K855" s="41">
        <f t="shared" si="219"/>
        <v>0</v>
      </c>
      <c r="L855" s="42">
        <f t="shared" si="220"/>
        <v>0</v>
      </c>
      <c r="M855" s="43">
        <f t="shared" si="221"/>
        <v>0</v>
      </c>
      <c r="N855" s="44">
        <f t="shared" si="222"/>
        <v>0</v>
      </c>
      <c r="O855" s="45">
        <f t="shared" si="223"/>
        <v>0</v>
      </c>
      <c r="P855" s="19">
        <f t="shared" si="224"/>
        <v>0</v>
      </c>
      <c r="Q855" s="177">
        <v>40</v>
      </c>
      <c r="R855" s="40">
        <v>35</v>
      </c>
      <c r="S855" s="41">
        <v>55</v>
      </c>
      <c r="T855" s="42">
        <v>65</v>
      </c>
      <c r="U855" s="43">
        <v>75</v>
      </c>
      <c r="V855" s="44">
        <v>15</v>
      </c>
      <c r="W855" s="45">
        <f t="shared" si="211"/>
        <v>285</v>
      </c>
      <c r="X855" s="19">
        <f t="shared" si="212"/>
        <v>47.5</v>
      </c>
      <c r="AX855" s="174" t="b">
        <f>IF('Refined Compare'!$D$2="All",TRUE,IF(F855='Refined Compare'!$D$2,TRUE,IF(G855='Refined Compare'!$D$2,TRUE,FALSE)))</f>
        <v>0</v>
      </c>
      <c r="AY855" s="174" t="b">
        <f>IF('Refined Compare'!$D$3="All",TRUE,IF(F855='Refined Compare'!$D$3,TRUE,IF(G855='Refined Compare'!$D$3,TRUE,FALSE)))</f>
        <v>0</v>
      </c>
      <c r="AZ855" s="174" t="b">
        <f t="shared" si="213"/>
        <v>0</v>
      </c>
    </row>
    <row r="856" spans="1:52" x14ac:dyDescent="0.35">
      <c r="A856">
        <f t="shared" si="216"/>
        <v>855</v>
      </c>
      <c r="B856" s="18" t="s">
        <v>1026</v>
      </c>
      <c r="C856" s="61">
        <v>7</v>
      </c>
      <c r="D856" s="61" t="b">
        <v>1</v>
      </c>
      <c r="E856" s="61"/>
      <c r="F856" s="66" t="s">
        <v>806</v>
      </c>
      <c r="G856" s="66" t="s">
        <v>815</v>
      </c>
      <c r="H856" s="179" t="s">
        <v>914</v>
      </c>
      <c r="I856" s="39">
        <f t="shared" si="217"/>
        <v>0</v>
      </c>
      <c r="J856" s="40">
        <f t="shared" si="218"/>
        <v>0</v>
      </c>
      <c r="K856" s="41">
        <f t="shared" si="219"/>
        <v>0</v>
      </c>
      <c r="L856" s="42">
        <f t="shared" si="220"/>
        <v>0</v>
      </c>
      <c r="M856" s="43">
        <f t="shared" si="221"/>
        <v>0</v>
      </c>
      <c r="N856" s="44">
        <f t="shared" si="222"/>
        <v>0</v>
      </c>
      <c r="O856" s="45">
        <f t="shared" si="223"/>
        <v>0</v>
      </c>
      <c r="P856" s="19">
        <f t="shared" si="224"/>
        <v>0</v>
      </c>
      <c r="Q856" s="177">
        <v>60</v>
      </c>
      <c r="R856" s="40">
        <v>45</v>
      </c>
      <c r="S856" s="41">
        <v>80</v>
      </c>
      <c r="T856" s="42">
        <v>90</v>
      </c>
      <c r="U856" s="43">
        <v>100</v>
      </c>
      <c r="V856" s="44">
        <v>30</v>
      </c>
      <c r="W856" s="45">
        <f t="shared" si="211"/>
        <v>405</v>
      </c>
      <c r="X856" s="19">
        <f t="shared" si="212"/>
        <v>67.5</v>
      </c>
      <c r="AX856" s="174" t="b">
        <f>IF('Refined Compare'!$D$2="All",TRUE,IF(F856='Refined Compare'!$D$2,TRUE,IF(G856='Refined Compare'!$D$2,TRUE,FALSE)))</f>
        <v>0</v>
      </c>
      <c r="AY856" s="174" t="b">
        <f>IF('Refined Compare'!$D$3="All",TRUE,IF(F856='Refined Compare'!$D$3,TRUE,IF(G856='Refined Compare'!$D$3,TRUE,FALSE)))</f>
        <v>0</v>
      </c>
      <c r="AZ856" s="174" t="b">
        <f t="shared" si="213"/>
        <v>0</v>
      </c>
    </row>
    <row r="857" spans="1:52" x14ac:dyDescent="0.35">
      <c r="A857">
        <f t="shared" si="216"/>
        <v>856</v>
      </c>
      <c r="B857" s="18" t="s">
        <v>1027</v>
      </c>
      <c r="C857" s="61">
        <v>7</v>
      </c>
      <c r="D857" s="61"/>
      <c r="E857" s="61"/>
      <c r="F857" s="66" t="s">
        <v>807</v>
      </c>
      <c r="G857" s="66" t="s">
        <v>808</v>
      </c>
      <c r="H857" s="179" t="s">
        <v>915</v>
      </c>
      <c r="I857" s="39">
        <f t="shared" si="217"/>
        <v>0</v>
      </c>
      <c r="J857" s="40">
        <f t="shared" si="218"/>
        <v>0</v>
      </c>
      <c r="K857" s="41">
        <f t="shared" si="219"/>
        <v>0</v>
      </c>
      <c r="L857" s="42">
        <f t="shared" si="220"/>
        <v>0</v>
      </c>
      <c r="M857" s="43">
        <f t="shared" si="221"/>
        <v>0</v>
      </c>
      <c r="N857" s="44">
        <f t="shared" si="222"/>
        <v>0</v>
      </c>
      <c r="O857" s="45">
        <f t="shared" si="223"/>
        <v>0</v>
      </c>
      <c r="P857" s="19">
        <f t="shared" si="224"/>
        <v>0</v>
      </c>
      <c r="Q857" s="177">
        <v>48</v>
      </c>
      <c r="R857" s="40">
        <v>44</v>
      </c>
      <c r="S857" s="41">
        <v>40</v>
      </c>
      <c r="T857" s="42">
        <v>71</v>
      </c>
      <c r="U857" s="43">
        <v>40</v>
      </c>
      <c r="V857" s="44">
        <v>77</v>
      </c>
      <c r="W857" s="45">
        <f t="shared" si="211"/>
        <v>320</v>
      </c>
      <c r="X857" s="19">
        <f t="shared" si="212"/>
        <v>53.33</v>
      </c>
      <c r="AX857" s="174" t="b">
        <f>IF('Refined Compare'!$D$2="All",TRUE,IF(F857='Refined Compare'!$D$2,TRUE,IF(G857='Refined Compare'!$D$2,TRUE,FALSE)))</f>
        <v>0</v>
      </c>
      <c r="AY857" s="174" t="b">
        <f>IF('Refined Compare'!$D$3="All",TRUE,IF(F857='Refined Compare'!$D$3,TRUE,IF(G857='Refined Compare'!$D$3,TRUE,FALSE)))</f>
        <v>0</v>
      </c>
      <c r="AZ857" s="174" t="b">
        <f t="shared" si="213"/>
        <v>0</v>
      </c>
    </row>
    <row r="858" spans="1:52" x14ac:dyDescent="0.35">
      <c r="A858">
        <f t="shared" si="216"/>
        <v>857</v>
      </c>
      <c r="B858" s="18" t="s">
        <v>1028</v>
      </c>
      <c r="C858" s="61">
        <v>7</v>
      </c>
      <c r="D858" s="61" t="b">
        <v>1</v>
      </c>
      <c r="E858" s="61"/>
      <c r="F858" s="66" t="s">
        <v>807</v>
      </c>
      <c r="G858" s="66" t="s">
        <v>808</v>
      </c>
      <c r="H858" s="179" t="s">
        <v>916</v>
      </c>
      <c r="I858" s="39">
        <f t="shared" si="217"/>
        <v>0</v>
      </c>
      <c r="J858" s="40">
        <f t="shared" si="218"/>
        <v>0</v>
      </c>
      <c r="K858" s="41">
        <f t="shared" si="219"/>
        <v>0</v>
      </c>
      <c r="L858" s="42">
        <f t="shared" si="220"/>
        <v>0</v>
      </c>
      <c r="M858" s="43">
        <f t="shared" si="221"/>
        <v>0</v>
      </c>
      <c r="N858" s="44">
        <f t="shared" si="222"/>
        <v>0</v>
      </c>
      <c r="O858" s="45">
        <f t="shared" si="223"/>
        <v>0</v>
      </c>
      <c r="P858" s="19">
        <f t="shared" si="224"/>
        <v>0</v>
      </c>
      <c r="Q858" s="177">
        <v>68</v>
      </c>
      <c r="R858" s="40">
        <v>64</v>
      </c>
      <c r="S858" s="41">
        <v>60</v>
      </c>
      <c r="T858" s="42">
        <v>111</v>
      </c>
      <c r="U858" s="43">
        <v>60</v>
      </c>
      <c r="V858" s="44">
        <v>117</v>
      </c>
      <c r="W858" s="45">
        <f t="shared" si="211"/>
        <v>480</v>
      </c>
      <c r="X858" s="19">
        <f t="shared" si="212"/>
        <v>80</v>
      </c>
      <c r="AX858" s="174" t="b">
        <f>IF('Refined Compare'!$D$2="All",TRUE,IF(F858='Refined Compare'!$D$2,TRUE,IF(G858='Refined Compare'!$D$2,TRUE,FALSE)))</f>
        <v>0</v>
      </c>
      <c r="AY858" s="174" t="b">
        <f>IF('Refined Compare'!$D$3="All",TRUE,IF(F858='Refined Compare'!$D$3,TRUE,IF(G858='Refined Compare'!$D$3,TRUE,FALSE)))</f>
        <v>0</v>
      </c>
      <c r="AZ858" s="174" t="b">
        <f t="shared" si="213"/>
        <v>0</v>
      </c>
    </row>
    <row r="859" spans="1:52" x14ac:dyDescent="0.35">
      <c r="A859">
        <f t="shared" si="216"/>
        <v>858</v>
      </c>
      <c r="B859" s="18" t="s">
        <v>1029</v>
      </c>
      <c r="C859" s="61">
        <v>7</v>
      </c>
      <c r="D859" s="118"/>
      <c r="E859" s="61"/>
      <c r="F859" s="66" t="s">
        <v>812</v>
      </c>
      <c r="G859" s="66" t="s">
        <v>816</v>
      </c>
      <c r="H859" s="179" t="s">
        <v>917</v>
      </c>
      <c r="I859" s="39">
        <f t="shared" si="217"/>
        <v>0</v>
      </c>
      <c r="J859" s="40">
        <f t="shared" si="218"/>
        <v>0</v>
      </c>
      <c r="K859" s="41">
        <f t="shared" si="219"/>
        <v>0</v>
      </c>
      <c r="L859" s="42">
        <f t="shared" si="220"/>
        <v>0</v>
      </c>
      <c r="M859" s="43">
        <f t="shared" si="221"/>
        <v>0</v>
      </c>
      <c r="N859" s="44">
        <f t="shared" si="222"/>
        <v>0</v>
      </c>
      <c r="O859" s="45">
        <f t="shared" si="223"/>
        <v>0</v>
      </c>
      <c r="P859" s="19">
        <f t="shared" si="224"/>
        <v>0</v>
      </c>
      <c r="Q859" s="177">
        <v>70</v>
      </c>
      <c r="R859" s="40">
        <v>75</v>
      </c>
      <c r="S859" s="41">
        <v>50</v>
      </c>
      <c r="T859" s="42">
        <v>45</v>
      </c>
      <c r="U859" s="43">
        <v>50</v>
      </c>
      <c r="V859" s="44">
        <v>50</v>
      </c>
      <c r="W859" s="45">
        <f t="shared" si="211"/>
        <v>340</v>
      </c>
      <c r="X859" s="19">
        <f t="shared" si="212"/>
        <v>56.67</v>
      </c>
      <c r="AX859" s="174" t="b">
        <f>IF('Refined Compare'!$D$2="All",TRUE,IF(F859='Refined Compare'!$D$2,TRUE,IF(G859='Refined Compare'!$D$2,TRUE,FALSE)))</f>
        <v>0</v>
      </c>
      <c r="AY859" s="174" t="b">
        <f>IF('Refined Compare'!$D$3="All",TRUE,IF(F859='Refined Compare'!$D$3,TRUE,IF(G859='Refined Compare'!$D$3,TRUE,FALSE)))</f>
        <v>0</v>
      </c>
      <c r="AZ859" s="174" t="b">
        <f t="shared" si="213"/>
        <v>0</v>
      </c>
    </row>
    <row r="860" spans="1:52" x14ac:dyDescent="0.35">
      <c r="A860">
        <f t="shared" si="216"/>
        <v>859</v>
      </c>
      <c r="B860" s="18" t="s">
        <v>1030</v>
      </c>
      <c r="C860" s="61">
        <v>7</v>
      </c>
      <c r="D860" s="118" t="b">
        <v>1</v>
      </c>
      <c r="E860" s="61"/>
      <c r="F860" s="66" t="s">
        <v>812</v>
      </c>
      <c r="G860" s="66" t="s">
        <v>816</v>
      </c>
      <c r="H860" s="179" t="s">
        <v>918</v>
      </c>
      <c r="I860" s="39">
        <f t="shared" si="217"/>
        <v>0</v>
      </c>
      <c r="J860" s="40">
        <f t="shared" si="218"/>
        <v>0</v>
      </c>
      <c r="K860" s="41">
        <f t="shared" si="219"/>
        <v>0</v>
      </c>
      <c r="L860" s="42">
        <f t="shared" si="220"/>
        <v>0</v>
      </c>
      <c r="M860" s="43">
        <f t="shared" si="221"/>
        <v>0</v>
      </c>
      <c r="N860" s="44">
        <f t="shared" si="222"/>
        <v>0</v>
      </c>
      <c r="O860" s="45">
        <f t="shared" si="223"/>
        <v>0</v>
      </c>
      <c r="P860" s="19">
        <f t="shared" si="224"/>
        <v>0</v>
      </c>
      <c r="Q860" s="177">
        <v>120</v>
      </c>
      <c r="R860" s="40">
        <v>125</v>
      </c>
      <c r="S860" s="41">
        <v>80</v>
      </c>
      <c r="T860" s="42">
        <v>55</v>
      </c>
      <c r="U860" s="43">
        <v>60</v>
      </c>
      <c r="V860" s="44">
        <v>60</v>
      </c>
      <c r="W860" s="45">
        <f t="shared" si="211"/>
        <v>500</v>
      </c>
      <c r="X860" s="19">
        <f t="shared" si="212"/>
        <v>83.33</v>
      </c>
      <c r="AX860" s="174" t="b">
        <f>IF('Refined Compare'!$D$2="All",TRUE,IF(F860='Refined Compare'!$D$2,TRUE,IF(G860='Refined Compare'!$D$2,TRUE,FALSE)))</f>
        <v>0</v>
      </c>
      <c r="AY860" s="174" t="b">
        <f>IF('Refined Compare'!$D$3="All",TRUE,IF(F860='Refined Compare'!$D$3,TRUE,IF(G860='Refined Compare'!$D$3,TRUE,FALSE)))</f>
        <v>0</v>
      </c>
      <c r="AZ860" s="174" t="b">
        <f t="shared" si="213"/>
        <v>0</v>
      </c>
    </row>
    <row r="861" spans="1:52" x14ac:dyDescent="0.35">
      <c r="A861">
        <f t="shared" si="216"/>
        <v>860</v>
      </c>
      <c r="B861" s="18" t="s">
        <v>1031</v>
      </c>
      <c r="C861" s="61">
        <v>7</v>
      </c>
      <c r="D861" s="118"/>
      <c r="E861" s="61"/>
      <c r="F861" s="66" t="s">
        <v>806</v>
      </c>
      <c r="G861" s="66" t="s">
        <v>827</v>
      </c>
      <c r="H861" s="179" t="s">
        <v>919</v>
      </c>
      <c r="I861" s="39">
        <f t="shared" si="217"/>
        <v>0</v>
      </c>
      <c r="J861" s="40">
        <f t="shared" si="218"/>
        <v>0</v>
      </c>
      <c r="K861" s="41">
        <f t="shared" si="219"/>
        <v>0</v>
      </c>
      <c r="L861" s="42">
        <f t="shared" si="220"/>
        <v>0</v>
      </c>
      <c r="M861" s="43">
        <f t="shared" si="221"/>
        <v>0</v>
      </c>
      <c r="N861" s="44">
        <f t="shared" si="222"/>
        <v>0</v>
      </c>
      <c r="O861" s="45">
        <f t="shared" si="223"/>
        <v>0</v>
      </c>
      <c r="P861" s="19">
        <f t="shared" si="224"/>
        <v>0</v>
      </c>
      <c r="Q861" s="177">
        <v>42</v>
      </c>
      <c r="R861" s="40">
        <v>30</v>
      </c>
      <c r="S861" s="41">
        <v>38</v>
      </c>
      <c r="T861" s="42">
        <v>30</v>
      </c>
      <c r="U861" s="43">
        <v>38</v>
      </c>
      <c r="V861" s="44">
        <v>32</v>
      </c>
      <c r="W861" s="45">
        <f t="shared" si="211"/>
        <v>210</v>
      </c>
      <c r="X861" s="19">
        <f t="shared" si="212"/>
        <v>35</v>
      </c>
      <c r="AX861" s="174" t="b">
        <f>IF('Refined Compare'!$D$2="All",TRUE,IF(F861='Refined Compare'!$D$2,TRUE,IF(G861='Refined Compare'!$D$2,TRUE,FALSE)))</f>
        <v>0</v>
      </c>
      <c r="AY861" s="174" t="b">
        <f>IF('Refined Compare'!$D$3="All",TRUE,IF(F861='Refined Compare'!$D$3,TRUE,IF(G861='Refined Compare'!$D$3,TRUE,FALSE)))</f>
        <v>1</v>
      </c>
      <c r="AZ861" s="174" t="b">
        <f t="shared" si="213"/>
        <v>0</v>
      </c>
    </row>
    <row r="862" spans="1:52" x14ac:dyDescent="0.35">
      <c r="A862">
        <f t="shared" si="216"/>
        <v>861</v>
      </c>
      <c r="B862" s="18" t="s">
        <v>1032</v>
      </c>
      <c r="C862" s="61">
        <v>7</v>
      </c>
      <c r="D862" s="118"/>
      <c r="E862" s="61"/>
      <c r="F862" s="66" t="s">
        <v>806</v>
      </c>
      <c r="G862" s="66" t="s">
        <v>827</v>
      </c>
      <c r="H862" s="179" t="s">
        <v>920</v>
      </c>
      <c r="I862" s="39">
        <f t="shared" si="217"/>
        <v>0</v>
      </c>
      <c r="J862" s="40">
        <f t="shared" si="218"/>
        <v>0</v>
      </c>
      <c r="K862" s="41">
        <f t="shared" si="219"/>
        <v>0</v>
      </c>
      <c r="L862" s="42">
        <f t="shared" si="220"/>
        <v>0</v>
      </c>
      <c r="M862" s="43">
        <f t="shared" si="221"/>
        <v>0</v>
      </c>
      <c r="N862" s="44">
        <f t="shared" si="222"/>
        <v>0</v>
      </c>
      <c r="O862" s="45">
        <f t="shared" si="223"/>
        <v>0</v>
      </c>
      <c r="P862" s="19">
        <f t="shared" si="224"/>
        <v>0</v>
      </c>
      <c r="Q862" s="177">
        <v>52</v>
      </c>
      <c r="R862" s="40">
        <v>40</v>
      </c>
      <c r="S862" s="41">
        <v>48</v>
      </c>
      <c r="T862" s="42">
        <v>40</v>
      </c>
      <c r="U862" s="43">
        <v>48</v>
      </c>
      <c r="V862" s="44">
        <v>62</v>
      </c>
      <c r="W862" s="45">
        <f t="shared" si="211"/>
        <v>290</v>
      </c>
      <c r="X862" s="19">
        <f t="shared" si="212"/>
        <v>48.33</v>
      </c>
      <c r="AX862" s="174" t="b">
        <f>IF('Refined Compare'!$D$2="All",TRUE,IF(F862='Refined Compare'!$D$2,TRUE,IF(G862='Refined Compare'!$D$2,TRUE,FALSE)))</f>
        <v>0</v>
      </c>
      <c r="AY862" s="174" t="b">
        <f>IF('Refined Compare'!$D$3="All",TRUE,IF(F862='Refined Compare'!$D$3,TRUE,IF(G862='Refined Compare'!$D$3,TRUE,FALSE)))</f>
        <v>1</v>
      </c>
      <c r="AZ862" s="174" t="b">
        <f t="shared" si="213"/>
        <v>0</v>
      </c>
    </row>
    <row r="863" spans="1:52" x14ac:dyDescent="0.35">
      <c r="A863">
        <f t="shared" si="216"/>
        <v>862</v>
      </c>
      <c r="B863" s="18" t="s">
        <v>1033</v>
      </c>
      <c r="C863" s="61">
        <v>7</v>
      </c>
      <c r="D863" s="61" t="b">
        <v>1</v>
      </c>
      <c r="E863" s="61"/>
      <c r="F863" s="66" t="s">
        <v>806</v>
      </c>
      <c r="G863" s="66" t="s">
        <v>827</v>
      </c>
      <c r="H863" s="179" t="s">
        <v>921</v>
      </c>
      <c r="I863" s="39">
        <f t="shared" si="217"/>
        <v>0</v>
      </c>
      <c r="J863" s="40">
        <f t="shared" si="218"/>
        <v>0</v>
      </c>
      <c r="K863" s="41">
        <f t="shared" si="219"/>
        <v>0</v>
      </c>
      <c r="L863" s="42">
        <f t="shared" si="220"/>
        <v>0</v>
      </c>
      <c r="M863" s="43">
        <f t="shared" si="221"/>
        <v>0</v>
      </c>
      <c r="N863" s="44">
        <f t="shared" si="222"/>
        <v>0</v>
      </c>
      <c r="O863" s="45">
        <f t="shared" si="223"/>
        <v>0</v>
      </c>
      <c r="P863" s="19">
        <f t="shared" si="224"/>
        <v>0</v>
      </c>
      <c r="Q863" s="177">
        <v>72</v>
      </c>
      <c r="R863" s="40">
        <v>120</v>
      </c>
      <c r="S863" s="41">
        <v>98</v>
      </c>
      <c r="T863" s="42">
        <v>50</v>
      </c>
      <c r="U863" s="43">
        <v>98</v>
      </c>
      <c r="V863" s="44">
        <v>72</v>
      </c>
      <c r="W863" s="45">
        <f t="shared" si="211"/>
        <v>510</v>
      </c>
      <c r="X863" s="19">
        <f t="shared" si="212"/>
        <v>85</v>
      </c>
      <c r="AX863" s="174" t="b">
        <f>IF('Refined Compare'!$D$2="All",TRUE,IF(F863='Refined Compare'!$D$2,TRUE,IF(G863='Refined Compare'!$D$2,TRUE,FALSE)))</f>
        <v>0</v>
      </c>
      <c r="AY863" s="174" t="b">
        <f>IF('Refined Compare'!$D$3="All",TRUE,IF(F863='Refined Compare'!$D$3,TRUE,IF(G863='Refined Compare'!$D$3,TRUE,FALSE)))</f>
        <v>1</v>
      </c>
      <c r="AZ863" s="174" t="b">
        <f t="shared" si="213"/>
        <v>0</v>
      </c>
    </row>
    <row r="864" spans="1:52" x14ac:dyDescent="0.35">
      <c r="A864">
        <f t="shared" si="216"/>
        <v>863</v>
      </c>
      <c r="B864" s="18" t="s">
        <v>1034</v>
      </c>
      <c r="C864" s="61">
        <v>7</v>
      </c>
      <c r="D864" s="118" t="b">
        <v>1</v>
      </c>
      <c r="E864" s="61"/>
      <c r="F864" s="66" t="s">
        <v>815</v>
      </c>
      <c r="G864" s="66" t="s">
        <v>827</v>
      </c>
      <c r="H864" s="179" t="s">
        <v>922</v>
      </c>
      <c r="I864" s="39">
        <f t="shared" si="217"/>
        <v>0</v>
      </c>
      <c r="J864" s="40">
        <f t="shared" si="218"/>
        <v>0</v>
      </c>
      <c r="K864" s="41">
        <f t="shared" si="219"/>
        <v>0</v>
      </c>
      <c r="L864" s="42">
        <f t="shared" si="220"/>
        <v>0</v>
      </c>
      <c r="M864" s="43">
        <f t="shared" si="221"/>
        <v>0</v>
      </c>
      <c r="N864" s="44">
        <f t="shared" si="222"/>
        <v>0</v>
      </c>
      <c r="O864" s="45">
        <f t="shared" si="223"/>
        <v>0</v>
      </c>
      <c r="P864" s="19">
        <f t="shared" si="224"/>
        <v>0</v>
      </c>
      <c r="Q864" s="177">
        <v>51</v>
      </c>
      <c r="R864" s="40">
        <v>52</v>
      </c>
      <c r="S864" s="41">
        <v>90</v>
      </c>
      <c r="T864" s="42">
        <v>82</v>
      </c>
      <c r="U864" s="43">
        <v>110</v>
      </c>
      <c r="V864" s="44">
        <v>100</v>
      </c>
      <c r="W864" s="45">
        <f t="shared" si="211"/>
        <v>485</v>
      </c>
      <c r="X864" s="19">
        <f t="shared" si="212"/>
        <v>80.83</v>
      </c>
      <c r="AX864" s="174" t="b">
        <f>IF('Refined Compare'!$D$2="All",TRUE,IF(F864='Refined Compare'!$D$2,TRUE,IF(G864='Refined Compare'!$D$2,TRUE,FALSE)))</f>
        <v>0</v>
      </c>
      <c r="AY864" s="174" t="b">
        <f>IF('Refined Compare'!$D$3="All",TRUE,IF(F864='Refined Compare'!$D$3,TRUE,IF(G864='Refined Compare'!$D$3,TRUE,FALSE)))</f>
        <v>1</v>
      </c>
      <c r="AZ864" s="174" t="b">
        <f t="shared" si="213"/>
        <v>0</v>
      </c>
    </row>
    <row r="865" spans="1:52" x14ac:dyDescent="0.35">
      <c r="A865">
        <f t="shared" si="216"/>
        <v>864</v>
      </c>
      <c r="B865" s="18" t="s">
        <v>1035</v>
      </c>
      <c r="C865" s="61">
        <v>7</v>
      </c>
      <c r="D865" s="61" t="b">
        <v>1</v>
      </c>
      <c r="E865" s="61"/>
      <c r="F865" s="66" t="s">
        <v>812</v>
      </c>
      <c r="G865" s="66" t="s">
        <v>817</v>
      </c>
      <c r="H865" s="179" t="s">
        <v>923</v>
      </c>
      <c r="I865" s="39">
        <f t="shared" si="217"/>
        <v>0</v>
      </c>
      <c r="J865" s="40">
        <f t="shared" si="218"/>
        <v>0</v>
      </c>
      <c r="K865" s="41">
        <f t="shared" si="219"/>
        <v>0</v>
      </c>
      <c r="L865" s="42">
        <f t="shared" si="220"/>
        <v>0</v>
      </c>
      <c r="M865" s="43">
        <f t="shared" si="221"/>
        <v>0</v>
      </c>
      <c r="N865" s="44">
        <f t="shared" si="222"/>
        <v>0</v>
      </c>
      <c r="O865" s="45">
        <f t="shared" si="223"/>
        <v>0</v>
      </c>
      <c r="P865" s="19">
        <f t="shared" si="224"/>
        <v>0</v>
      </c>
      <c r="Q865" s="177">
        <v>90</v>
      </c>
      <c r="R865" s="40">
        <v>60</v>
      </c>
      <c r="S865" s="41">
        <v>80</v>
      </c>
      <c r="T865" s="42">
        <v>90</v>
      </c>
      <c r="U865" s="43">
        <v>110</v>
      </c>
      <c r="V865" s="44">
        <v>60</v>
      </c>
      <c r="W865" s="45">
        <f t="shared" si="211"/>
        <v>490</v>
      </c>
      <c r="X865" s="19">
        <f t="shared" si="212"/>
        <v>81.67</v>
      </c>
      <c r="AX865" s="174" t="b">
        <f>IF('Refined Compare'!$D$2="All",TRUE,IF(F865='Refined Compare'!$D$2,TRUE,IF(G865='Refined Compare'!$D$2,TRUE,FALSE)))</f>
        <v>0</v>
      </c>
      <c r="AY865" s="174" t="b">
        <f>IF('Refined Compare'!$D$3="All",TRUE,IF(F865='Refined Compare'!$D$3,TRUE,IF(G865='Refined Compare'!$D$3,TRUE,FALSE)))</f>
        <v>0</v>
      </c>
      <c r="AZ865" s="174" t="b">
        <f t="shared" si="213"/>
        <v>0</v>
      </c>
    </row>
    <row r="866" spans="1:52" x14ac:dyDescent="0.35">
      <c r="A866">
        <f t="shared" si="216"/>
        <v>865</v>
      </c>
      <c r="B866" s="18" t="s">
        <v>1036</v>
      </c>
      <c r="C866" s="61">
        <v>7</v>
      </c>
      <c r="D866" s="118" t="b">
        <v>1</v>
      </c>
      <c r="E866" s="61"/>
      <c r="F866" s="66" t="s">
        <v>816</v>
      </c>
      <c r="G866" s="66" t="s">
        <v>827</v>
      </c>
      <c r="H866" s="179" t="s">
        <v>924</v>
      </c>
      <c r="I866" s="39">
        <f t="shared" si="217"/>
        <v>0</v>
      </c>
      <c r="J866" s="40">
        <f t="shared" si="218"/>
        <v>0</v>
      </c>
      <c r="K866" s="41">
        <f t="shared" si="219"/>
        <v>0</v>
      </c>
      <c r="L866" s="42">
        <f t="shared" si="220"/>
        <v>0</v>
      </c>
      <c r="M866" s="43">
        <f t="shared" si="221"/>
        <v>0</v>
      </c>
      <c r="N866" s="44">
        <f t="shared" si="222"/>
        <v>0</v>
      </c>
      <c r="O866" s="45">
        <f t="shared" si="223"/>
        <v>0</v>
      </c>
      <c r="P866" s="19">
        <f t="shared" si="224"/>
        <v>0</v>
      </c>
      <c r="Q866" s="177">
        <v>100</v>
      </c>
      <c r="R866" s="40">
        <v>120</v>
      </c>
      <c r="S866" s="41">
        <v>90</v>
      </c>
      <c r="T866" s="42">
        <v>40</v>
      </c>
      <c r="U866" s="43">
        <v>60</v>
      </c>
      <c r="V866" s="44">
        <v>80</v>
      </c>
      <c r="W866" s="45">
        <f t="shared" si="211"/>
        <v>490</v>
      </c>
      <c r="X866" s="19">
        <f t="shared" si="212"/>
        <v>81.67</v>
      </c>
      <c r="AX866" s="174" t="b">
        <f>IF('Refined Compare'!$D$2="All",TRUE,IF(F866='Refined Compare'!$D$2,TRUE,IF(G866='Refined Compare'!$D$2,TRUE,FALSE)))</f>
        <v>0</v>
      </c>
      <c r="AY866" s="174" t="b">
        <f>IF('Refined Compare'!$D$3="All",TRUE,IF(F866='Refined Compare'!$D$3,TRUE,IF(G866='Refined Compare'!$D$3,TRUE,FALSE)))</f>
        <v>1</v>
      </c>
      <c r="AZ866" s="174" t="b">
        <f t="shared" si="213"/>
        <v>0</v>
      </c>
    </row>
    <row r="867" spans="1:52" x14ac:dyDescent="0.35">
      <c r="A867">
        <f t="shared" si="216"/>
        <v>866</v>
      </c>
      <c r="B867" s="18" t="s">
        <v>1037</v>
      </c>
      <c r="C867" s="61">
        <v>7</v>
      </c>
      <c r="D867" s="118"/>
      <c r="E867" s="61"/>
      <c r="F867" s="66" t="s">
        <v>811</v>
      </c>
      <c r="G867" s="66" t="s">
        <v>810</v>
      </c>
      <c r="H867" s="179" t="s">
        <v>925</v>
      </c>
      <c r="I867" s="39">
        <f t="shared" si="217"/>
        <v>0</v>
      </c>
      <c r="J867" s="40">
        <f t="shared" si="218"/>
        <v>0</v>
      </c>
      <c r="K867" s="41">
        <f t="shared" si="219"/>
        <v>0</v>
      </c>
      <c r="L867" s="42">
        <f t="shared" si="220"/>
        <v>0</v>
      </c>
      <c r="M867" s="43">
        <f t="shared" si="221"/>
        <v>0</v>
      </c>
      <c r="N867" s="44">
        <f t="shared" si="222"/>
        <v>0</v>
      </c>
      <c r="O867" s="45">
        <f t="shared" si="223"/>
        <v>0</v>
      </c>
      <c r="P867" s="19">
        <f t="shared" si="224"/>
        <v>0</v>
      </c>
      <c r="Q867" s="177">
        <v>25</v>
      </c>
      <c r="R867" s="40">
        <v>35</v>
      </c>
      <c r="S867" s="41">
        <v>40</v>
      </c>
      <c r="T867" s="42">
        <v>20</v>
      </c>
      <c r="U867" s="43">
        <v>30</v>
      </c>
      <c r="V867" s="44">
        <v>80</v>
      </c>
      <c r="W867" s="45">
        <f t="shared" si="211"/>
        <v>230</v>
      </c>
      <c r="X867" s="19">
        <f t="shared" si="212"/>
        <v>38.33</v>
      </c>
      <c r="AX867" s="174" t="b">
        <f>IF('Refined Compare'!$D$2="All",TRUE,IF(F867='Refined Compare'!$D$2,TRUE,IF(G867='Refined Compare'!$D$2,TRUE,FALSE)))</f>
        <v>0</v>
      </c>
      <c r="AY867" s="174" t="b">
        <f>IF('Refined Compare'!$D$3="All",TRUE,IF(F867='Refined Compare'!$D$3,TRUE,IF(G867='Refined Compare'!$D$3,TRUE,FALSE)))</f>
        <v>0</v>
      </c>
      <c r="AZ867" s="174" t="b">
        <f t="shared" si="213"/>
        <v>0</v>
      </c>
    </row>
    <row r="868" spans="1:52" x14ac:dyDescent="0.35">
      <c r="A868">
        <f t="shared" si="216"/>
        <v>867</v>
      </c>
      <c r="B868" s="18" t="s">
        <v>1038</v>
      </c>
      <c r="C868" s="61">
        <v>7</v>
      </c>
      <c r="D868" s="118" t="b">
        <v>1</v>
      </c>
      <c r="E868" s="61"/>
      <c r="F868" s="66" t="s">
        <v>811</v>
      </c>
      <c r="G868" s="66" t="s">
        <v>810</v>
      </c>
      <c r="H868" s="179" t="s">
        <v>926</v>
      </c>
      <c r="I868" s="39">
        <f t="shared" si="217"/>
        <v>0</v>
      </c>
      <c r="J868" s="40">
        <f t="shared" si="218"/>
        <v>0</v>
      </c>
      <c r="K868" s="41">
        <f t="shared" si="219"/>
        <v>0</v>
      </c>
      <c r="L868" s="42">
        <f t="shared" si="220"/>
        <v>0</v>
      </c>
      <c r="M868" s="43">
        <f t="shared" si="221"/>
        <v>0</v>
      </c>
      <c r="N868" s="44">
        <f t="shared" si="222"/>
        <v>0</v>
      </c>
      <c r="O868" s="45">
        <f t="shared" si="223"/>
        <v>0</v>
      </c>
      <c r="P868" s="19">
        <f t="shared" si="224"/>
        <v>0</v>
      </c>
      <c r="Q868" s="177">
        <v>75</v>
      </c>
      <c r="R868" s="40">
        <v>125</v>
      </c>
      <c r="S868" s="41">
        <v>140</v>
      </c>
      <c r="T868" s="42">
        <v>60</v>
      </c>
      <c r="U868" s="43">
        <v>90</v>
      </c>
      <c r="V868" s="44">
        <v>40</v>
      </c>
      <c r="W868" s="45">
        <f t="shared" si="211"/>
        <v>530</v>
      </c>
      <c r="X868" s="19">
        <f t="shared" si="212"/>
        <v>88.33</v>
      </c>
      <c r="AX868" s="174" t="b">
        <f>IF('Refined Compare'!$D$2="All",TRUE,IF(F868='Refined Compare'!$D$2,TRUE,IF(G868='Refined Compare'!$D$2,TRUE,FALSE)))</f>
        <v>0</v>
      </c>
      <c r="AY868" s="174" t="b">
        <f>IF('Refined Compare'!$D$3="All",TRUE,IF(F868='Refined Compare'!$D$3,TRUE,IF(G868='Refined Compare'!$D$3,TRUE,FALSE)))</f>
        <v>0</v>
      </c>
      <c r="AZ868" s="174" t="b">
        <f t="shared" si="213"/>
        <v>0</v>
      </c>
    </row>
    <row r="869" spans="1:52" x14ac:dyDescent="0.35">
      <c r="A869">
        <f t="shared" si="216"/>
        <v>868</v>
      </c>
      <c r="B869" s="18" t="s">
        <v>1039</v>
      </c>
      <c r="C869" s="61">
        <v>7</v>
      </c>
      <c r="D869" s="118"/>
      <c r="E869" s="61"/>
      <c r="F869" s="66" t="s">
        <v>821</v>
      </c>
      <c r="G869" s="66" t="s">
        <v>814</v>
      </c>
      <c r="H869" s="179" t="s">
        <v>927</v>
      </c>
      <c r="I869" s="39">
        <f t="shared" si="217"/>
        <v>0</v>
      </c>
      <c r="J869" s="40">
        <f t="shared" si="218"/>
        <v>0</v>
      </c>
      <c r="K869" s="41">
        <f t="shared" si="219"/>
        <v>0</v>
      </c>
      <c r="L869" s="42">
        <f t="shared" si="220"/>
        <v>0</v>
      </c>
      <c r="M869" s="43">
        <f t="shared" si="221"/>
        <v>0</v>
      </c>
      <c r="N869" s="44">
        <f t="shared" si="222"/>
        <v>0</v>
      </c>
      <c r="O869" s="45">
        <f t="shared" si="223"/>
        <v>0</v>
      </c>
      <c r="P869" s="19">
        <f t="shared" si="224"/>
        <v>0</v>
      </c>
      <c r="Q869" s="177">
        <v>55</v>
      </c>
      <c r="R869" s="40">
        <v>55</v>
      </c>
      <c r="S869" s="41">
        <v>80</v>
      </c>
      <c r="T869" s="42">
        <v>70</v>
      </c>
      <c r="U869" s="43">
        <v>45</v>
      </c>
      <c r="V869" s="44">
        <v>15</v>
      </c>
      <c r="W869" s="45">
        <f t="shared" si="211"/>
        <v>320</v>
      </c>
      <c r="X869" s="19">
        <f t="shared" si="212"/>
        <v>53.33</v>
      </c>
      <c r="AX869" s="174" t="b">
        <f>IF('Refined Compare'!$D$2="All",TRUE,IF(F869='Refined Compare'!$D$2,TRUE,IF(G869='Refined Compare'!$D$2,TRUE,FALSE)))</f>
        <v>0</v>
      </c>
      <c r="AY869" s="174" t="b">
        <f>IF('Refined Compare'!$D$3="All",TRUE,IF(F869='Refined Compare'!$D$3,TRUE,IF(G869='Refined Compare'!$D$3,TRUE,FALSE)))</f>
        <v>0</v>
      </c>
      <c r="AZ869" s="174" t="b">
        <f t="shared" si="213"/>
        <v>0</v>
      </c>
    </row>
    <row r="870" spans="1:52" x14ac:dyDescent="0.35">
      <c r="A870">
        <f t="shared" si="216"/>
        <v>869</v>
      </c>
      <c r="B870" s="18" t="s">
        <v>1040</v>
      </c>
      <c r="C870" s="61">
        <v>7</v>
      </c>
      <c r="D870" s="118" t="b">
        <v>1</v>
      </c>
      <c r="E870" s="61"/>
      <c r="F870" s="66" t="s">
        <v>821</v>
      </c>
      <c r="G870" s="66" t="s">
        <v>814</v>
      </c>
      <c r="H870" s="179" t="s">
        <v>928</v>
      </c>
      <c r="I870" s="39">
        <f t="shared" si="217"/>
        <v>0</v>
      </c>
      <c r="J870" s="40">
        <f t="shared" si="218"/>
        <v>0</v>
      </c>
      <c r="K870" s="41">
        <f t="shared" si="219"/>
        <v>0</v>
      </c>
      <c r="L870" s="42">
        <f t="shared" si="220"/>
        <v>0</v>
      </c>
      <c r="M870" s="43">
        <f t="shared" si="221"/>
        <v>0</v>
      </c>
      <c r="N870" s="44">
        <f t="shared" si="222"/>
        <v>0</v>
      </c>
      <c r="O870" s="45">
        <f t="shared" si="223"/>
        <v>0</v>
      </c>
      <c r="P870" s="19">
        <f t="shared" si="224"/>
        <v>0</v>
      </c>
      <c r="Q870" s="177">
        <v>85</v>
      </c>
      <c r="R870" s="40">
        <v>75</v>
      </c>
      <c r="S870" s="41">
        <v>110</v>
      </c>
      <c r="T870" s="42">
        <v>100</v>
      </c>
      <c r="U870" s="43">
        <v>75</v>
      </c>
      <c r="V870" s="44">
        <v>35</v>
      </c>
      <c r="W870" s="45">
        <f t="shared" si="211"/>
        <v>480</v>
      </c>
      <c r="X870" s="19">
        <f t="shared" si="212"/>
        <v>80</v>
      </c>
      <c r="AX870" s="174" t="b">
        <f>IF('Refined Compare'!$D$2="All",TRUE,IF(F870='Refined Compare'!$D$2,TRUE,IF(G870='Refined Compare'!$D$2,TRUE,FALSE)))</f>
        <v>0</v>
      </c>
      <c r="AY870" s="174" t="b">
        <f>IF('Refined Compare'!$D$3="All",TRUE,IF(F870='Refined Compare'!$D$3,TRUE,IF(G870='Refined Compare'!$D$3,TRUE,FALSE)))</f>
        <v>0</v>
      </c>
      <c r="AZ870" s="174" t="b">
        <f t="shared" si="213"/>
        <v>0</v>
      </c>
    </row>
    <row r="871" spans="1:52" x14ac:dyDescent="0.35">
      <c r="A871">
        <f t="shared" si="216"/>
        <v>870</v>
      </c>
      <c r="B871" s="18" t="s">
        <v>1041</v>
      </c>
      <c r="C871" s="61">
        <v>7</v>
      </c>
      <c r="D871" s="61" t="b">
        <v>1</v>
      </c>
      <c r="E871" s="61"/>
      <c r="F871" s="66" t="s">
        <v>810</v>
      </c>
      <c r="G871" s="66" t="s">
        <v>827</v>
      </c>
      <c r="H871" s="179" t="s">
        <v>929</v>
      </c>
      <c r="I871" s="39">
        <f t="shared" si="217"/>
        <v>0</v>
      </c>
      <c r="J871" s="40">
        <f t="shared" si="218"/>
        <v>0</v>
      </c>
      <c r="K871" s="41">
        <f t="shared" si="219"/>
        <v>0</v>
      </c>
      <c r="L871" s="42">
        <f t="shared" si="220"/>
        <v>0</v>
      </c>
      <c r="M871" s="43">
        <f t="shared" si="221"/>
        <v>0</v>
      </c>
      <c r="N871" s="44">
        <f t="shared" si="222"/>
        <v>0</v>
      </c>
      <c r="O871" s="45">
        <f t="shared" si="223"/>
        <v>0</v>
      </c>
      <c r="P871" s="19">
        <f t="shared" si="224"/>
        <v>0</v>
      </c>
      <c r="Q871" s="177">
        <v>55</v>
      </c>
      <c r="R871" s="40">
        <v>60</v>
      </c>
      <c r="S871" s="41">
        <v>130</v>
      </c>
      <c r="T871" s="42">
        <v>30</v>
      </c>
      <c r="U871" s="43">
        <v>130</v>
      </c>
      <c r="V871" s="44">
        <v>5</v>
      </c>
      <c r="W871" s="45">
        <f t="shared" si="211"/>
        <v>410</v>
      </c>
      <c r="X871" s="19">
        <f t="shared" si="212"/>
        <v>68.33</v>
      </c>
      <c r="AX871" s="174" t="b">
        <f>IF('Refined Compare'!$D$2="All",TRUE,IF(F871='Refined Compare'!$D$2,TRUE,IF(G871='Refined Compare'!$D$2,TRUE,FALSE)))</f>
        <v>0</v>
      </c>
      <c r="AY871" s="174" t="b">
        <f>IF('Refined Compare'!$D$3="All",TRUE,IF(F871='Refined Compare'!$D$3,TRUE,IF(G871='Refined Compare'!$D$3,TRUE,FALSE)))</f>
        <v>1</v>
      </c>
      <c r="AZ871" s="174" t="b">
        <f t="shared" si="213"/>
        <v>0</v>
      </c>
    </row>
    <row r="872" spans="1:52" x14ac:dyDescent="0.35">
      <c r="A872">
        <f t="shared" si="216"/>
        <v>871</v>
      </c>
      <c r="B872" s="18" t="s">
        <v>1042</v>
      </c>
      <c r="C872" s="61">
        <v>7</v>
      </c>
      <c r="D872" s="118"/>
      <c r="E872" s="61"/>
      <c r="F872" s="66" t="s">
        <v>812</v>
      </c>
      <c r="G872" s="66" t="s">
        <v>827</v>
      </c>
      <c r="H872" s="179" t="s">
        <v>930</v>
      </c>
      <c r="I872" s="39">
        <f t="shared" si="217"/>
        <v>0</v>
      </c>
      <c r="J872" s="40">
        <f t="shared" si="218"/>
        <v>0</v>
      </c>
      <c r="K872" s="41">
        <f t="shared" si="219"/>
        <v>0</v>
      </c>
      <c r="L872" s="42">
        <f t="shared" si="220"/>
        <v>0</v>
      </c>
      <c r="M872" s="43">
        <f t="shared" si="221"/>
        <v>0</v>
      </c>
      <c r="N872" s="44">
        <f t="shared" si="222"/>
        <v>0</v>
      </c>
      <c r="O872" s="45">
        <f t="shared" si="223"/>
        <v>0</v>
      </c>
      <c r="P872" s="19">
        <f t="shared" si="224"/>
        <v>0</v>
      </c>
      <c r="Q872" s="177">
        <v>95</v>
      </c>
      <c r="R872" s="40">
        <v>95</v>
      </c>
      <c r="S872" s="41">
        <v>95</v>
      </c>
      <c r="T872" s="42">
        <v>95</v>
      </c>
      <c r="U872" s="43">
        <v>95</v>
      </c>
      <c r="V872" s="44">
        <v>59</v>
      </c>
      <c r="W872" s="45">
        <f t="shared" si="211"/>
        <v>534</v>
      </c>
      <c r="X872" s="19">
        <f t="shared" si="212"/>
        <v>89</v>
      </c>
      <c r="AX872" s="174" t="b">
        <f>IF('Refined Compare'!$D$2="All",TRUE,IF(F872='Refined Compare'!$D$2,TRUE,IF(G872='Refined Compare'!$D$2,TRUE,FALSE)))</f>
        <v>0</v>
      </c>
      <c r="AY872" s="174" t="b">
        <f>IF('Refined Compare'!$D$3="All",TRUE,IF(F872='Refined Compare'!$D$3,TRUE,IF(G872='Refined Compare'!$D$3,TRUE,FALSE)))</f>
        <v>1</v>
      </c>
      <c r="AZ872" s="174" t="b">
        <f t="shared" si="213"/>
        <v>0</v>
      </c>
    </row>
    <row r="873" spans="1:52" x14ac:dyDescent="0.35">
      <c r="A873">
        <f t="shared" si="216"/>
        <v>872</v>
      </c>
      <c r="B873" s="18" t="s">
        <v>1043</v>
      </c>
      <c r="C873" s="61">
        <v>7</v>
      </c>
      <c r="D873" s="61" t="b">
        <v>1</v>
      </c>
      <c r="E873" s="61"/>
      <c r="F873" s="66" t="s">
        <v>812</v>
      </c>
      <c r="G873" s="66" t="s">
        <v>827</v>
      </c>
      <c r="H873" s="179" t="s">
        <v>931</v>
      </c>
      <c r="I873" s="39">
        <f t="shared" si="217"/>
        <v>0</v>
      </c>
      <c r="J873" s="40">
        <f t="shared" si="218"/>
        <v>0</v>
      </c>
      <c r="K873" s="41">
        <f t="shared" si="219"/>
        <v>0</v>
      </c>
      <c r="L873" s="42">
        <f t="shared" si="220"/>
        <v>0</v>
      </c>
      <c r="M873" s="43">
        <f t="shared" si="221"/>
        <v>0</v>
      </c>
      <c r="N873" s="44">
        <f t="shared" si="222"/>
        <v>0</v>
      </c>
      <c r="O873" s="45">
        <f t="shared" si="223"/>
        <v>0</v>
      </c>
      <c r="P873" s="19">
        <f t="shared" si="224"/>
        <v>0</v>
      </c>
      <c r="Q873" s="177">
        <v>95</v>
      </c>
      <c r="R873" s="40">
        <v>95</v>
      </c>
      <c r="S873" s="41">
        <v>95</v>
      </c>
      <c r="T873" s="42">
        <v>95</v>
      </c>
      <c r="U873" s="43">
        <v>95</v>
      </c>
      <c r="V873" s="44">
        <v>95</v>
      </c>
      <c r="W873" s="45">
        <f t="shared" si="211"/>
        <v>570</v>
      </c>
      <c r="X873" s="19">
        <f t="shared" si="212"/>
        <v>95</v>
      </c>
      <c r="AX873" s="174" t="b">
        <f>IF('Refined Compare'!$D$2="All",TRUE,IF(F873='Refined Compare'!$D$2,TRUE,IF(G873='Refined Compare'!$D$2,TRUE,FALSE)))</f>
        <v>0</v>
      </c>
      <c r="AY873" s="174" t="b">
        <f>IF('Refined Compare'!$D$3="All",TRUE,IF(F873='Refined Compare'!$D$3,TRUE,IF(G873='Refined Compare'!$D$3,TRUE,FALSE)))</f>
        <v>1</v>
      </c>
      <c r="AZ873" s="174" t="b">
        <f t="shared" si="213"/>
        <v>0</v>
      </c>
    </row>
    <row r="874" spans="1:52" x14ac:dyDescent="0.35">
      <c r="A874">
        <f t="shared" si="216"/>
        <v>873</v>
      </c>
      <c r="B874" s="18" t="s">
        <v>1044</v>
      </c>
      <c r="C874" s="61">
        <v>7</v>
      </c>
      <c r="D874" s="61" t="b">
        <v>1</v>
      </c>
      <c r="E874" s="61"/>
      <c r="F874" s="66" t="s">
        <v>818</v>
      </c>
      <c r="G874" s="66" t="s">
        <v>809</v>
      </c>
      <c r="H874" s="179" t="s">
        <v>932</v>
      </c>
      <c r="I874" s="39">
        <f t="shared" si="217"/>
        <v>0</v>
      </c>
      <c r="J874" s="40">
        <f t="shared" si="218"/>
        <v>0</v>
      </c>
      <c r="K874" s="41">
        <f t="shared" si="219"/>
        <v>0</v>
      </c>
      <c r="L874" s="42">
        <f t="shared" si="220"/>
        <v>0</v>
      </c>
      <c r="M874" s="43">
        <f t="shared" si="221"/>
        <v>0</v>
      </c>
      <c r="N874" s="44">
        <f t="shared" si="222"/>
        <v>0</v>
      </c>
      <c r="O874" s="45">
        <f t="shared" si="223"/>
        <v>0</v>
      </c>
      <c r="P874" s="19">
        <f t="shared" si="224"/>
        <v>0</v>
      </c>
      <c r="Q874" s="177">
        <v>60</v>
      </c>
      <c r="R874" s="40">
        <v>60</v>
      </c>
      <c r="S874" s="41">
        <v>100</v>
      </c>
      <c r="T874" s="42">
        <v>60</v>
      </c>
      <c r="U874" s="43">
        <v>100</v>
      </c>
      <c r="V874" s="44">
        <v>60</v>
      </c>
      <c r="W874" s="45">
        <f t="shared" si="211"/>
        <v>440</v>
      </c>
      <c r="X874" s="19">
        <f t="shared" si="212"/>
        <v>73.33</v>
      </c>
      <c r="AX874" s="174" t="b">
        <f>IF('Refined Compare'!$D$2="All",TRUE,IF(F874='Refined Compare'!$D$2,TRUE,IF(G874='Refined Compare'!$D$2,TRUE,FALSE)))</f>
        <v>0</v>
      </c>
      <c r="AY874" s="174" t="b">
        <f>IF('Refined Compare'!$D$3="All",TRUE,IF(F874='Refined Compare'!$D$3,TRUE,IF(G874='Refined Compare'!$D$3,TRUE,FALSE)))</f>
        <v>0</v>
      </c>
      <c r="AZ874" s="174" t="b">
        <f t="shared" si="213"/>
        <v>0</v>
      </c>
    </row>
    <row r="875" spans="1:52" x14ac:dyDescent="0.35">
      <c r="A875">
        <f t="shared" si="216"/>
        <v>874</v>
      </c>
      <c r="B875" s="18" t="s">
        <v>1045</v>
      </c>
      <c r="C875" s="61">
        <v>7</v>
      </c>
      <c r="D875" s="118" t="b">
        <v>1</v>
      </c>
      <c r="E875" s="61"/>
      <c r="F875" s="66" t="s">
        <v>812</v>
      </c>
      <c r="G875" s="66" t="s">
        <v>827</v>
      </c>
      <c r="H875" s="179" t="s">
        <v>933</v>
      </c>
      <c r="I875" s="39">
        <f t="shared" si="217"/>
        <v>0</v>
      </c>
      <c r="J875" s="40">
        <f t="shared" si="218"/>
        <v>0</v>
      </c>
      <c r="K875" s="41">
        <f t="shared" si="219"/>
        <v>0</v>
      </c>
      <c r="L875" s="42">
        <f t="shared" si="220"/>
        <v>0</v>
      </c>
      <c r="M875" s="43">
        <f t="shared" si="221"/>
        <v>0</v>
      </c>
      <c r="N875" s="44">
        <f t="shared" si="222"/>
        <v>0</v>
      </c>
      <c r="O875" s="45">
        <f t="shared" si="223"/>
        <v>0</v>
      </c>
      <c r="P875" s="19">
        <f t="shared" si="224"/>
        <v>0</v>
      </c>
      <c r="Q875" s="177">
        <v>65</v>
      </c>
      <c r="R875" s="40">
        <v>115</v>
      </c>
      <c r="S875" s="41">
        <v>65</v>
      </c>
      <c r="T875" s="42">
        <v>75</v>
      </c>
      <c r="U875" s="43">
        <v>95</v>
      </c>
      <c r="V875" s="44">
        <v>65</v>
      </c>
      <c r="W875" s="45">
        <f t="shared" si="211"/>
        <v>480</v>
      </c>
      <c r="X875" s="19">
        <f t="shared" si="212"/>
        <v>80</v>
      </c>
      <c r="AX875" s="174" t="b">
        <f>IF('Refined Compare'!$D$2="All",TRUE,IF(F875='Refined Compare'!$D$2,TRUE,IF(G875='Refined Compare'!$D$2,TRUE,FALSE)))</f>
        <v>0</v>
      </c>
      <c r="AY875" s="174" t="b">
        <f>IF('Refined Compare'!$D$3="All",TRUE,IF(F875='Refined Compare'!$D$3,TRUE,IF(G875='Refined Compare'!$D$3,TRUE,FALSE)))</f>
        <v>1</v>
      </c>
      <c r="AZ875" s="174" t="b">
        <f t="shared" si="213"/>
        <v>0</v>
      </c>
    </row>
    <row r="876" spans="1:52" x14ac:dyDescent="0.35">
      <c r="A876">
        <f t="shared" si="216"/>
        <v>875</v>
      </c>
      <c r="B876" s="18" t="s">
        <v>1046</v>
      </c>
      <c r="C876" s="61">
        <v>7</v>
      </c>
      <c r="D876" s="118" t="b">
        <v>1</v>
      </c>
      <c r="E876" s="61"/>
      <c r="F876" s="66" t="s">
        <v>808</v>
      </c>
      <c r="G876" s="66" t="s">
        <v>822</v>
      </c>
      <c r="H876" s="179" t="s">
        <v>934</v>
      </c>
      <c r="I876" s="39">
        <f t="shared" si="217"/>
        <v>0</v>
      </c>
      <c r="J876" s="40">
        <f t="shared" si="218"/>
        <v>0</v>
      </c>
      <c r="K876" s="41">
        <f t="shared" si="219"/>
        <v>0</v>
      </c>
      <c r="L876" s="42">
        <f t="shared" si="220"/>
        <v>0</v>
      </c>
      <c r="M876" s="43">
        <f t="shared" si="221"/>
        <v>0</v>
      </c>
      <c r="N876" s="44">
        <f t="shared" si="222"/>
        <v>0</v>
      </c>
      <c r="O876" s="45">
        <f t="shared" si="223"/>
        <v>0</v>
      </c>
      <c r="P876" s="19">
        <f t="shared" si="224"/>
        <v>0</v>
      </c>
      <c r="Q876" s="177">
        <v>60</v>
      </c>
      <c r="R876" s="40">
        <v>78</v>
      </c>
      <c r="S876" s="41">
        <v>135</v>
      </c>
      <c r="T876" s="42">
        <v>91</v>
      </c>
      <c r="U876" s="43">
        <v>85</v>
      </c>
      <c r="V876" s="44">
        <v>36</v>
      </c>
      <c r="W876" s="45">
        <f t="shared" si="211"/>
        <v>485</v>
      </c>
      <c r="X876" s="19">
        <f t="shared" si="212"/>
        <v>80.83</v>
      </c>
      <c r="AX876" s="174" t="b">
        <f>IF('Refined Compare'!$D$2="All",TRUE,IF(F876='Refined Compare'!$D$2,TRUE,IF(G876='Refined Compare'!$D$2,TRUE,FALSE)))</f>
        <v>0</v>
      </c>
      <c r="AY876" s="174" t="b">
        <f>IF('Refined Compare'!$D$3="All",TRUE,IF(F876='Refined Compare'!$D$3,TRUE,IF(G876='Refined Compare'!$D$3,TRUE,FALSE)))</f>
        <v>0</v>
      </c>
      <c r="AZ876" s="174" t="b">
        <f t="shared" si="213"/>
        <v>0</v>
      </c>
    </row>
    <row r="877" spans="1:52" x14ac:dyDescent="0.35">
      <c r="A877">
        <f t="shared" si="216"/>
        <v>876</v>
      </c>
      <c r="B877" s="18" t="s">
        <v>1047</v>
      </c>
      <c r="C877" s="61">
        <v>7</v>
      </c>
      <c r="D877" s="61" t="b">
        <v>1</v>
      </c>
      <c r="E877" s="61"/>
      <c r="F877" s="66" t="s">
        <v>813</v>
      </c>
      <c r="G877" s="66" t="s">
        <v>819</v>
      </c>
      <c r="H877" s="179" t="s">
        <v>935</v>
      </c>
      <c r="I877" s="39">
        <f t="shared" si="217"/>
        <v>0</v>
      </c>
      <c r="J877" s="40">
        <f t="shared" si="218"/>
        <v>0</v>
      </c>
      <c r="K877" s="41">
        <f t="shared" si="219"/>
        <v>0</v>
      </c>
      <c r="L877" s="42">
        <f t="shared" si="220"/>
        <v>0</v>
      </c>
      <c r="M877" s="43">
        <f t="shared" si="221"/>
        <v>0</v>
      </c>
      <c r="N877" s="44">
        <f t="shared" si="222"/>
        <v>0</v>
      </c>
      <c r="O877" s="45">
        <f t="shared" si="223"/>
        <v>0</v>
      </c>
      <c r="P877" s="19">
        <f t="shared" si="224"/>
        <v>0</v>
      </c>
      <c r="Q877" s="177">
        <v>65</v>
      </c>
      <c r="R877" s="40">
        <v>98</v>
      </c>
      <c r="S877" s="41">
        <v>63</v>
      </c>
      <c r="T877" s="42">
        <v>40</v>
      </c>
      <c r="U877" s="43">
        <v>73</v>
      </c>
      <c r="V877" s="44">
        <v>96</v>
      </c>
      <c r="W877" s="45">
        <f t="shared" si="211"/>
        <v>435</v>
      </c>
      <c r="X877" s="19">
        <f t="shared" si="212"/>
        <v>72.5</v>
      </c>
      <c r="AX877" s="174" t="b">
        <f>IF('Refined Compare'!$D$2="All",TRUE,IF(F877='Refined Compare'!$D$2,TRUE,IF(G877='Refined Compare'!$D$2,TRUE,FALSE)))</f>
        <v>0</v>
      </c>
      <c r="AY877" s="174" t="b">
        <f>IF('Refined Compare'!$D$3="All",TRUE,IF(F877='Refined Compare'!$D$3,TRUE,IF(G877='Refined Compare'!$D$3,TRUE,FALSE)))</f>
        <v>0</v>
      </c>
      <c r="AZ877" s="174" t="b">
        <f t="shared" si="213"/>
        <v>0</v>
      </c>
    </row>
    <row r="878" spans="1:52" x14ac:dyDescent="0.35">
      <c r="A878">
        <f t="shared" si="216"/>
        <v>877</v>
      </c>
      <c r="B878" s="18" t="s">
        <v>1048</v>
      </c>
      <c r="C878" s="61">
        <v>7</v>
      </c>
      <c r="D878" s="118" t="b">
        <v>1</v>
      </c>
      <c r="E878" s="61"/>
      <c r="F878" s="66" t="s">
        <v>821</v>
      </c>
      <c r="G878" s="66" t="s">
        <v>815</v>
      </c>
      <c r="H878" s="179" t="s">
        <v>936</v>
      </c>
      <c r="I878" s="39">
        <f t="shared" si="217"/>
        <v>0</v>
      </c>
      <c r="J878" s="40">
        <f t="shared" si="218"/>
        <v>0</v>
      </c>
      <c r="K878" s="41">
        <f t="shared" si="219"/>
        <v>0</v>
      </c>
      <c r="L878" s="42">
        <f t="shared" si="220"/>
        <v>0</v>
      </c>
      <c r="M878" s="43">
        <f t="shared" si="221"/>
        <v>0</v>
      </c>
      <c r="N878" s="44">
        <f t="shared" si="222"/>
        <v>0</v>
      </c>
      <c r="O878" s="45">
        <f t="shared" si="223"/>
        <v>0</v>
      </c>
      <c r="P878" s="19">
        <f t="shared" si="224"/>
        <v>0</v>
      </c>
      <c r="Q878" s="177">
        <v>55</v>
      </c>
      <c r="R878" s="40">
        <v>90</v>
      </c>
      <c r="S878" s="41">
        <v>80</v>
      </c>
      <c r="T878" s="42">
        <v>50</v>
      </c>
      <c r="U878" s="43">
        <v>105</v>
      </c>
      <c r="V878" s="44">
        <v>96</v>
      </c>
      <c r="W878" s="45">
        <f t="shared" si="211"/>
        <v>476</v>
      </c>
      <c r="X878" s="19">
        <f t="shared" si="212"/>
        <v>79.33</v>
      </c>
      <c r="AX878" s="174" t="b">
        <f>IF('Refined Compare'!$D$2="All",TRUE,IF(F878='Refined Compare'!$D$2,TRUE,IF(G878='Refined Compare'!$D$2,TRUE,FALSE)))</f>
        <v>0</v>
      </c>
      <c r="AY878" s="174" t="b">
        <f>IF('Refined Compare'!$D$3="All",TRUE,IF(F878='Refined Compare'!$D$3,TRUE,IF(G878='Refined Compare'!$D$3,TRUE,FALSE)))</f>
        <v>0</v>
      </c>
      <c r="AZ878" s="174" t="b">
        <f t="shared" si="213"/>
        <v>0</v>
      </c>
    </row>
    <row r="879" spans="1:52" x14ac:dyDescent="0.35">
      <c r="A879">
        <f t="shared" si="216"/>
        <v>878</v>
      </c>
      <c r="B879" s="18" t="s">
        <v>1049</v>
      </c>
      <c r="C879" s="61">
        <v>7</v>
      </c>
      <c r="D879" s="61" t="b">
        <v>1</v>
      </c>
      <c r="E879" s="61"/>
      <c r="F879" s="66" t="s">
        <v>810</v>
      </c>
      <c r="G879" s="66" t="s">
        <v>817</v>
      </c>
      <c r="H879" s="179" t="s">
        <v>937</v>
      </c>
      <c r="I879" s="39">
        <f t="shared" si="217"/>
        <v>0</v>
      </c>
      <c r="J879" s="40">
        <f t="shared" si="218"/>
        <v>0</v>
      </c>
      <c r="K879" s="41">
        <f t="shared" si="219"/>
        <v>0</v>
      </c>
      <c r="L879" s="42">
        <f t="shared" si="220"/>
        <v>0</v>
      </c>
      <c r="M879" s="43">
        <f t="shared" si="221"/>
        <v>0</v>
      </c>
      <c r="N879" s="44">
        <f t="shared" si="222"/>
        <v>0</v>
      </c>
      <c r="O879" s="45">
        <f t="shared" si="223"/>
        <v>0</v>
      </c>
      <c r="P879" s="19">
        <f t="shared" si="224"/>
        <v>0</v>
      </c>
      <c r="Q879" s="177">
        <v>68</v>
      </c>
      <c r="R879" s="40">
        <v>105</v>
      </c>
      <c r="S879" s="41">
        <v>70</v>
      </c>
      <c r="T879" s="42">
        <v>70</v>
      </c>
      <c r="U879" s="43">
        <v>70</v>
      </c>
      <c r="V879" s="44">
        <v>92</v>
      </c>
      <c r="W879" s="45">
        <f t="shared" si="211"/>
        <v>475</v>
      </c>
      <c r="X879" s="19">
        <f t="shared" si="212"/>
        <v>79.17</v>
      </c>
      <c r="AX879" s="174" t="b">
        <f>IF('Refined Compare'!$D$2="All",TRUE,IF(F879='Refined Compare'!$D$2,TRUE,IF(G879='Refined Compare'!$D$2,TRUE,FALSE)))</f>
        <v>0</v>
      </c>
      <c r="AY879" s="174" t="b">
        <f>IF('Refined Compare'!$D$3="All",TRUE,IF(F879='Refined Compare'!$D$3,TRUE,IF(G879='Refined Compare'!$D$3,TRUE,FALSE)))</f>
        <v>0</v>
      </c>
      <c r="AZ879" s="174" t="b">
        <f t="shared" si="213"/>
        <v>0</v>
      </c>
    </row>
    <row r="880" spans="1:52" x14ac:dyDescent="0.35">
      <c r="A880">
        <f t="shared" si="216"/>
        <v>879</v>
      </c>
      <c r="B880" s="18" t="s">
        <v>1050</v>
      </c>
      <c r="C880" s="61">
        <v>7</v>
      </c>
      <c r="D880" s="61" t="b">
        <v>1</v>
      </c>
      <c r="E880" s="61"/>
      <c r="F880" s="66" t="s">
        <v>812</v>
      </c>
      <c r="G880" s="66" t="s">
        <v>822</v>
      </c>
      <c r="H880" s="179" t="s">
        <v>938</v>
      </c>
      <c r="I880" s="39">
        <f t="shared" si="217"/>
        <v>0</v>
      </c>
      <c r="J880" s="40">
        <f t="shared" si="218"/>
        <v>0</v>
      </c>
      <c r="K880" s="41">
        <f t="shared" si="219"/>
        <v>0</v>
      </c>
      <c r="L880" s="42">
        <f t="shared" si="220"/>
        <v>0</v>
      </c>
      <c r="M880" s="43">
        <f t="shared" si="221"/>
        <v>0</v>
      </c>
      <c r="N880" s="44">
        <f t="shared" si="222"/>
        <v>0</v>
      </c>
      <c r="O880" s="45">
        <f t="shared" si="223"/>
        <v>0</v>
      </c>
      <c r="P880" s="19">
        <f t="shared" si="224"/>
        <v>0</v>
      </c>
      <c r="Q880" s="177">
        <v>78</v>
      </c>
      <c r="R880" s="40">
        <v>60</v>
      </c>
      <c r="S880" s="41">
        <v>85</v>
      </c>
      <c r="T880" s="42">
        <v>135</v>
      </c>
      <c r="U880" s="43">
        <v>91</v>
      </c>
      <c r="V880" s="44">
        <v>36</v>
      </c>
      <c r="W880" s="45">
        <f t="shared" si="211"/>
        <v>485</v>
      </c>
      <c r="X880" s="19">
        <f t="shared" si="212"/>
        <v>80.83</v>
      </c>
      <c r="AX880" s="174" t="b">
        <f>IF('Refined Compare'!$D$2="All",TRUE,IF(F880='Refined Compare'!$D$2,TRUE,IF(G880='Refined Compare'!$D$2,TRUE,FALSE)))</f>
        <v>0</v>
      </c>
      <c r="AY880" s="174" t="b">
        <f>IF('Refined Compare'!$D$3="All",TRUE,IF(F880='Refined Compare'!$D$3,TRUE,IF(G880='Refined Compare'!$D$3,TRUE,FALSE)))</f>
        <v>0</v>
      </c>
      <c r="AZ880" s="174" t="b">
        <f t="shared" si="213"/>
        <v>0</v>
      </c>
    </row>
    <row r="881" spans="1:52" x14ac:dyDescent="0.35">
      <c r="A881">
        <f t="shared" si="216"/>
        <v>880</v>
      </c>
      <c r="B881" s="18" t="s">
        <v>1051</v>
      </c>
      <c r="C881" s="61">
        <v>7</v>
      </c>
      <c r="D881" s="118" t="b">
        <v>1</v>
      </c>
      <c r="E881" s="61"/>
      <c r="F881" s="66" t="s">
        <v>821</v>
      </c>
      <c r="G881" s="66" t="s">
        <v>806</v>
      </c>
      <c r="H881" s="179" t="s">
        <v>939</v>
      </c>
      <c r="I881" s="39">
        <f t="shared" si="217"/>
        <v>0</v>
      </c>
      <c r="J881" s="40">
        <f t="shared" si="218"/>
        <v>0</v>
      </c>
      <c r="K881" s="41">
        <f t="shared" si="219"/>
        <v>0</v>
      </c>
      <c r="L881" s="42">
        <f t="shared" si="220"/>
        <v>0</v>
      </c>
      <c r="M881" s="43">
        <f t="shared" si="221"/>
        <v>0</v>
      </c>
      <c r="N881" s="44">
        <f t="shared" si="222"/>
        <v>0</v>
      </c>
      <c r="O881" s="45">
        <f t="shared" si="223"/>
        <v>0</v>
      </c>
      <c r="P881" s="19">
        <f t="shared" si="224"/>
        <v>0</v>
      </c>
      <c r="Q881" s="177">
        <v>70</v>
      </c>
      <c r="R881" s="40">
        <v>131</v>
      </c>
      <c r="S881" s="41">
        <v>100</v>
      </c>
      <c r="T881" s="42">
        <v>86</v>
      </c>
      <c r="U881" s="43">
        <v>90</v>
      </c>
      <c r="V881" s="44">
        <v>40</v>
      </c>
      <c r="W881" s="45">
        <f t="shared" si="211"/>
        <v>517</v>
      </c>
      <c r="X881" s="19">
        <f t="shared" si="212"/>
        <v>86.17</v>
      </c>
      <c r="AX881" s="174" t="b">
        <f>IF('Refined Compare'!$D$2="All",TRUE,IF(F881='Refined Compare'!$D$2,TRUE,IF(G881='Refined Compare'!$D$2,TRUE,FALSE)))</f>
        <v>0</v>
      </c>
      <c r="AY881" s="174" t="b">
        <f>IF('Refined Compare'!$D$3="All",TRUE,IF(F881='Refined Compare'!$D$3,TRUE,IF(G881='Refined Compare'!$D$3,TRUE,FALSE)))</f>
        <v>0</v>
      </c>
      <c r="AZ881" s="174" t="b">
        <f t="shared" si="213"/>
        <v>0</v>
      </c>
    </row>
    <row r="882" spans="1:52" x14ac:dyDescent="0.35">
      <c r="A882">
        <f t="shared" si="216"/>
        <v>881</v>
      </c>
      <c r="B882" s="18" t="s">
        <v>1052</v>
      </c>
      <c r="C882" s="61">
        <v>7</v>
      </c>
      <c r="D882" s="118"/>
      <c r="E882" s="61"/>
      <c r="F882" s="66" t="s">
        <v>822</v>
      </c>
      <c r="G882" s="66" t="s">
        <v>827</v>
      </c>
      <c r="H882" s="179" t="s">
        <v>940</v>
      </c>
      <c r="I882" s="39">
        <f t="shared" si="217"/>
        <v>0</v>
      </c>
      <c r="J882" s="40">
        <f t="shared" si="218"/>
        <v>0</v>
      </c>
      <c r="K882" s="41">
        <f t="shared" si="219"/>
        <v>0</v>
      </c>
      <c r="L882" s="42">
        <f t="shared" si="220"/>
        <v>0</v>
      </c>
      <c r="M882" s="43">
        <f t="shared" si="221"/>
        <v>0</v>
      </c>
      <c r="N882" s="44">
        <f t="shared" si="222"/>
        <v>0</v>
      </c>
      <c r="O882" s="45">
        <f t="shared" si="223"/>
        <v>0</v>
      </c>
      <c r="P882" s="19">
        <f t="shared" si="224"/>
        <v>0</v>
      </c>
      <c r="Q882" s="177">
        <v>45</v>
      </c>
      <c r="R882" s="40">
        <v>55</v>
      </c>
      <c r="S882" s="41">
        <v>65</v>
      </c>
      <c r="T882" s="42">
        <v>45</v>
      </c>
      <c r="U882" s="43">
        <v>45</v>
      </c>
      <c r="V882" s="44">
        <v>45</v>
      </c>
      <c r="W882" s="45">
        <f t="shared" si="211"/>
        <v>300</v>
      </c>
      <c r="X882" s="19">
        <f t="shared" si="212"/>
        <v>50</v>
      </c>
      <c r="AX882" s="174" t="b">
        <f>IF('Refined Compare'!$D$2="All",TRUE,IF(F882='Refined Compare'!$D$2,TRUE,IF(G882='Refined Compare'!$D$2,TRUE,FALSE)))</f>
        <v>0</v>
      </c>
      <c r="AY882" s="174" t="b">
        <f>IF('Refined Compare'!$D$3="All",TRUE,IF(F882='Refined Compare'!$D$3,TRUE,IF(G882='Refined Compare'!$D$3,TRUE,FALSE)))</f>
        <v>1</v>
      </c>
      <c r="AZ882" s="174" t="b">
        <f t="shared" si="213"/>
        <v>0</v>
      </c>
    </row>
    <row r="883" spans="1:52" x14ac:dyDescent="0.35">
      <c r="A883">
        <f t="shared" si="216"/>
        <v>882</v>
      </c>
      <c r="B883" s="18" t="s">
        <v>1053</v>
      </c>
      <c r="C883" s="61">
        <v>7</v>
      </c>
      <c r="D883" s="61"/>
      <c r="E883" s="61"/>
      <c r="F883" s="66" t="s">
        <v>822</v>
      </c>
      <c r="G883" s="66" t="s">
        <v>816</v>
      </c>
      <c r="H883" s="179" t="s">
        <v>941</v>
      </c>
      <c r="I883" s="39">
        <f t="shared" si="217"/>
        <v>0</v>
      </c>
      <c r="J883" s="40">
        <f t="shared" si="218"/>
        <v>0</v>
      </c>
      <c r="K883" s="41">
        <f t="shared" si="219"/>
        <v>0</v>
      </c>
      <c r="L883" s="42">
        <f t="shared" si="220"/>
        <v>0</v>
      </c>
      <c r="M883" s="43">
        <f t="shared" si="221"/>
        <v>0</v>
      </c>
      <c r="N883" s="44">
        <f t="shared" si="222"/>
        <v>0</v>
      </c>
      <c r="O883" s="45">
        <f t="shared" si="223"/>
        <v>0</v>
      </c>
      <c r="P883" s="19">
        <f t="shared" si="224"/>
        <v>0</v>
      </c>
      <c r="Q883" s="177">
        <v>55</v>
      </c>
      <c r="R883" s="40">
        <v>75</v>
      </c>
      <c r="S883" s="41">
        <v>90</v>
      </c>
      <c r="T883" s="42">
        <v>65</v>
      </c>
      <c r="U883" s="43">
        <v>70</v>
      </c>
      <c r="V883" s="44">
        <v>65</v>
      </c>
      <c r="W883" s="45">
        <f t="shared" si="211"/>
        <v>420</v>
      </c>
      <c r="X883" s="19">
        <f t="shared" si="212"/>
        <v>70</v>
      </c>
      <c r="AX883" s="174" t="b">
        <f>IF('Refined Compare'!$D$2="All",TRUE,IF(F883='Refined Compare'!$D$2,TRUE,IF(G883='Refined Compare'!$D$2,TRUE,FALSE)))</f>
        <v>0</v>
      </c>
      <c r="AY883" s="174" t="b">
        <f>IF('Refined Compare'!$D$3="All",TRUE,IF(F883='Refined Compare'!$D$3,TRUE,IF(G883='Refined Compare'!$D$3,TRUE,FALSE)))</f>
        <v>0</v>
      </c>
      <c r="AZ883" s="174" t="b">
        <f t="shared" si="213"/>
        <v>0</v>
      </c>
    </row>
    <row r="884" spans="1:52" x14ac:dyDescent="0.35">
      <c r="A884">
        <f t="shared" si="216"/>
        <v>883</v>
      </c>
      <c r="B884" s="18" t="s">
        <v>1054</v>
      </c>
      <c r="C884" s="61">
        <v>7</v>
      </c>
      <c r="D884" s="118" t="b">
        <v>1</v>
      </c>
      <c r="E884" s="61"/>
      <c r="F884" s="66" t="s">
        <v>822</v>
      </c>
      <c r="G884" s="66" t="s">
        <v>816</v>
      </c>
      <c r="H884" s="179" t="s">
        <v>942</v>
      </c>
      <c r="I884" s="39">
        <f t="shared" si="217"/>
        <v>0</v>
      </c>
      <c r="J884" s="40">
        <f t="shared" si="218"/>
        <v>0</v>
      </c>
      <c r="K884" s="41">
        <f t="shared" si="219"/>
        <v>0</v>
      </c>
      <c r="L884" s="42">
        <f t="shared" si="220"/>
        <v>0</v>
      </c>
      <c r="M884" s="43">
        <f t="shared" si="221"/>
        <v>0</v>
      </c>
      <c r="N884" s="44">
        <f t="shared" si="222"/>
        <v>0</v>
      </c>
      <c r="O884" s="45">
        <f t="shared" si="223"/>
        <v>0</v>
      </c>
      <c r="P884" s="19">
        <f t="shared" si="224"/>
        <v>0</v>
      </c>
      <c r="Q884" s="177">
        <v>75</v>
      </c>
      <c r="R884" s="40">
        <v>110</v>
      </c>
      <c r="S884" s="41">
        <v>125</v>
      </c>
      <c r="T884" s="42">
        <v>100</v>
      </c>
      <c r="U884" s="43">
        <v>105</v>
      </c>
      <c r="V884" s="44">
        <v>85</v>
      </c>
      <c r="W884" s="45">
        <f t="shared" si="211"/>
        <v>600</v>
      </c>
      <c r="X884" s="19">
        <f t="shared" si="212"/>
        <v>100</v>
      </c>
      <c r="AX884" s="174" t="b">
        <f>IF('Refined Compare'!$D$2="All",TRUE,IF(F884='Refined Compare'!$D$2,TRUE,IF(G884='Refined Compare'!$D$2,TRUE,FALSE)))</f>
        <v>0</v>
      </c>
      <c r="AY884" s="174" t="b">
        <f>IF('Refined Compare'!$D$3="All",TRUE,IF(F884='Refined Compare'!$D$3,TRUE,IF(G884='Refined Compare'!$D$3,TRUE,FALSE)))</f>
        <v>0</v>
      </c>
      <c r="AZ884" s="174" t="b">
        <f t="shared" si="213"/>
        <v>0</v>
      </c>
    </row>
    <row r="885" spans="1:52" x14ac:dyDescent="0.35">
      <c r="A885">
        <f t="shared" si="216"/>
        <v>884</v>
      </c>
      <c r="B885" s="18" t="s">
        <v>1055</v>
      </c>
      <c r="C885" s="61">
        <v>7</v>
      </c>
      <c r="D885" s="61" t="b">
        <v>1</v>
      </c>
      <c r="E885" s="61"/>
      <c r="F885" s="66" t="s">
        <v>813</v>
      </c>
      <c r="G885" s="66" t="s">
        <v>815</v>
      </c>
      <c r="H885" s="179" t="s">
        <v>943</v>
      </c>
      <c r="I885" s="39">
        <f t="shared" si="217"/>
        <v>0</v>
      </c>
      <c r="J885" s="40">
        <f t="shared" si="218"/>
        <v>0</v>
      </c>
      <c r="K885" s="41">
        <f t="shared" si="219"/>
        <v>0</v>
      </c>
      <c r="L885" s="42">
        <f t="shared" si="220"/>
        <v>0</v>
      </c>
      <c r="M885" s="43">
        <f t="shared" si="221"/>
        <v>0</v>
      </c>
      <c r="N885" s="44">
        <f t="shared" si="222"/>
        <v>0</v>
      </c>
      <c r="O885" s="45">
        <f t="shared" si="223"/>
        <v>0</v>
      </c>
      <c r="P885" s="19">
        <f t="shared" si="224"/>
        <v>0</v>
      </c>
      <c r="Q885" s="177">
        <v>70</v>
      </c>
      <c r="R885" s="40">
        <v>115</v>
      </c>
      <c r="S885" s="41">
        <v>85</v>
      </c>
      <c r="T885" s="42">
        <v>95</v>
      </c>
      <c r="U885" s="43">
        <v>75</v>
      </c>
      <c r="V885" s="44">
        <v>130</v>
      </c>
      <c r="W885" s="45">
        <f t="shared" ref="W885:W902" si="225">SUM(Q885:V885)</f>
        <v>570</v>
      </c>
      <c r="X885" s="19">
        <f t="shared" ref="X885:X902" si="226">ROUND(AVERAGE(Q885:V885),2)</f>
        <v>95</v>
      </c>
      <c r="AX885" s="174" t="b">
        <f>IF('Refined Compare'!$D$2="All",TRUE,IF(F885='Refined Compare'!$D$2,TRUE,IF(G885='Refined Compare'!$D$2,TRUE,FALSE)))</f>
        <v>0</v>
      </c>
      <c r="AY885" s="174" t="b">
        <f>IF('Refined Compare'!$D$3="All",TRUE,IF(F885='Refined Compare'!$D$3,TRUE,IF(G885='Refined Compare'!$D$3,TRUE,FALSE)))</f>
        <v>0</v>
      </c>
      <c r="AZ885" s="174" t="b">
        <f t="shared" si="213"/>
        <v>0</v>
      </c>
    </row>
    <row r="886" spans="1:52" x14ac:dyDescent="0.35">
      <c r="A886">
        <f t="shared" si="216"/>
        <v>885</v>
      </c>
      <c r="B886" s="18" t="s">
        <v>1056</v>
      </c>
      <c r="C886" s="61">
        <v>7</v>
      </c>
      <c r="D886" s="118" t="b">
        <v>1</v>
      </c>
      <c r="E886" s="61"/>
      <c r="F886" s="66" t="s">
        <v>817</v>
      </c>
      <c r="G886" s="66" t="s">
        <v>815</v>
      </c>
      <c r="H886" s="179" t="s">
        <v>944</v>
      </c>
      <c r="I886" s="39">
        <f t="shared" si="217"/>
        <v>0</v>
      </c>
      <c r="J886" s="40">
        <f t="shared" si="218"/>
        <v>0</v>
      </c>
      <c r="K886" s="41">
        <f t="shared" si="219"/>
        <v>0</v>
      </c>
      <c r="L886" s="42">
        <f t="shared" si="220"/>
        <v>0</v>
      </c>
      <c r="M886" s="43">
        <f t="shared" si="221"/>
        <v>0</v>
      </c>
      <c r="N886" s="44">
        <f t="shared" si="222"/>
        <v>0</v>
      </c>
      <c r="O886" s="45">
        <f t="shared" si="223"/>
        <v>0</v>
      </c>
      <c r="P886" s="19">
        <f t="shared" si="224"/>
        <v>0</v>
      </c>
      <c r="Q886" s="177">
        <v>70</v>
      </c>
      <c r="R886" s="40">
        <v>85</v>
      </c>
      <c r="S886" s="41">
        <v>75</v>
      </c>
      <c r="T886" s="42">
        <v>130</v>
      </c>
      <c r="U886" s="43">
        <v>115</v>
      </c>
      <c r="V886" s="44">
        <v>95</v>
      </c>
      <c r="W886" s="45">
        <f t="shared" si="225"/>
        <v>570</v>
      </c>
      <c r="X886" s="19">
        <f t="shared" si="226"/>
        <v>95</v>
      </c>
      <c r="AX886" s="174" t="b">
        <f>IF('Refined Compare'!$D$2="All",TRUE,IF(F886='Refined Compare'!$D$2,TRUE,IF(G886='Refined Compare'!$D$2,TRUE,FALSE)))</f>
        <v>0</v>
      </c>
      <c r="AY886" s="174" t="b">
        <f>IF('Refined Compare'!$D$3="All",TRUE,IF(F886='Refined Compare'!$D$3,TRUE,IF(G886='Refined Compare'!$D$3,TRUE,FALSE)))</f>
        <v>0</v>
      </c>
      <c r="AZ886" s="174" t="b">
        <f t="shared" si="213"/>
        <v>0</v>
      </c>
    </row>
    <row r="887" spans="1:52" x14ac:dyDescent="0.35">
      <c r="A887">
        <f t="shared" si="216"/>
        <v>886</v>
      </c>
      <c r="B887" s="18" t="s">
        <v>1057</v>
      </c>
      <c r="C887" s="61">
        <v>7</v>
      </c>
      <c r="D887" s="61" t="b">
        <v>1</v>
      </c>
      <c r="E887" s="61"/>
      <c r="F887" s="66" t="s">
        <v>806</v>
      </c>
      <c r="G887" s="66" t="s">
        <v>815</v>
      </c>
      <c r="H887" s="179" t="s">
        <v>945</v>
      </c>
      <c r="I887" s="39">
        <f t="shared" si="217"/>
        <v>0</v>
      </c>
      <c r="J887" s="40">
        <f t="shared" si="218"/>
        <v>0</v>
      </c>
      <c r="K887" s="41">
        <f t="shared" si="219"/>
        <v>0</v>
      </c>
      <c r="L887" s="42">
        <f t="shared" si="220"/>
        <v>0</v>
      </c>
      <c r="M887" s="43">
        <f t="shared" si="221"/>
        <v>0</v>
      </c>
      <c r="N887" s="44">
        <f t="shared" si="222"/>
        <v>0</v>
      </c>
      <c r="O887" s="45">
        <f t="shared" si="223"/>
        <v>0</v>
      </c>
      <c r="P887" s="19">
        <f t="shared" si="224"/>
        <v>0</v>
      </c>
      <c r="Q887" s="177">
        <v>70</v>
      </c>
      <c r="R887" s="40">
        <v>130</v>
      </c>
      <c r="S887" s="41">
        <v>115</v>
      </c>
      <c r="T887" s="42">
        <v>85</v>
      </c>
      <c r="U887" s="43">
        <v>95</v>
      </c>
      <c r="V887" s="44">
        <v>75</v>
      </c>
      <c r="W887" s="45">
        <f t="shared" si="225"/>
        <v>570</v>
      </c>
      <c r="X887" s="19">
        <f t="shared" si="226"/>
        <v>95</v>
      </c>
      <c r="AX887" s="174" t="b">
        <f>IF('Refined Compare'!$D$2="All",TRUE,IF(F887='Refined Compare'!$D$2,TRUE,IF(G887='Refined Compare'!$D$2,TRUE,FALSE)))</f>
        <v>0</v>
      </c>
      <c r="AY887" s="174" t="b">
        <f>IF('Refined Compare'!$D$3="All",TRUE,IF(F887='Refined Compare'!$D$3,TRUE,IF(G887='Refined Compare'!$D$3,TRUE,FALSE)))</f>
        <v>0</v>
      </c>
      <c r="AZ887" s="174" t="b">
        <f t="shared" si="213"/>
        <v>0</v>
      </c>
    </row>
    <row r="888" spans="1:52" x14ac:dyDescent="0.35">
      <c r="A888">
        <f t="shared" si="216"/>
        <v>887</v>
      </c>
      <c r="B888" s="18" t="s">
        <v>1058</v>
      </c>
      <c r="C888" s="61">
        <v>7</v>
      </c>
      <c r="D888" s="118" t="b">
        <v>1</v>
      </c>
      <c r="E888" s="61"/>
      <c r="F888" s="66" t="s">
        <v>810</v>
      </c>
      <c r="G888" s="66" t="s">
        <v>815</v>
      </c>
      <c r="H888" s="179" t="s">
        <v>946</v>
      </c>
      <c r="I888" s="39">
        <f t="shared" si="217"/>
        <v>0</v>
      </c>
      <c r="J888" s="40">
        <f t="shared" si="218"/>
        <v>0</v>
      </c>
      <c r="K888" s="41">
        <f t="shared" si="219"/>
        <v>0</v>
      </c>
      <c r="L888" s="42">
        <f t="shared" si="220"/>
        <v>0</v>
      </c>
      <c r="M888" s="43">
        <f t="shared" si="221"/>
        <v>0</v>
      </c>
      <c r="N888" s="44">
        <f t="shared" si="222"/>
        <v>0</v>
      </c>
      <c r="O888" s="45">
        <f t="shared" si="223"/>
        <v>0</v>
      </c>
      <c r="P888" s="19">
        <f t="shared" si="224"/>
        <v>0</v>
      </c>
      <c r="Q888" s="177">
        <v>70</v>
      </c>
      <c r="R888" s="40">
        <v>75</v>
      </c>
      <c r="S888" s="41">
        <v>115</v>
      </c>
      <c r="T888" s="42">
        <v>95</v>
      </c>
      <c r="U888" s="43">
        <v>130</v>
      </c>
      <c r="V888" s="44">
        <v>85</v>
      </c>
      <c r="W888" s="45">
        <f t="shared" si="225"/>
        <v>570</v>
      </c>
      <c r="X888" s="19">
        <f t="shared" si="226"/>
        <v>95</v>
      </c>
      <c r="AX888" s="174" t="b">
        <f>IF('Refined Compare'!$D$2="All",TRUE,IF(F888='Refined Compare'!$D$2,TRUE,IF(G888='Refined Compare'!$D$2,TRUE,FALSE)))</f>
        <v>0</v>
      </c>
      <c r="AY888" s="174" t="b">
        <f>IF('Refined Compare'!$D$3="All",TRUE,IF(F888='Refined Compare'!$D$3,TRUE,IF(G888='Refined Compare'!$D$3,TRUE,FALSE)))</f>
        <v>0</v>
      </c>
      <c r="AZ888" s="174" t="b">
        <f t="shared" si="213"/>
        <v>0</v>
      </c>
    </row>
    <row r="889" spans="1:52" x14ac:dyDescent="0.35">
      <c r="A889">
        <f t="shared" si="216"/>
        <v>888</v>
      </c>
      <c r="B889" s="18" t="s">
        <v>1059</v>
      </c>
      <c r="C889" s="61">
        <v>7</v>
      </c>
      <c r="D889" s="61"/>
      <c r="E889" s="61"/>
      <c r="F889" s="66" t="s">
        <v>817</v>
      </c>
      <c r="G889" s="66" t="s">
        <v>827</v>
      </c>
      <c r="H889" s="179" t="s">
        <v>947</v>
      </c>
      <c r="I889" s="39">
        <f t="shared" si="217"/>
        <v>0</v>
      </c>
      <c r="J889" s="40">
        <f t="shared" si="218"/>
        <v>0</v>
      </c>
      <c r="K889" s="41">
        <f t="shared" si="219"/>
        <v>0</v>
      </c>
      <c r="L889" s="42">
        <f t="shared" si="220"/>
        <v>0</v>
      </c>
      <c r="M889" s="43">
        <f t="shared" si="221"/>
        <v>0</v>
      </c>
      <c r="N889" s="44">
        <f t="shared" si="222"/>
        <v>0</v>
      </c>
      <c r="O889" s="45">
        <f t="shared" si="223"/>
        <v>0</v>
      </c>
      <c r="P889" s="19">
        <f t="shared" si="224"/>
        <v>0</v>
      </c>
      <c r="Q889" s="177">
        <v>43</v>
      </c>
      <c r="R889" s="40">
        <v>29</v>
      </c>
      <c r="S889" s="41">
        <v>31</v>
      </c>
      <c r="T889" s="42">
        <v>29</v>
      </c>
      <c r="U889" s="43">
        <v>31</v>
      </c>
      <c r="V889" s="44">
        <v>37</v>
      </c>
      <c r="W889" s="45">
        <f t="shared" si="225"/>
        <v>200</v>
      </c>
      <c r="X889" s="19">
        <f t="shared" si="226"/>
        <v>33.33</v>
      </c>
      <c r="AX889" s="174" t="b">
        <f>IF('Refined Compare'!$D$2="All",TRUE,IF(F889='Refined Compare'!$D$2,TRUE,IF(G889='Refined Compare'!$D$2,TRUE,FALSE)))</f>
        <v>0</v>
      </c>
      <c r="AY889" s="174" t="b">
        <f>IF('Refined Compare'!$D$3="All",TRUE,IF(F889='Refined Compare'!$D$3,TRUE,IF(G889='Refined Compare'!$D$3,TRUE,FALSE)))</f>
        <v>1</v>
      </c>
      <c r="AZ889" s="174" t="b">
        <f t="shared" si="213"/>
        <v>0</v>
      </c>
    </row>
    <row r="890" spans="1:52" x14ac:dyDescent="0.35">
      <c r="A890">
        <f t="shared" si="216"/>
        <v>889</v>
      </c>
      <c r="B890" s="18" t="s">
        <v>1060</v>
      </c>
      <c r="C890" s="61">
        <v>7</v>
      </c>
      <c r="D890" s="118"/>
      <c r="E890" s="61"/>
      <c r="F890" s="66" t="s">
        <v>817</v>
      </c>
      <c r="G890" s="66" t="s">
        <v>827</v>
      </c>
      <c r="H890" s="179" t="s">
        <v>948</v>
      </c>
      <c r="I890" s="39">
        <f t="shared" si="217"/>
        <v>0</v>
      </c>
      <c r="J890" s="40">
        <f t="shared" si="218"/>
        <v>0</v>
      </c>
      <c r="K890" s="41">
        <f t="shared" si="219"/>
        <v>0</v>
      </c>
      <c r="L890" s="42">
        <f t="shared" si="220"/>
        <v>0</v>
      </c>
      <c r="M890" s="43">
        <f t="shared" si="221"/>
        <v>0</v>
      </c>
      <c r="N890" s="44">
        <f t="shared" si="222"/>
        <v>0</v>
      </c>
      <c r="O890" s="45">
        <f t="shared" si="223"/>
        <v>0</v>
      </c>
      <c r="P890" s="19">
        <f t="shared" si="224"/>
        <v>0</v>
      </c>
      <c r="Q890" s="177">
        <v>43</v>
      </c>
      <c r="R890" s="40">
        <v>29</v>
      </c>
      <c r="S890" s="41">
        <v>131</v>
      </c>
      <c r="T890" s="42">
        <v>29</v>
      </c>
      <c r="U890" s="43">
        <v>131</v>
      </c>
      <c r="V890" s="44">
        <v>37</v>
      </c>
      <c r="W890" s="45">
        <f t="shared" si="225"/>
        <v>400</v>
      </c>
      <c r="X890" s="19">
        <f t="shared" si="226"/>
        <v>66.67</v>
      </c>
      <c r="AX890" s="174" t="b">
        <f>IF('Refined Compare'!$D$2="All",TRUE,IF(F890='Refined Compare'!$D$2,TRUE,IF(G890='Refined Compare'!$D$2,TRUE,FALSE)))</f>
        <v>0</v>
      </c>
      <c r="AY890" s="174" t="b">
        <f>IF('Refined Compare'!$D$3="All",TRUE,IF(F890='Refined Compare'!$D$3,TRUE,IF(G890='Refined Compare'!$D$3,TRUE,FALSE)))</f>
        <v>1</v>
      </c>
      <c r="AZ890" s="174" t="b">
        <f t="shared" si="213"/>
        <v>0</v>
      </c>
    </row>
    <row r="891" spans="1:52" x14ac:dyDescent="0.35">
      <c r="A891">
        <f t="shared" si="216"/>
        <v>890</v>
      </c>
      <c r="B891" s="18" t="s">
        <v>1061</v>
      </c>
      <c r="C891" s="61">
        <v>7</v>
      </c>
      <c r="D891" s="61" t="b">
        <v>1</v>
      </c>
      <c r="E891" s="61"/>
      <c r="F891" s="66" t="s">
        <v>817</v>
      </c>
      <c r="G891" s="66" t="s">
        <v>819</v>
      </c>
      <c r="H891" s="179" t="s">
        <v>949</v>
      </c>
      <c r="I891" s="39">
        <f t="shared" si="217"/>
        <v>0</v>
      </c>
      <c r="J891" s="40">
        <f t="shared" si="218"/>
        <v>0</v>
      </c>
      <c r="K891" s="41">
        <f t="shared" si="219"/>
        <v>0</v>
      </c>
      <c r="L891" s="42">
        <f t="shared" si="220"/>
        <v>0</v>
      </c>
      <c r="M891" s="43">
        <f t="shared" si="221"/>
        <v>0</v>
      </c>
      <c r="N891" s="44">
        <f t="shared" si="222"/>
        <v>0</v>
      </c>
      <c r="O891" s="45">
        <f t="shared" si="223"/>
        <v>0</v>
      </c>
      <c r="P891" s="19">
        <f t="shared" si="224"/>
        <v>0</v>
      </c>
      <c r="Q891" s="177">
        <v>137</v>
      </c>
      <c r="R891" s="40">
        <v>137</v>
      </c>
      <c r="S891" s="41">
        <v>107</v>
      </c>
      <c r="T891" s="42">
        <v>113</v>
      </c>
      <c r="U891" s="43">
        <v>89</v>
      </c>
      <c r="V891" s="44">
        <v>97</v>
      </c>
      <c r="W891" s="45">
        <f t="shared" si="225"/>
        <v>680</v>
      </c>
      <c r="X891" s="19">
        <f t="shared" si="226"/>
        <v>113.33</v>
      </c>
      <c r="AX891" s="174" t="b">
        <f>IF('Refined Compare'!$D$2="All",TRUE,IF(F891='Refined Compare'!$D$2,TRUE,IF(G891='Refined Compare'!$D$2,TRUE,FALSE)))</f>
        <v>0</v>
      </c>
      <c r="AY891" s="174" t="b">
        <f>IF('Refined Compare'!$D$3="All",TRUE,IF(F891='Refined Compare'!$D$3,TRUE,IF(G891='Refined Compare'!$D$3,TRUE,FALSE)))</f>
        <v>0</v>
      </c>
      <c r="AZ891" s="174" t="b">
        <f t="shared" si="213"/>
        <v>0</v>
      </c>
    </row>
    <row r="892" spans="1:52" x14ac:dyDescent="0.35">
      <c r="A892">
        <f t="shared" si="216"/>
        <v>891</v>
      </c>
      <c r="B892" s="18" t="s">
        <v>1062</v>
      </c>
      <c r="C892" s="61">
        <v>7</v>
      </c>
      <c r="D892" s="118" t="b">
        <v>1</v>
      </c>
      <c r="E892" s="61"/>
      <c r="F892" s="66" t="s">
        <v>817</v>
      </c>
      <c r="G892" s="66" t="s">
        <v>821</v>
      </c>
      <c r="H892" s="179" t="s">
        <v>950</v>
      </c>
      <c r="I892" s="39">
        <f t="shared" si="217"/>
        <v>0</v>
      </c>
      <c r="J892" s="40">
        <f t="shared" si="218"/>
        <v>0</v>
      </c>
      <c r="K892" s="41">
        <f t="shared" si="219"/>
        <v>0</v>
      </c>
      <c r="L892" s="42">
        <f t="shared" si="220"/>
        <v>0</v>
      </c>
      <c r="M892" s="43">
        <f t="shared" si="221"/>
        <v>0</v>
      </c>
      <c r="N892" s="44">
        <f t="shared" si="222"/>
        <v>0</v>
      </c>
      <c r="O892" s="45">
        <f t="shared" si="223"/>
        <v>0</v>
      </c>
      <c r="P892" s="19">
        <f t="shared" si="224"/>
        <v>0</v>
      </c>
      <c r="Q892" s="177">
        <v>137</v>
      </c>
      <c r="R892" s="40">
        <v>113</v>
      </c>
      <c r="S892" s="41">
        <v>89</v>
      </c>
      <c r="T892" s="42">
        <v>137</v>
      </c>
      <c r="U892" s="43">
        <v>107</v>
      </c>
      <c r="V892" s="44">
        <v>97</v>
      </c>
      <c r="W892" s="45">
        <f t="shared" si="225"/>
        <v>680</v>
      </c>
      <c r="X892" s="19">
        <f t="shared" si="226"/>
        <v>113.33</v>
      </c>
      <c r="AX892" s="174" t="b">
        <f>IF('Refined Compare'!$D$2="All",TRUE,IF(F892='Refined Compare'!$D$2,TRUE,IF(G892='Refined Compare'!$D$2,TRUE,FALSE)))</f>
        <v>0</v>
      </c>
      <c r="AY892" s="174" t="b">
        <f>IF('Refined Compare'!$D$3="All",TRUE,IF(F892='Refined Compare'!$D$3,TRUE,IF(G892='Refined Compare'!$D$3,TRUE,FALSE)))</f>
        <v>0</v>
      </c>
      <c r="AZ892" s="174" t="b">
        <f t="shared" si="213"/>
        <v>0</v>
      </c>
    </row>
    <row r="893" spans="1:52" x14ac:dyDescent="0.35">
      <c r="A893">
        <f t="shared" si="216"/>
        <v>892</v>
      </c>
      <c r="B893" s="18" t="s">
        <v>1063</v>
      </c>
      <c r="C893" s="61">
        <v>7</v>
      </c>
      <c r="D893" s="61" t="b">
        <v>1</v>
      </c>
      <c r="E893" s="61"/>
      <c r="F893" s="66" t="s">
        <v>818</v>
      </c>
      <c r="G893" s="66" t="s">
        <v>807</v>
      </c>
      <c r="H893" s="179" t="s">
        <v>951</v>
      </c>
      <c r="I893" s="39">
        <f t="shared" si="217"/>
        <v>0</v>
      </c>
      <c r="J893" s="40">
        <f t="shared" si="218"/>
        <v>0</v>
      </c>
      <c r="K893" s="41">
        <f t="shared" si="219"/>
        <v>0</v>
      </c>
      <c r="L893" s="42">
        <f t="shared" si="220"/>
        <v>0</v>
      </c>
      <c r="M893" s="43">
        <f t="shared" si="221"/>
        <v>0</v>
      </c>
      <c r="N893" s="44">
        <f t="shared" si="222"/>
        <v>0</v>
      </c>
      <c r="O893" s="45">
        <f t="shared" si="223"/>
        <v>0</v>
      </c>
      <c r="P893" s="19">
        <f t="shared" si="224"/>
        <v>0</v>
      </c>
      <c r="Q893" s="177">
        <v>109</v>
      </c>
      <c r="R893" s="40">
        <v>53</v>
      </c>
      <c r="S893" s="41">
        <v>47</v>
      </c>
      <c r="T893" s="42">
        <v>127</v>
      </c>
      <c r="U893" s="43">
        <v>131</v>
      </c>
      <c r="V893" s="44">
        <v>103</v>
      </c>
      <c r="W893" s="45">
        <f t="shared" si="225"/>
        <v>570</v>
      </c>
      <c r="X893" s="19">
        <f t="shared" si="226"/>
        <v>95</v>
      </c>
      <c r="AX893" s="174" t="b">
        <f>IF('Refined Compare'!$D$2="All",TRUE,IF(F893='Refined Compare'!$D$2,TRUE,IF(G893='Refined Compare'!$D$2,TRUE,FALSE)))</f>
        <v>0</v>
      </c>
      <c r="AY893" s="174" t="b">
        <f>IF('Refined Compare'!$D$3="All",TRUE,IF(F893='Refined Compare'!$D$3,TRUE,IF(G893='Refined Compare'!$D$3,TRUE,FALSE)))</f>
        <v>0</v>
      </c>
      <c r="AZ893" s="174" t="b">
        <f t="shared" si="213"/>
        <v>0</v>
      </c>
    </row>
    <row r="894" spans="1:52" x14ac:dyDescent="0.35">
      <c r="A894">
        <f t="shared" si="216"/>
        <v>893</v>
      </c>
      <c r="B894" s="18" t="s">
        <v>1064</v>
      </c>
      <c r="C894" s="61">
        <v>7</v>
      </c>
      <c r="D894" s="118" t="b">
        <v>1</v>
      </c>
      <c r="E894" s="61"/>
      <c r="F894" s="66" t="s">
        <v>811</v>
      </c>
      <c r="G894" s="66" t="s">
        <v>816</v>
      </c>
      <c r="H894" s="179" t="s">
        <v>952</v>
      </c>
      <c r="I894" s="39">
        <f t="shared" si="217"/>
        <v>0</v>
      </c>
      <c r="J894" s="40">
        <f t="shared" si="218"/>
        <v>0</v>
      </c>
      <c r="K894" s="41">
        <f t="shared" si="219"/>
        <v>0</v>
      </c>
      <c r="L894" s="42">
        <f t="shared" si="220"/>
        <v>0</v>
      </c>
      <c r="M894" s="43">
        <f t="shared" si="221"/>
        <v>0</v>
      </c>
      <c r="N894" s="44">
        <f t="shared" si="222"/>
        <v>0</v>
      </c>
      <c r="O894" s="45">
        <f t="shared" si="223"/>
        <v>0</v>
      </c>
      <c r="P894" s="19">
        <f t="shared" si="224"/>
        <v>0</v>
      </c>
      <c r="Q894" s="177">
        <v>107</v>
      </c>
      <c r="R894" s="40">
        <v>139</v>
      </c>
      <c r="S894" s="41">
        <v>139</v>
      </c>
      <c r="T894" s="42">
        <v>53</v>
      </c>
      <c r="U894" s="43">
        <v>53</v>
      </c>
      <c r="V894" s="44">
        <v>79</v>
      </c>
      <c r="W894" s="45">
        <f t="shared" si="225"/>
        <v>570</v>
      </c>
      <c r="X894" s="19">
        <f t="shared" si="226"/>
        <v>95</v>
      </c>
      <c r="AX894" s="174" t="b">
        <f>IF('Refined Compare'!$D$2="All",TRUE,IF(F894='Refined Compare'!$D$2,TRUE,IF(G894='Refined Compare'!$D$2,TRUE,FALSE)))</f>
        <v>0</v>
      </c>
      <c r="AY894" s="174" t="b">
        <f>IF('Refined Compare'!$D$3="All",TRUE,IF(F894='Refined Compare'!$D$3,TRUE,IF(G894='Refined Compare'!$D$3,TRUE,FALSE)))</f>
        <v>0</v>
      </c>
      <c r="AZ894" s="174" t="b">
        <f t="shared" si="213"/>
        <v>0</v>
      </c>
    </row>
    <row r="895" spans="1:52" x14ac:dyDescent="0.35">
      <c r="A895">
        <f t="shared" si="216"/>
        <v>894</v>
      </c>
      <c r="B895" s="18" t="s">
        <v>1065</v>
      </c>
      <c r="C895" s="61">
        <v>7</v>
      </c>
      <c r="D895" s="61" t="b">
        <v>1</v>
      </c>
      <c r="E895" s="61"/>
      <c r="F895" s="66" t="s">
        <v>811</v>
      </c>
      <c r="G895" s="66" t="s">
        <v>816</v>
      </c>
      <c r="H895" s="179" t="s">
        <v>953</v>
      </c>
      <c r="I895" s="39">
        <f t="shared" si="217"/>
        <v>0</v>
      </c>
      <c r="J895" s="40">
        <f t="shared" si="218"/>
        <v>0</v>
      </c>
      <c r="K895" s="41">
        <f t="shared" si="219"/>
        <v>0</v>
      </c>
      <c r="L895" s="42">
        <f t="shared" si="220"/>
        <v>0</v>
      </c>
      <c r="M895" s="43">
        <f t="shared" si="221"/>
        <v>0</v>
      </c>
      <c r="N895" s="44">
        <f t="shared" si="222"/>
        <v>0</v>
      </c>
      <c r="O895" s="45">
        <f t="shared" si="223"/>
        <v>0</v>
      </c>
      <c r="P895" s="19">
        <f t="shared" si="224"/>
        <v>0</v>
      </c>
      <c r="Q895" s="177">
        <v>71</v>
      </c>
      <c r="R895" s="40">
        <v>137</v>
      </c>
      <c r="S895" s="41">
        <v>37</v>
      </c>
      <c r="T895" s="42">
        <v>137</v>
      </c>
      <c r="U895" s="43">
        <v>37</v>
      </c>
      <c r="V895" s="44">
        <v>151</v>
      </c>
      <c r="W895" s="45">
        <f t="shared" si="225"/>
        <v>570</v>
      </c>
      <c r="X895" s="19">
        <f t="shared" si="226"/>
        <v>95</v>
      </c>
      <c r="AX895" s="174" t="b">
        <f>IF('Refined Compare'!$D$2="All",TRUE,IF(F895='Refined Compare'!$D$2,TRUE,IF(G895='Refined Compare'!$D$2,TRUE,FALSE)))</f>
        <v>0</v>
      </c>
      <c r="AY895" s="174" t="b">
        <f>IF('Refined Compare'!$D$3="All",TRUE,IF(F895='Refined Compare'!$D$3,TRUE,IF(G895='Refined Compare'!$D$3,TRUE,FALSE)))</f>
        <v>0</v>
      </c>
      <c r="AZ895" s="174" t="b">
        <f t="shared" si="213"/>
        <v>0</v>
      </c>
    </row>
    <row r="896" spans="1:52" x14ac:dyDescent="0.35">
      <c r="A896">
        <f t="shared" si="216"/>
        <v>895</v>
      </c>
      <c r="B896" s="18" t="s">
        <v>1066</v>
      </c>
      <c r="C896" s="61">
        <v>7</v>
      </c>
      <c r="D896" s="118" t="b">
        <v>1</v>
      </c>
      <c r="E896" s="61"/>
      <c r="F896" s="66" t="s">
        <v>813</v>
      </c>
      <c r="G896" s="66" t="s">
        <v>827</v>
      </c>
      <c r="H896" s="179" t="s">
        <v>954</v>
      </c>
      <c r="I896" s="39">
        <f t="shared" si="217"/>
        <v>0</v>
      </c>
      <c r="J896" s="40">
        <f t="shared" si="218"/>
        <v>0</v>
      </c>
      <c r="K896" s="41">
        <f t="shared" si="219"/>
        <v>0</v>
      </c>
      <c r="L896" s="42">
        <f t="shared" si="220"/>
        <v>0</v>
      </c>
      <c r="M896" s="43">
        <f t="shared" si="221"/>
        <v>0</v>
      </c>
      <c r="N896" s="44">
        <f t="shared" si="222"/>
        <v>0</v>
      </c>
      <c r="O896" s="45">
        <f t="shared" si="223"/>
        <v>0</v>
      </c>
      <c r="P896" s="19">
        <f t="shared" si="224"/>
        <v>0</v>
      </c>
      <c r="Q896" s="177">
        <v>83</v>
      </c>
      <c r="R896" s="40">
        <v>89</v>
      </c>
      <c r="S896" s="41">
        <v>71</v>
      </c>
      <c r="T896" s="42">
        <v>173</v>
      </c>
      <c r="U896" s="43">
        <v>71</v>
      </c>
      <c r="V896" s="44">
        <v>83</v>
      </c>
      <c r="W896" s="45">
        <f t="shared" si="225"/>
        <v>570</v>
      </c>
      <c r="X896" s="19">
        <f t="shared" si="226"/>
        <v>95</v>
      </c>
      <c r="AX896" s="174" t="b">
        <f>IF('Refined Compare'!$D$2="All",TRUE,IF(F896='Refined Compare'!$D$2,TRUE,IF(G896='Refined Compare'!$D$2,TRUE,FALSE)))</f>
        <v>0</v>
      </c>
      <c r="AY896" s="174" t="b">
        <f>IF('Refined Compare'!$D$3="All",TRUE,IF(F896='Refined Compare'!$D$3,TRUE,IF(G896='Refined Compare'!$D$3,TRUE,FALSE)))</f>
        <v>1</v>
      </c>
      <c r="AZ896" s="174" t="b">
        <f t="shared" si="213"/>
        <v>0</v>
      </c>
    </row>
    <row r="897" spans="1:52" x14ac:dyDescent="0.35">
      <c r="A897">
        <f t="shared" si="216"/>
        <v>896</v>
      </c>
      <c r="B897" s="18" t="s">
        <v>1067</v>
      </c>
      <c r="C897" s="61">
        <v>7</v>
      </c>
      <c r="D897" s="61" t="b">
        <v>1</v>
      </c>
      <c r="E897" s="61"/>
      <c r="F897" s="66" t="s">
        <v>819</v>
      </c>
      <c r="G897" s="66" t="s">
        <v>809</v>
      </c>
      <c r="H897" s="179" t="s">
        <v>955</v>
      </c>
      <c r="I897" s="39">
        <f t="shared" si="217"/>
        <v>0</v>
      </c>
      <c r="J897" s="40">
        <f t="shared" si="218"/>
        <v>0</v>
      </c>
      <c r="K897" s="41">
        <f t="shared" si="219"/>
        <v>0</v>
      </c>
      <c r="L897" s="42">
        <f t="shared" si="220"/>
        <v>0</v>
      </c>
      <c r="M897" s="43">
        <f t="shared" si="221"/>
        <v>0</v>
      </c>
      <c r="N897" s="44">
        <f t="shared" si="222"/>
        <v>0</v>
      </c>
      <c r="O897" s="45">
        <f t="shared" si="223"/>
        <v>0</v>
      </c>
      <c r="P897" s="19">
        <f t="shared" si="224"/>
        <v>0</v>
      </c>
      <c r="Q897" s="177">
        <v>97</v>
      </c>
      <c r="R897" s="40">
        <v>101</v>
      </c>
      <c r="S897" s="41">
        <v>103</v>
      </c>
      <c r="T897" s="42">
        <v>107</v>
      </c>
      <c r="U897" s="43">
        <v>101</v>
      </c>
      <c r="V897" s="44">
        <v>61</v>
      </c>
      <c r="W897" s="45">
        <f t="shared" si="225"/>
        <v>570</v>
      </c>
      <c r="X897" s="19">
        <f t="shared" si="226"/>
        <v>95</v>
      </c>
      <c r="AX897" s="174" t="b">
        <f>IF('Refined Compare'!$D$2="All",TRUE,IF(F897='Refined Compare'!$D$2,TRUE,IF(G897='Refined Compare'!$D$2,TRUE,FALSE)))</f>
        <v>0</v>
      </c>
      <c r="AY897" s="174" t="b">
        <f>IF('Refined Compare'!$D$3="All",TRUE,IF(F897='Refined Compare'!$D$3,TRUE,IF(G897='Refined Compare'!$D$3,TRUE,FALSE)))</f>
        <v>0</v>
      </c>
      <c r="AZ897" s="174" t="b">
        <f t="shared" si="213"/>
        <v>0</v>
      </c>
    </row>
    <row r="898" spans="1:52" x14ac:dyDescent="0.35">
      <c r="A898">
        <f t="shared" si="216"/>
        <v>897</v>
      </c>
      <c r="B898" s="18" t="s">
        <v>1068</v>
      </c>
      <c r="C898" s="61">
        <v>7</v>
      </c>
      <c r="D898" s="118" t="b">
        <v>1</v>
      </c>
      <c r="E898" s="61"/>
      <c r="F898" s="66" t="s">
        <v>806</v>
      </c>
      <c r="G898" s="66" t="s">
        <v>819</v>
      </c>
      <c r="H898" s="179" t="s">
        <v>956</v>
      </c>
      <c r="I898" s="39">
        <f t="shared" si="217"/>
        <v>0</v>
      </c>
      <c r="J898" s="40">
        <f t="shared" si="218"/>
        <v>0</v>
      </c>
      <c r="K898" s="41">
        <f t="shared" si="219"/>
        <v>0</v>
      </c>
      <c r="L898" s="42">
        <f t="shared" si="220"/>
        <v>0</v>
      </c>
      <c r="M898" s="43">
        <f t="shared" si="221"/>
        <v>0</v>
      </c>
      <c r="N898" s="44">
        <f t="shared" si="222"/>
        <v>0</v>
      </c>
      <c r="O898" s="45">
        <f t="shared" si="223"/>
        <v>0</v>
      </c>
      <c r="P898" s="19">
        <f t="shared" si="224"/>
        <v>0</v>
      </c>
      <c r="Q898" s="177">
        <v>59</v>
      </c>
      <c r="R898" s="40">
        <v>181</v>
      </c>
      <c r="S898" s="41">
        <v>131</v>
      </c>
      <c r="T898" s="42">
        <v>59</v>
      </c>
      <c r="U898" s="43">
        <v>31</v>
      </c>
      <c r="V898" s="44">
        <v>109</v>
      </c>
      <c r="W898" s="45">
        <f t="shared" si="225"/>
        <v>570</v>
      </c>
      <c r="X898" s="19">
        <f t="shared" si="226"/>
        <v>95</v>
      </c>
      <c r="AX898" s="174" t="b">
        <f>IF('Refined Compare'!$D$2="All",TRUE,IF(F898='Refined Compare'!$D$2,TRUE,IF(G898='Refined Compare'!$D$2,TRUE,FALSE)))</f>
        <v>0</v>
      </c>
      <c r="AY898" s="174" t="b">
        <f>IF('Refined Compare'!$D$3="All",TRUE,IF(F898='Refined Compare'!$D$3,TRUE,IF(G898='Refined Compare'!$D$3,TRUE,FALSE)))</f>
        <v>0</v>
      </c>
      <c r="AZ898" s="174" t="b">
        <f t="shared" ref="AZ898:AZ901" si="227">IF(C898&lt;=$AW$2,TRUE,FALSE)</f>
        <v>0</v>
      </c>
    </row>
    <row r="899" spans="1:52" x14ac:dyDescent="0.35">
      <c r="A899">
        <f t="shared" si="216"/>
        <v>898</v>
      </c>
      <c r="B899" s="18" t="s">
        <v>1069</v>
      </c>
      <c r="C899" s="61">
        <v>7</v>
      </c>
      <c r="D899" s="61" t="b">
        <v>1</v>
      </c>
      <c r="E899" s="61"/>
      <c r="F899" s="66" t="s">
        <v>823</v>
      </c>
      <c r="G899" s="66" t="s">
        <v>822</v>
      </c>
      <c r="H899" s="179" t="s">
        <v>957</v>
      </c>
      <c r="I899" s="39">
        <f t="shared" si="217"/>
        <v>0</v>
      </c>
      <c r="J899" s="40">
        <f t="shared" si="218"/>
        <v>0</v>
      </c>
      <c r="K899" s="41">
        <f t="shared" si="219"/>
        <v>0</v>
      </c>
      <c r="L899" s="42">
        <f t="shared" si="220"/>
        <v>0</v>
      </c>
      <c r="M899" s="43">
        <f t="shared" si="221"/>
        <v>0</v>
      </c>
      <c r="N899" s="44">
        <f t="shared" si="222"/>
        <v>0</v>
      </c>
      <c r="O899" s="45">
        <f t="shared" si="223"/>
        <v>0</v>
      </c>
      <c r="P899" s="19">
        <f t="shared" si="224"/>
        <v>0</v>
      </c>
      <c r="Q899" s="177">
        <v>223</v>
      </c>
      <c r="R899" s="40">
        <v>101</v>
      </c>
      <c r="S899" s="41">
        <v>53</v>
      </c>
      <c r="T899" s="42">
        <v>97</v>
      </c>
      <c r="U899" s="43">
        <v>53</v>
      </c>
      <c r="V899" s="44">
        <v>43</v>
      </c>
      <c r="W899" s="45">
        <f t="shared" si="225"/>
        <v>570</v>
      </c>
      <c r="X899" s="19">
        <f t="shared" si="226"/>
        <v>95</v>
      </c>
      <c r="AX899" s="174" t="b">
        <f>IF('Refined Compare'!$D$2="All",TRUE,IF(F899='Refined Compare'!$D$2,TRUE,IF(G899='Refined Compare'!$D$2,TRUE,FALSE)))</f>
        <v>1</v>
      </c>
      <c r="AY899" s="174" t="b">
        <f>IF('Refined Compare'!$D$3="All",TRUE,IF(F899='Refined Compare'!$D$3,TRUE,IF(G899='Refined Compare'!$D$3,TRUE,FALSE)))</f>
        <v>0</v>
      </c>
      <c r="AZ899" s="174" t="b">
        <f t="shared" si="227"/>
        <v>0</v>
      </c>
    </row>
    <row r="900" spans="1:52" x14ac:dyDescent="0.35">
      <c r="A900">
        <f t="shared" si="216"/>
        <v>899</v>
      </c>
      <c r="B900" s="18" t="s">
        <v>1070</v>
      </c>
      <c r="C900" s="61">
        <v>7</v>
      </c>
      <c r="D900" s="118" t="b">
        <v>1</v>
      </c>
      <c r="E900" s="61"/>
      <c r="F900" s="66" t="s">
        <v>817</v>
      </c>
      <c r="G900" s="66" t="s">
        <v>827</v>
      </c>
      <c r="H900" s="179" t="s">
        <v>958</v>
      </c>
      <c r="I900" s="39">
        <f t="shared" si="217"/>
        <v>0</v>
      </c>
      <c r="J900" s="40">
        <f t="shared" si="218"/>
        <v>0</v>
      </c>
      <c r="K900" s="41">
        <f t="shared" si="219"/>
        <v>0</v>
      </c>
      <c r="L900" s="42">
        <f t="shared" si="220"/>
        <v>0</v>
      </c>
      <c r="M900" s="43">
        <f t="shared" si="221"/>
        <v>0</v>
      </c>
      <c r="N900" s="44">
        <f t="shared" si="222"/>
        <v>0</v>
      </c>
      <c r="O900" s="45">
        <f t="shared" si="223"/>
        <v>0</v>
      </c>
      <c r="P900" s="19">
        <f t="shared" si="224"/>
        <v>0</v>
      </c>
      <c r="Q900" s="177">
        <v>97</v>
      </c>
      <c r="R900" s="40">
        <v>107</v>
      </c>
      <c r="S900" s="41">
        <v>101</v>
      </c>
      <c r="T900" s="42">
        <v>127</v>
      </c>
      <c r="U900" s="43">
        <v>89</v>
      </c>
      <c r="V900" s="44">
        <v>79</v>
      </c>
      <c r="W900" s="45">
        <f t="shared" si="225"/>
        <v>600</v>
      </c>
      <c r="X900" s="19">
        <f t="shared" si="226"/>
        <v>100</v>
      </c>
      <c r="AX900" s="174" t="b">
        <f>IF('Refined Compare'!$D$2="All",TRUE,IF(F900='Refined Compare'!$D$2,TRUE,IF(G900='Refined Compare'!$D$2,TRUE,FALSE)))</f>
        <v>0</v>
      </c>
      <c r="AY900" s="174" t="b">
        <f>IF('Refined Compare'!$D$3="All",TRUE,IF(F900='Refined Compare'!$D$3,TRUE,IF(G900='Refined Compare'!$D$3,TRUE,FALSE)))</f>
        <v>1</v>
      </c>
      <c r="AZ900" s="174" t="b">
        <f t="shared" si="227"/>
        <v>0</v>
      </c>
    </row>
    <row r="901" spans="1:52" x14ac:dyDescent="0.35">
      <c r="A901">
        <f t="shared" si="216"/>
        <v>900</v>
      </c>
      <c r="B901" s="18" t="s">
        <v>1071</v>
      </c>
      <c r="C901" s="61">
        <v>7</v>
      </c>
      <c r="D901" s="118" t="b">
        <v>1</v>
      </c>
      <c r="E901" s="61"/>
      <c r="F901" s="66" t="s">
        <v>819</v>
      </c>
      <c r="G901" s="66" t="s">
        <v>815</v>
      </c>
      <c r="H901" s="179" t="s">
        <v>959</v>
      </c>
      <c r="I901" s="39">
        <f t="shared" si="217"/>
        <v>0</v>
      </c>
      <c r="J901" s="40">
        <f t="shared" si="218"/>
        <v>0</v>
      </c>
      <c r="K901" s="41">
        <f t="shared" si="219"/>
        <v>0</v>
      </c>
      <c r="L901" s="42">
        <f t="shared" si="220"/>
        <v>0</v>
      </c>
      <c r="M901" s="43">
        <f t="shared" si="221"/>
        <v>0</v>
      </c>
      <c r="N901" s="44">
        <f t="shared" si="222"/>
        <v>0</v>
      </c>
      <c r="O901" s="45">
        <f t="shared" si="223"/>
        <v>0</v>
      </c>
      <c r="P901" s="19">
        <f t="shared" si="224"/>
        <v>0</v>
      </c>
      <c r="Q901" s="177">
        <v>80</v>
      </c>
      <c r="R901" s="40">
        <v>95</v>
      </c>
      <c r="S901" s="41">
        <v>115</v>
      </c>
      <c r="T901" s="42">
        <v>130</v>
      </c>
      <c r="U901" s="43">
        <v>115</v>
      </c>
      <c r="V901" s="44">
        <v>65</v>
      </c>
      <c r="W901" s="45">
        <f t="shared" si="225"/>
        <v>600</v>
      </c>
      <c r="X901" s="19">
        <f t="shared" si="226"/>
        <v>100</v>
      </c>
      <c r="AX901" s="174" t="b">
        <f>IF('Refined Compare'!$D$2="All",TRUE,IF(F901='Refined Compare'!$D$2,TRUE,IF(G901='Refined Compare'!$D$2,TRUE,FALSE)))</f>
        <v>0</v>
      </c>
      <c r="AY901" s="174" t="b">
        <f>IF('Refined Compare'!$D$3="All",TRUE,IF(F901='Refined Compare'!$D$3,TRUE,IF(G901='Refined Compare'!$D$3,TRUE,FALSE)))</f>
        <v>0</v>
      </c>
      <c r="AZ901" s="174" t="b">
        <f t="shared" si="227"/>
        <v>0</v>
      </c>
    </row>
    <row r="902" spans="1:52" ht="15" thickBot="1" x14ac:dyDescent="0.4">
      <c r="A902">
        <f t="shared" si="216"/>
        <v>901</v>
      </c>
      <c r="B902" s="20" t="s">
        <v>1072</v>
      </c>
      <c r="C902" s="63">
        <v>7</v>
      </c>
      <c r="D902" s="121" t="b">
        <v>1</v>
      </c>
      <c r="E902" s="63"/>
      <c r="F902" s="67" t="s">
        <v>816</v>
      </c>
      <c r="G902" s="67" t="s">
        <v>821</v>
      </c>
      <c r="H902" s="180" t="s">
        <v>960</v>
      </c>
      <c r="I902" s="22">
        <f t="shared" si="217"/>
        <v>0</v>
      </c>
      <c r="J902" s="23">
        <f t="shared" si="218"/>
        <v>0</v>
      </c>
      <c r="K902" s="24">
        <f t="shared" si="219"/>
        <v>0</v>
      </c>
      <c r="L902" s="25">
        <f t="shared" si="220"/>
        <v>0</v>
      </c>
      <c r="M902" s="26">
        <f t="shared" si="221"/>
        <v>0</v>
      </c>
      <c r="N902" s="27">
        <f t="shared" si="222"/>
        <v>0</v>
      </c>
      <c r="O902" s="28">
        <f t="shared" si="223"/>
        <v>0</v>
      </c>
      <c r="P902" s="29">
        <f t="shared" si="224"/>
        <v>0</v>
      </c>
      <c r="Q902" s="178">
        <v>90</v>
      </c>
      <c r="R902" s="23">
        <v>125</v>
      </c>
      <c r="S902" s="24">
        <v>80</v>
      </c>
      <c r="T902" s="25">
        <v>90</v>
      </c>
      <c r="U902" s="26">
        <v>90</v>
      </c>
      <c r="V902" s="27">
        <v>125</v>
      </c>
      <c r="W902" s="28">
        <f t="shared" si="225"/>
        <v>600</v>
      </c>
      <c r="X902" s="29">
        <f t="shared" si="226"/>
        <v>100</v>
      </c>
      <c r="AX902" s="174" t="b">
        <f>IF('Refined Compare'!$D$2="All",TRUE,IF(F902='Refined Compare'!$D$2,TRUE,IF(G902='Refined Compare'!$D$2,TRUE,FALSE)))</f>
        <v>0</v>
      </c>
      <c r="AY902" s="174" t="b">
        <f>IF('Refined Compare'!$D$3="All",TRUE,IF(F902='Refined Compare'!$D$3,TRUE,IF(G902='Refined Compare'!$D$3,TRUE,FALSE)))</f>
        <v>0</v>
      </c>
      <c r="AZ902" s="174" t="b">
        <f t="shared" ref="AZ902" si="228">IF(C902&lt;=$AW$2,TRUE,FALSE)</f>
        <v>0</v>
      </c>
    </row>
    <row r="903" spans="1:52" ht="15" thickTop="1" x14ac:dyDescent="0.35"/>
  </sheetData>
  <autoFilter ref="B1:AV818">
    <sortState ref="B2:AN800">
      <sortCondition ref="B1:B800"/>
    </sortState>
  </autoFilter>
  <conditionalFormatting sqref="G2:G95 G97 G99:G113 G115:G817">
    <cfRule type="cellIs" dxfId="8" priority="66" operator="equal">
      <formula>"Single type"</formula>
    </cfRule>
  </conditionalFormatting>
  <conditionalFormatting sqref="D2:D817">
    <cfRule type="cellIs" dxfId="7" priority="65" operator="equal">
      <formula>FALSE</formula>
    </cfRule>
  </conditionalFormatting>
  <conditionalFormatting sqref="G114">
    <cfRule type="cellIs" dxfId="6" priority="1" operator="equal">
      <formula>"Single type"</formula>
    </cfRule>
  </conditionalFormatting>
  <conditionalFormatting sqref="D818:D873">
    <cfRule type="cellIs" dxfId="5" priority="6" operator="equal">
      <formula>FALSE</formula>
    </cfRule>
  </conditionalFormatting>
  <conditionalFormatting sqref="D874:D902">
    <cfRule type="cellIs" dxfId="4" priority="4" operator="equal">
      <formula>FALSE</formula>
    </cfRule>
  </conditionalFormatting>
  <conditionalFormatting sqref="G874:G902">
    <cfRule type="cellIs" dxfId="3" priority="5" operator="equal">
      <formula>"Single type"</formula>
    </cfRule>
  </conditionalFormatting>
  <conditionalFormatting sqref="G818:G873">
    <cfRule type="cellIs" dxfId="2" priority="7" operator="equal">
      <formula>"Single type"</formula>
    </cfRule>
  </conditionalFormatting>
  <conditionalFormatting sqref="G98">
    <cfRule type="cellIs" dxfId="1" priority="2" operator="equal">
      <formula>"Single type"</formula>
    </cfRule>
  </conditionalFormatting>
  <conditionalFormatting sqref="G96">
    <cfRule type="cellIs" dxfId="0" priority="3" operator="equal">
      <formula>"Single type"</formula>
    </cfRule>
  </conditionalFormatting>
  <hyperlinks>
    <hyperlink ref="H250" r:id="rId1" tooltip="Shuckle (Pokémon)" display="http://bulbapedia.bulbagarden.net/wiki/Shuckle_(Pok%C3%A9mon)"/>
    <hyperlink ref="H515" r:id="rId2" tooltip="Munchlax (Pokémon)" display="http://bulbapedia.bulbagarden.net/wiki/Munchlax_(Pok%C3%A9mon)"/>
    <hyperlink ref="H379" r:id="rId3" tooltip="Trapinch (Pokémon)" display="http://bulbapedia.bulbagarden.net/wiki/Trapinch_(Pok%C3%A9mon)"/>
    <hyperlink ref="H506" r:id="rId4" tooltip="Bonsly (Pokémon)" display="http://bulbapedia.bulbagarden.net/wiki/Bonsly_(Pok%C3%A9mon)"/>
    <hyperlink ref="H678" r:id="rId5" tooltip="Ferroseed (Pokémon)" display="http://bulbapedia.bulbagarden.net/wiki/Ferroseed_(Pok%C3%A9mon)"/>
    <hyperlink ref="H101" r:id="rId6" tooltip="Slowpoke (Pokémon)" display="http://bulbapedia.bulbagarden.net/wiki/Slowpoke_(Pok%C3%A9mon)"/>
    <hyperlink ref="H207" r:id="rId7" tooltip="Cleffa (Pokémon)" display="http://bulbapedia.bulbagarden.net/wiki/Cleffa_(Pok%C3%A9mon)"/>
    <hyperlink ref="H208" r:id="rId8" tooltip="Igglybuff (Pokémon)" display="http://bulbapedia.bulbagarden.net/wiki/Igglybuff_(Pok%C3%A9mon)"/>
    <hyperlink ref="H229" r:id="rId9" tooltip="Wooper (Pokémon)" display="http://bulbapedia.bulbagarden.net/wiki/Wooper_(Pok%C3%A9mon)"/>
    <hyperlink ref="H239" r:id="rId10" tooltip="Pineco (Pokémon)" display="http://bulbapedia.bulbagarden.net/wiki/Pineco_(Pok%C3%A9mon)"/>
    <hyperlink ref="H309" r:id="rId11" tooltip="Silcoon (Pokémon)" display="http://bulbapedia.bulbagarden.net/wiki/Silcoon_(Pok%C3%A9mon)"/>
    <hyperlink ref="H311" r:id="rId12" tooltip="Cascoon (Pokémon)" display="http://bulbapedia.bulbagarden.net/wiki/Cascoon_(Pok%C3%A9mon)"/>
    <hyperlink ref="H603" r:id="rId13" tooltip="Roggenrola (Pokémon)" display="http://bulbapedia.bulbagarden.net/wiki/Roggenrola_(Pok%C3%A9mon)"/>
    <hyperlink ref="H671" r:id="rId14" tooltip="Foongus (Pokémon)" display="http://bulbapedia.bulbagarden.net/wiki/Foongus_(Pok%C3%A9mon)"/>
    <hyperlink ref="H53" r:id="rId15" tooltip="Jigglypuff (Pokémon)" display="http://bulbapedia.bulbagarden.net/wiki/Jigglypuff_(Pok%C3%A9mon)"/>
    <hyperlink ref="H93" r:id="rId16" tooltip="Geodude (Pokémon)" display="http://bulbapedia.bulbagarden.net/wiki/Geodude_(Pok%C3%A9mon)"/>
    <hyperlink ref="H195" r:id="rId17" tooltip="Sentret (Pokémon)" display="http://bulbapedia.bulbagarden.net/wiki/Sentret_(Pok%C3%A9mon)"/>
    <hyperlink ref="H209" r:id="rId18" tooltip="Togepi (Pokémon)" display="http://bulbapedia.bulbagarden.net/wiki/Togepi_(Pok%C3%A9mon)"/>
    <hyperlink ref="H256" r:id="rId19" tooltip="Slugma (Pokémon)" display="http://bulbapedia.bulbagarden.net/wiki/Slugma_(Pok%C3%A9mon)"/>
    <hyperlink ref="H308" r:id="rId20" tooltip="Wurmple (Pokémon)" display="http://bulbapedia.bulbagarden.net/wiki/Wurmple_(Pok%C3%A9mon)"/>
    <hyperlink ref="H342" r:id="rId21" tooltip="Azurill (Pokémon)" display="http://bulbapedia.bulbagarden.net/wiki/Azurill_(Pok%C3%A9mon)"/>
    <hyperlink ref="H347" r:id="rId22" tooltip="Sableye (Pokémon)" display="http://bulbapedia.bulbagarden.net/wiki/Sableye_(Pok%C3%A9mon)"/>
    <hyperlink ref="H374" r:id="rId23" tooltip="Camerupt (Pokémon)" display="http://bulbapedia.bulbagarden.net/wiki/Camerupt_(Pok%C3%A9mon)"/>
    <hyperlink ref="H375" r:id="rId24" tooltip="Torkoal (Pokémon)" display="http://bulbapedia.bulbagarden.net/wiki/Torkoal_(Pok%C3%A9mon)"/>
    <hyperlink ref="H604" r:id="rId25" tooltip="Boldore (Pokémon)" display="http://bulbapedia.bulbagarden.net/wiki/Boldore_(Pok%C3%A9mon)"/>
    <hyperlink ref="H658" r:id="rId26" tooltip="Solosis (Pokémon)" display="http://bulbapedia.bulbagarden.net/wiki/Solosis_(Pok%C3%A9mon)"/>
    <hyperlink ref="H670" r:id="rId27" tooltip="Escavalier (Pokémon)" display="http://bulbapedia.bulbagarden.net/wiki/Escavalier_(Pok%C3%A9mon)"/>
    <hyperlink ref="H679" r:id="rId28" tooltip="Ferrothorn (Pokémon)" display="http://bulbapedia.bulbagarden.net/wiki/Ferrothorn_(Pok%C3%A9mon)"/>
    <hyperlink ref="H688" r:id="rId29" tooltip="Litwick (Pokémon)" display="http://bulbapedia.bulbagarden.net/wiki/Litwick_(Pok%C3%A9mon)"/>
    <hyperlink ref="H645" r:id="rId30" tooltip="Tirtouga (Pokémon)" display="http://bulbapedia.bulbagarden.net/wiki/Tirtouga_(Pok%C3%A9mon)"/>
    <hyperlink ref="H397" r:id="rId31" tooltip="Lileep (Pokémon)" display="http://bulbapedia.bulbagarden.net/wiki/Lileep_(Pok%C3%A9mon)"/>
    <hyperlink ref="H414" r:id="rId32" tooltip="Wynaut (Pokémon)" display="http://bulbapedia.bulbagarden.net/wiki/Wynaut_(Pok%C3%A9mon)"/>
    <hyperlink ref="H504" r:id="rId33" tooltip="Bronzor (Pokémon)" display="http://bulbapedia.bulbagarden.net/wiki/Bronzor_(Pok%C3%A9mon)"/>
    <hyperlink ref="H770" r:id="rId34" tooltip="Spritzee (Pokémon)" display="http://bulbapedia.bulbagarden.net/wiki/Spritzee_(Pok%C3%A9mon)"/>
    <hyperlink ref="H596" r:id="rId35" tooltip="Munna (Pokémon)" display="http://bulbapedia.bulbagarden.net/wiki/Munna_(Pok%C3%A9mon)"/>
    <hyperlink ref="H60" r:id="rId36" tooltip="Paras (Pokémon)" display="http://bulbapedia.bulbagarden.net/wiki/Paras_(Pok%C3%A9mon)"/>
    <hyperlink ref="H111" r:id="rId37" tooltip="Grimer (Pokémon)" display="http://bulbapedia.bulbagarden.net/wiki/Grimer_(Pok%C3%A9mon)"/>
    <hyperlink ref="H139" r:id="rId38" tooltip="Rhyhorn (Pokémon)" display="http://bulbapedia.bulbagarden.net/wiki/Rhyhorn_(Pok%C3%A9mon)"/>
    <hyperlink ref="H340" r:id="rId39" tooltip="Makuhita (Pokémon)" display="http://bulbapedia.bulbagarden.net/wiki/Makuhita_(Pok%C3%A9mon)"/>
    <hyperlink ref="H408" r:id="rId40" tooltip="Duskull (Pokémon)" display="http://bulbapedia.bulbagarden.net/wiki/Duskull_(Pok%C3%A9mon)"/>
    <hyperlink ref="H409" r:id="rId41" tooltip="Dusclops (Pokémon)" display="http://bulbapedia.bulbagarden.net/wiki/Dusclops_(Pok%C3%A9mon)"/>
    <hyperlink ref="H418" r:id="rId42" tooltip="Spheal (Pokémon)" display="http://bulbapedia.bulbagarden.net/wiki/Spheal_(Pok%C3%A9mon)"/>
    <hyperlink ref="H466" r:id="rId43" tooltip="Kricketot (Pokémon)" display="http://bulbapedia.bulbagarden.net/wiki/Kricketot_(Pok%C3%A9mon)"/>
    <hyperlink ref="H605" r:id="rId44" tooltip="Gigalith (Pokémon)" display="http://bulbapedia.bulbagarden.net/wiki/Gigalith_(Pok%C3%A9mon)"/>
    <hyperlink ref="H697" r:id="rId45" tooltip="Shelmet (Pokémon)" display="http://bulbapedia.bulbagarden.net/wiki/Shelmet_(Pok%C3%A9mon)"/>
    <hyperlink ref="H337" r:id="rId46" tooltip="Whismur (Pokémon)" display="http://bulbapedia.bulbagarden.net/wiki/Whismur_(Pok%C3%A9mon)"/>
    <hyperlink ref="H766" r:id="rId47" tooltip="Honedge (Pokémon)" display="http://bulbapedia.bulbagarden.net/wiki/Honedge_(Pok%C3%A9mon)"/>
    <hyperlink ref="H806" r:id="rId48" tooltip="Bergmite (Pokémon)" display="http://bulbapedia.bulbagarden.net/wiki/Bergmite_(Pok%C3%A9mon)"/>
    <hyperlink ref="H807" r:id="rId49" tooltip="Avalugg (Pokémon)" display="http://bulbapedia.bulbagarden.net/wiki/Avalugg_(Pok%C3%A9mon)"/>
    <hyperlink ref="H597" r:id="rId50" tooltip="Musharna (Pokémon)" display="http://bulbapedia.bulbagarden.net/wiki/Musharna_(Pok%C3%A9mon)"/>
    <hyperlink ref="H752" r:id="rId51" tooltip="Spewpa (Pokémon)" display="http://bulbapedia.bulbagarden.net/wiki/Spewpa_(Pok%C3%A9mon)"/>
    <hyperlink ref="H771" r:id="rId52" tooltip="Aromatisse (Pokémon)" display="http://bulbapedia.bulbagarden.net/wiki/Aromatisse_(Pok%C3%A9mon)"/>
    <hyperlink ref="H16" r:id="rId53" tooltip="Metapod (Pokémon)" display="http://bulbapedia.bulbagarden.net/wiki/Metapod_(Pok%C3%A9mon)"/>
    <hyperlink ref="H57" r:id="rId54" tooltip="Oddish (Pokémon)" display="http://bulbapedia.bulbagarden.net/wiki/Oddish_(Pok%C3%A9mon)"/>
    <hyperlink ref="H61" r:id="rId55" tooltip="Parasect (Pokémon)" display="http://bulbapedia.bulbagarden.net/wiki/Parasect_(Pok%C3%A9mon)"/>
    <hyperlink ref="H102" r:id="rId56" tooltip="Slowbro (Pokémon)" display="http://bulbapedia.bulbagarden.net/wiki/Slowbro_(Pok%C3%A9mon)"/>
    <hyperlink ref="H103" r:id="rId57" tooltip="Slowbro (Pokémon)" display="http://bulbapedia.bulbagarden.net/wiki/Slowbro_(Pok%C3%A9mon)"/>
    <hyperlink ref="H136" r:id="rId58" tooltip="Lickitung (Pokémon)" display="http://bulbapedia.bulbagarden.net/wiki/Lickitung_(Pok%C3%A9mon)"/>
    <hyperlink ref="H175" r:id="rId59" tooltip="Snorlax (Pokémon)" display="http://bulbapedia.bulbagarden.net/wiki/Snorlax_(Pok%C3%A9mon)"/>
    <hyperlink ref="H201" r:id="rId60" tooltip="Spinarak (Pokémon)" display="http://bulbapedia.bulbagarden.net/wiki/Spinarak_(Pok%C3%A9mon)"/>
    <hyperlink ref="H220" r:id="rId61" tooltip="Sudowoodo (Pokémon)" display="http://bulbapedia.bulbagarden.net/wiki/Sudowoodo_(Pok%C3%A9mon)"/>
    <hyperlink ref="H226" r:id="rId62" tooltip="Sunkern (Pokémon)" display="http://bulbapedia.bulbagarden.net/wiki/Sunkern_(Pok%C3%A9mon)"/>
    <hyperlink ref="H227" r:id="rId63" tooltip="Sunflora (Pokémon)" display="http://bulbapedia.bulbagarden.net/wiki/Sunflora_(Pok%C3%A9mon)"/>
    <hyperlink ref="H234" r:id="rId64" tooltip="Slowking (Pokémon)" display="http://bulbapedia.bulbagarden.net/wiki/Slowking_(Pok%C3%A9mon)"/>
    <hyperlink ref="H243" r:id="rId65" tooltip="Steelix (Pokémon)" display="http://bulbapedia.bulbagarden.net/wiki/Steelix_(Pok%C3%A9mon)"/>
    <hyperlink ref="H244" r:id="rId66" tooltip="Steelix (Pokémon)" display="http://bulbapedia.bulbagarden.net/wiki/Steelix_(Pok%C3%A9mon)"/>
    <hyperlink ref="H245" r:id="rId67" tooltip="Snubbull (Pokémon)" display="http://bulbapedia.bulbagarden.net/wiki/Snubbull_(Pok%C3%A9mon)"/>
    <hyperlink ref="H257" r:id="rId68" tooltip="Magcargo (Pokémon)" display="http://bulbapedia.bulbagarden.net/wiki/Magcargo_(Pok%C3%A9mon)"/>
    <hyperlink ref="H313" r:id="rId69" tooltip="Lotad (Pokémon)" display="http://bulbapedia.bulbagarden.net/wiki/Lotad_(Pok%C3%A9mon)"/>
    <hyperlink ref="H316" r:id="rId70" tooltip="Seedot (Pokémon)" display="http://bulbapedia.bulbagarden.net/wiki/Seedot_(Pok%C3%A9mon)"/>
    <hyperlink ref="H331" r:id="rId71" tooltip="Slakoth (Pokémon)" display="http://bulbapedia.bulbagarden.net/wiki/Slakoth_(Pok%C3%A9mon)"/>
    <hyperlink ref="H343" r:id="rId72" tooltip="Nosepass (Pokémon)" display="http://bulbapedia.bulbagarden.net/wiki/Nosepass_(Pok%C3%A9mon)"/>
    <hyperlink ref="H350" r:id="rId73" tooltip="Aron (Pokémon)" display="http://bulbapedia.bulbagarden.net/wiki/Aron_(Pok%C3%A9mon)"/>
    <hyperlink ref="H430" r:id="rId74" tooltip="Beldum (Pokémon)" display="http://bulbapedia.bulbagarden.net/wiki/Beldum_(Pok%C3%A9mon)"/>
    <hyperlink ref="H475" r:id="rId75" tooltip="Shieldon (Pokémon)" display="http://bulbapedia.bulbagarden.net/wiki/Shieldon_(Pok%C3%A9mon)"/>
    <hyperlink ref="H476" r:id="rId76" tooltip="Bastiodon (Pokémon)" display="http://bulbapedia.bulbagarden.net/wiki/Bastiodon_(Pok%C3%A9mon)"/>
    <hyperlink ref="H508" r:id="rId77" tooltip="Happiny (Pokémon)" display="http://bulbapedia.bulbagarden.net/wiki/Happiny_(Pok%C3%A9mon)"/>
    <hyperlink ref="H531" r:id="rId78" tooltip="Abomasnow (Pokémon)" display="http://bulbapedia.bulbagarden.net/wiki/Abomasnow_(Pok%C3%A9mon)"/>
    <hyperlink ref="H628" r:id="rId79" tooltip="Petilil (Pokémon)" display="http://bulbapedia.bulbagarden.net/wiki/Petilil_(Pok%C3%A9mon)"/>
    <hyperlink ref="H643" r:id="rId80" tooltip="Yamask (Pokémon)" display="http://bulbapedia.bulbagarden.net/wiki/Yamask_(Pok%C3%A9mon)"/>
    <hyperlink ref="H644" r:id="rId81" tooltip="Cofagrigus (Pokémon)" display="http://bulbapedia.bulbagarden.net/wiki/Cofagrigus_(Pok%C3%A9mon)"/>
    <hyperlink ref="H659" r:id="rId82" tooltip="Duosion (Pokémon)" display="http://bulbapedia.bulbagarden.net/wiki/Duosion_(Pok%C3%A9mon)"/>
    <hyperlink ref="H660" r:id="rId83" tooltip="Reuniclus (Pokémon)" display="http://bulbapedia.bulbagarden.net/wiki/Reuniclus_(Pok%C3%A9mon)"/>
    <hyperlink ref="H672" r:id="rId84" tooltip="Amoonguss (Pokémon)" display="http://bulbapedia.bulbagarden.net/wiki/Amoonguss_(Pok%C3%A9mon)"/>
    <hyperlink ref="H680" r:id="rId85" tooltip="Klink (Pokémon)" display="http://bulbapedia.bulbagarden.net/wiki/Klink_(Pok%C3%A9mon)"/>
    <hyperlink ref="H686" r:id="rId86" tooltip="Elgyem (Pokémon)" display="http://bulbapedia.bulbagarden.net/wiki/Elgyem_(Pok%C3%A9mon)"/>
    <hyperlink ref="H778" r:id="rId87" tooltip="Skrelp (Pokémon)" display="http://bulbapedia.bulbagarden.net/wiki/Skrelp_(Pok%C3%A9mon)"/>
    <hyperlink ref="H452" r:id="rId88" tooltip="Turtwig (Pokémon)" display="http://bulbapedia.bulbagarden.net/wiki/Turtwig_(Pok%C3%A9mon)"/>
    <hyperlink ref="H464" r:id="rId89" tooltip="Bidoof (Pokémon)" display="http://bulbapedia.bulbagarden.net/wiki/Bidoof_(Pok%C3%A9mon)"/>
    <hyperlink ref="H421" r:id="rId90" tooltip="Clamperl (Pokémon)" display="http://bulbapedia.bulbagarden.net/wiki/Clamperl_(Pok%C3%A9mon)"/>
    <hyperlink ref="H519" r:id="rId91" tooltip="Hippopotas (Pokémon)" display="http://bulbapedia.bulbagarden.net/wiki/Hippopotas_(Pok%C3%A9mon)"/>
    <hyperlink ref="H646" r:id="rId92" tooltip="Carracosta (Pokémon)" display="http://bulbapedia.bulbagarden.net/wiki/Carracosta_(Pok%C3%A9mon)"/>
    <hyperlink ref="H699" r:id="rId93" tooltip="Stunfisk (Pokémon)" display="http://bulbapedia.bulbagarden.net/wiki/Stunfisk_(Pok%C3%A9mon)"/>
    <hyperlink ref="H237" r:id="rId94" tooltip="Wobbuffet (Pokémon)" display="http://bulbapedia.bulbagarden.net/wiki/Wobbuffet_(Pok%C3%A9mon)"/>
    <hyperlink ref="H505" r:id="rId95" tooltip="Bronzong (Pokémon)" display="http://bulbapedia.bulbagarden.net/wiki/Bronzong_(Pok%C3%A9mon)"/>
    <hyperlink ref="H489" r:id="rId96" tooltip="Shellos (Pokémon)" display="http://bulbapedia.bulbagarden.net/wiki/Shellos_(Pok%C3%A9mon)"/>
    <hyperlink ref="H19" r:id="rId97" tooltip="Kakuna (Pokémon)" display="http://bulbapedia.bulbagarden.net/wiki/Kakuna_(Pok%C3%A9mon)"/>
    <hyperlink ref="H47" r:id="rId98" tooltip="Clefairy (Pokémon)" display="http://bulbapedia.bulbagarden.net/wiki/Clefairy_(Pok%C3%A9mon)"/>
    <hyperlink ref="H85" r:id="rId99" tooltip="Machop (Pokémon)" display="http://bulbapedia.bulbagarden.net/wiki/Machop_(Pok%C3%A9mon)"/>
    <hyperlink ref="H95" r:id="rId100" tooltip="Graveler (Pokémon)" display="http://bulbapedia.bulbagarden.net/wiki/Graveler_(Pok%C3%A9mon)"/>
    <hyperlink ref="H131" r:id="rId101" tooltip="Cubone (Pokémon)" display="http://bulbapedia.bulbagarden.net/wiki/Cubone_(Pok%C3%A9mon)"/>
    <hyperlink ref="H137" r:id="rId102" tooltip="Koffing (Pokémon)" display="http://bulbapedia.bulbagarden.net/wiki/Koffing_(Pok%C3%A9mon)"/>
    <hyperlink ref="H169" r:id="rId103" tooltip="Omanyte (Pokémon)" display="http://bulbapedia.bulbagarden.net/wiki/Omanyte_(Pok%C3%A9mon)"/>
    <hyperlink ref="H213" r:id="rId104" tooltip="Mareep (Pokémon)" display="http://bulbapedia.bulbagarden.net/wiki/Mareep_(Pok%C3%A9mon)"/>
    <hyperlink ref="H230" r:id="rId105" tooltip="Quagsire (Pokémon)" display="http://bulbapedia.bulbagarden.net/wiki/Quagsire_(Pok%C3%A9mon)"/>
    <hyperlink ref="H260" r:id="rId106" tooltip="Corsola (Pokémon)" display="http://bulbapedia.bulbagarden.net/wiki/Corsola_(Pok%C3%A9mon)"/>
    <hyperlink ref="H275" r:id="rId107" tooltip="Tyrogue (Pokémon)" display="http://bulbapedia.bulbagarden.net/wiki/Tyrogue_(Pok%C3%A9mon)"/>
    <hyperlink ref="H304" r:id="rId108" tooltip="Poochyena (Pokémon)" display="http://bulbapedia.bulbagarden.net/wiki/Poochyena_(Pok%C3%A9mon)"/>
    <hyperlink ref="H329" r:id="rId109" tooltip="Shroomish (Pokémon)" display="http://bulbapedia.bulbagarden.net/wiki/Shroomish_(Pok%C3%A9mon)"/>
    <hyperlink ref="H372" r:id="rId110" tooltip="Numel (Pokémon)" display="http://bulbapedia.bulbagarden.net/wiki/Numel_(Pok%C3%A9mon)"/>
    <hyperlink ref="H382" r:id="rId111" tooltip="Cacnea (Pokémon)" display="http://bulbapedia.bulbagarden.net/wiki/Cacnea_(Pok%C3%A9mon)"/>
    <hyperlink ref="H393" r:id="rId112" tooltip="Corphish (Pokémon)" display="http://bulbapedia.bulbagarden.net/wiki/Corphish_(Pok%C3%A9mon)"/>
    <hyperlink ref="H487" r:id="rId113" tooltip="Cherubi (Pokémon)" display="http://bulbapedia.bulbagarden.net/wiki/Cherubi_(Pok%C3%A9mon)"/>
    <hyperlink ref="H510" r:id="rId114" tooltip="Spiritomb (Pokémon)" display="http://bulbapedia.bulbagarden.net/wiki/Spiritomb_(Pok%C3%A9mon)"/>
    <hyperlink ref="H612" r:id="rId115" tooltip="Timburr (Pokémon)" display="http://bulbapedia.bulbagarden.net/wiki/Timburr_(Pok%C3%A9mon)"/>
    <hyperlink ref="H703" r:id="rId116" tooltip="Golett (Pokémon)" display="http://bulbapedia.bulbagarden.net/wiki/Golett_(Pok%C3%A9mon)"/>
    <hyperlink ref="H751" r:id="rId117" tooltip="Scatterbug (Pokémon)" display="http://bulbapedia.bulbagarden.net/wiki/Scatterbug_(Pok%C3%A9mon)"/>
    <hyperlink ref="H767" r:id="rId118" tooltip="Doublade (Pokémon)" display="http://bulbapedia.bulbagarden.net/wiki/Doublade_(Pok%C3%A9mon)"/>
    <hyperlink ref="H453" r:id="rId119" tooltip="Grotle (Pokémon)" display="http://bulbapedia.bulbagarden.net/wiki/Grotle_(Pok%C3%A9mon)"/>
    <hyperlink ref="H477" r:id="rId120" tooltip="Burmy (Pokémon)" display="http://bulbapedia.bulbagarden.net/wiki/Burmy_(Pok%C3%A9mon)"/>
    <hyperlink ref="H478" r:id="rId121" tooltip="Wormadam (Pokémon)" display="http://bulbapedia.bulbagarden.net/wiki/Wormadam_(Pok%C3%A9mon)"/>
    <hyperlink ref="H479" r:id="rId122" tooltip="Wormadam (Pokémon)" display="http://bulbapedia.bulbagarden.net/wiki/Wormadam_(Pok%C3%A9mon)"/>
    <hyperlink ref="H480" r:id="rId123" tooltip="Wormadam (Pokémon)" display="http://bulbapedia.bulbagarden.net/wiki/Wormadam_(Pok%C3%A9mon)"/>
    <hyperlink ref="H714" r:id="rId124" tooltip="Deino (Pokémon)" display="http://bulbapedia.bulbagarden.net/wiki/Deino_(Pok%C3%A9mon)"/>
    <hyperlink ref="H737" r:id="rId125" tooltip="Chespin (Pokémon)" display="http://bulbapedia.bulbagarden.net/wiki/Chespin_(Pok%C3%A9mon)"/>
    <hyperlink ref="H796" r:id="rId126" tooltip="Phantump (Pokémon)" display="http://bulbapedia.bulbagarden.net/wiki/Phantump_(Pok%C3%A9mon)"/>
    <hyperlink ref="H490" r:id="rId127" tooltip="Gastrodon (Pokémon)" display="http://bulbapedia.bulbagarden.net/wiki/Gastrodon_(Pok%C3%A9mon)"/>
    <hyperlink ref="H37" r:id="rId128" tooltip="Sandshrew (Pokémon)" display="http://bulbapedia.bulbagarden.net/wiki/Sandshrew_(Pok%C3%A9mon)"/>
    <hyperlink ref="H58" r:id="rId129" tooltip="Gloom (Pokémon)" display="http://bulbapedia.bulbagarden.net/wiki/Gloom_(Pok%C3%A9mon)"/>
    <hyperlink ref="H88" r:id="rId130" tooltip="Bellsprout (Pokémon)" display="http://bulbapedia.bulbagarden.net/wiki/Bellsprout_(Pok%C3%A9mon)"/>
    <hyperlink ref="H115" r:id="rId131" tooltip="Shellder (Pokémon)" display="http://bulbapedia.bulbagarden.net/wiki/Shellder_(Pok%C3%A9mon)"/>
    <hyperlink ref="H128" r:id="rId132" tooltip="Exeggcute (Pokémon)" display="http://bulbapedia.bulbagarden.net/wiki/Exeggcute_(Pok%C3%A9mon)"/>
    <hyperlink ref="H140" r:id="rId133" tooltip="Rhydon (Pokémon)" display="http://bulbapedia.bulbagarden.net/wiki/Rhydon_(Pok%C3%A9mon)"/>
    <hyperlink ref="H168" r:id="rId134" tooltip="Porygon (Pokémon)" display="http://bulbapedia.bulbagarden.net/wiki/Porygon_(Pok%C3%A9mon)"/>
    <hyperlink ref="H202" r:id="rId135" tooltip="Ariados (Pokémon)" display="http://bulbapedia.bulbagarden.net/wiki/Ariados_(Pok%C3%A9mon)"/>
    <hyperlink ref="H210" r:id="rId136" tooltip="Togetic (Pokémon)" display="http://bulbapedia.bulbagarden.net/wiki/Togetic_(Pok%C3%A9mon)"/>
    <hyperlink ref="H218" r:id="rId137" tooltip="Marill (Pokémon)" display="http://bulbapedia.bulbagarden.net/wiki/Marill_(Pok%C3%A9mon)"/>
    <hyperlink ref="H240" r:id="rId138" tooltip="Forretress (Pokémon)" display="http://bulbapedia.bulbagarden.net/wiki/Forretress_(Pok%C3%A9mon)"/>
    <hyperlink ref="H254" r:id="rId139" tooltip="Teddiursa (Pokémon)" display="http://bulbapedia.bulbagarden.net/wiki/Teddiursa_(Pok%C3%A9mon)"/>
    <hyperlink ref="H270" r:id="rId140" tooltip="Phanpy (Pokémon)" display="http://bulbapedia.bulbagarden.net/wiki/Phanpy_(Pok%C3%A9mon)"/>
    <hyperlink ref="H300" r:id="rId141" tooltip="Mudkip (Pokémon)" display="http://bulbapedia.bulbagarden.net/wiki/Mudkip_(Pok%C3%A9mon)"/>
    <hyperlink ref="H323" r:id="rId142" tooltip="Ralts (Pokémon)" display="http://bulbapedia.bulbagarden.net/wiki/Ralts_(Pok%C3%A9mon)"/>
    <hyperlink ref="H334" r:id="rId143" tooltip="Nincada (Pokémon)" display="http://bulbapedia.bulbagarden.net/wiki/Nincada_(Pok%C3%A9mon)"/>
    <hyperlink ref="H336" r:id="rId144" tooltip="Shedinja (Pokémon)" display="http://bulbapedia.bulbagarden.net/wiki/Shedinja_(Pok%C3%A9mon)"/>
    <hyperlink ref="H351" r:id="rId145" tooltip="Lairon (Pokémon)" display="http://bulbapedia.bulbagarden.net/wiki/Lairon_(Pok%C3%A9mon)"/>
    <hyperlink ref="H365" r:id="rId146" tooltip="Gulpin (Pokémon)" display="http://bulbapedia.bulbagarden.net/wiki/Gulpin_(Pok%C3%A9mon)"/>
    <hyperlink ref="H373" r:id="rId147" tooltip="Camerupt (Pokémon)" display="http://bulbapedia.bulbagarden.net/wiki/Camerupt_(Pok%C3%A9mon)"/>
    <hyperlink ref="H404" r:id="rId148" tooltip="Kecleon (Pokémon)" display="http://bulbapedia.bulbagarden.net/wiki/Kecleon_(Pok%C3%A9mon)"/>
    <hyperlink ref="H458" r:id="rId149" tooltip="Piplup (Pokémon)" display="http://bulbapedia.bulbagarden.net/wiki/Piplup_(Pok%C3%A9mon)"/>
    <hyperlink ref="H483" r:id="rId150" tooltip="Vespiquen (Pokémon)" display="http://bulbapedia.bulbagarden.net/wiki/Vespiquen_(Pok%C3%A9mon)"/>
    <hyperlink ref="H529" r:id="rId151" tooltip="Snover (Pokémon)" display="http://bulbapedia.bulbagarden.net/wiki/Snover_(Pok%C3%A9mon)"/>
    <hyperlink ref="H535" r:id="rId152" tooltip="Rhyperior (Pokémon)" display="http://bulbapedia.bulbagarden.net/wiki/Rhyperior_(Pok%C3%A9mon)"/>
    <hyperlink ref="H548" r:id="rId153" tooltip="Probopass (Pokémon)" display="http://bulbapedia.bulbagarden.net/wiki/Probopass_(Pok%C3%A9mon)"/>
    <hyperlink ref="H613" r:id="rId154" tooltip="Gurdurr (Pokémon)" display="http://bulbapedia.bulbagarden.net/wiki/Gurdurr_(Pok%C3%A9mon)"/>
    <hyperlink ref="H673" r:id="rId155" tooltip="Frillish (Pokémon)" display="http://bulbapedia.bulbagarden.net/wiki/Frillish_(Pok%C3%A9mon)"/>
    <hyperlink ref="H684" r:id="rId156" tooltip="Eelektrik (Pokémon)" display="http://bulbapedia.bulbagarden.net/wiki/Eelektrik_(Pok%C3%A9mon)"/>
    <hyperlink ref="H687" r:id="rId157" tooltip="Beheeyem (Pokémon)" display="http://bulbapedia.bulbagarden.net/wiki/Beheeyem_(Pok%C3%A9mon)"/>
    <hyperlink ref="H694" r:id="rId158" tooltip="Cubchoo (Pokémon)" display="http://bulbapedia.bulbagarden.net/wiki/Cubchoo_(Pok%C3%A9mon)"/>
    <hyperlink ref="H792" r:id="rId159" tooltip="Goomy (Pokémon)" display="http://bulbapedia.bulbagarden.net/wiki/Goomy_(Pok%C3%A9mon)"/>
    <hyperlink ref="H41" r:id="rId160" tooltip="Nidoran♀ (Pokémon)" display="http://bulbapedia.bulbagarden.net/wiki/Nidoran%E2%99%80_(Pok%C3%A9mon)"/>
    <hyperlink ref="H285" r:id="rId161" tooltip="Larvitar (Pokémon)" display="http://bulbapedia.bulbagarden.net/wiki/Larvitar_(Pok%C3%A9mon)"/>
    <hyperlink ref="H798" r:id="rId162" tooltip="Pumpkaboo (Pokémon)" display="http://bulbapedia.bulbagarden.net/wiki/Pumpkaboo_(Pok%C3%A9mon)"/>
    <hyperlink ref="H122" r:id="rId163" tooltip="Drowzee (Pokémon)" display="http://bulbapedia.bulbagarden.net/wiki/Drowzee_(Pok%C3%A9mon)"/>
    <hyperlink ref="H511" r:id="rId164" tooltip="Gible (Pokémon)" display="http://bulbapedia.bulbagarden.net/wiki/Gible_(Pok%C3%A9mon)"/>
    <hyperlink ref="H583" r:id="rId165" tooltip="Patrat (Pokémon)" display="http://bulbapedia.bulbagarden.net/wiki/Patrat_(Pok%C3%A9mon)"/>
    <hyperlink ref="H620" r:id="rId166" tooltip="Sewaddle (Pokémon)" display="http://bulbapedia.bulbagarden.net/wiki/Sewaddle_(Pok%C3%A9mon)"/>
    <hyperlink ref="H621" r:id="rId167" tooltip="Swadloon (Pokémon)" display="http://bulbapedia.bulbagarden.net/wiki/Swadloon_(Pok%C3%A9mon)"/>
    <hyperlink ref="H756" r:id="rId168" tooltip="Flabébé (Pokémon)" display="http://bulbapedia.bulbagarden.net/wiki/Flab%C3%A9b%C3%A9_(Pok%C3%A9mon)"/>
    <hyperlink ref="H11" r:id="rId169" tooltip="Squirtle (Pokémon)" display="http://bulbapedia.bulbagarden.net/wiki/Squirtle_(Pok%C3%A9mon)"/>
    <hyperlink ref="H192" r:id="rId170" tooltip="Totodile (Pokémon)" display="http://bulbapedia.bulbagarden.net/wiki/Totodile_(Pok%C3%A9mon)"/>
    <hyperlink ref="H398" r:id="rId171" tooltip="Cradily (Pokémon)" display="http://bulbapedia.bulbagarden.net/wiki/Cradily_(Pok%C3%A9mon)"/>
    <hyperlink ref="H598" r:id="rId172" tooltip="Pidove (Pokémon)" display="http://bulbapedia.bulbagarden.net/wiki/Pidove_(Pok%C3%A9mon)"/>
    <hyperlink ref="H761" r:id="rId173" tooltip="Pancham (Pokémon)" display="http://bulbapedia.bulbagarden.net/wiki/Pancham_(Pok%C3%A9mon)"/>
    <hyperlink ref="H663" r:id="rId174" tooltip="Vanillite (Pokémon)" display="http://bulbapedia.bulbagarden.net/wiki/Vanillite_(Pok%C3%A9mon)"/>
    <hyperlink ref="H779" r:id="rId175" tooltip="Dragalge (Pokémon)" display="http://bulbapedia.bulbagarden.net/wiki/Dragalge_(Pok%C3%A9mon)"/>
    <hyperlink ref="H780" r:id="rId176" tooltip="Clauncher (Pokémon)" display="http://bulbapedia.bulbagarden.net/wiki/Clauncher_(Pok%C3%A9mon)"/>
    <hyperlink ref="H2" r:id="rId177" tooltip="Bulbasaur (Pokémon)" display="http://bulbapedia.bulbagarden.net/wiki/Bulbasaur_(Pok%C3%A9mon)"/>
    <hyperlink ref="H15" r:id="rId178" tooltip="Caterpie (Pokémon)" display="http://bulbapedia.bulbagarden.net/wiki/Caterpie_(Pok%C3%A9mon)"/>
    <hyperlink ref="H54" r:id="rId179" tooltip="Wigglytuff (Pokémon)" display="http://bulbapedia.bulbagarden.net/wiki/Wigglytuff_(Pok%C3%A9mon)"/>
    <hyperlink ref="H62" r:id="rId180" tooltip="Venonat (Pokémon)" display="http://bulbapedia.bulbagarden.net/wiki/Venonat_(Pok%C3%A9mon)"/>
    <hyperlink ref="H86" r:id="rId181" tooltip="Machoke (Pokémon)" display="http://bulbapedia.bulbagarden.net/wiki/Machoke_(Pok%C3%A9mon)"/>
    <hyperlink ref="H97" r:id="rId182" tooltip="Golem (Pokémon)" display="http://bulbapedia.bulbagarden.net/wiki/Golem_(Pok%C3%A9mon)"/>
    <hyperlink ref="H104" r:id="rId183" tooltip="Magnemite (Pokémon)" display="http://bulbapedia.bulbagarden.net/wiki/Magnemite_(Pok%C3%A9mon)"/>
    <hyperlink ref="H109" r:id="rId184" tooltip="Seel (Pokémon)" display="http://bulbapedia.bulbagarden.net/wiki/Seel_(Pok%C3%A9mon)"/>
    <hyperlink ref="H132" r:id="rId185" tooltip="Marowak (Pokémon)" display="http://bulbapedia.bulbagarden.net/wiki/Marowak_(Pok%C3%A9mon)"/>
    <hyperlink ref="H186" r:id="rId186" tooltip="Chikorita (Pokémon)" display="http://bulbapedia.bulbagarden.net/wiki/Chikorita_(Pok%C3%A9mon)"/>
    <hyperlink ref="H214" r:id="rId187" tooltip="Flaaffy (Pokémon)" display="http://bulbapedia.bulbagarden.net/wiki/Flaaffy_(Pok%C3%A9mon)"/>
    <hyperlink ref="H216" r:id="rId188" tooltip="Ampharos (Pokémon)" display="http://bulbapedia.bulbagarden.net/wiki/Ampharos_(Pok%C3%A9mon)"/>
    <hyperlink ref="H241" r:id="rId189" tooltip="Dunsparce (Pokémon)" display="http://bulbapedia.bulbagarden.net/wiki/Dunsparce_(Pok%C3%A9mon)"/>
    <hyperlink ref="H246" r:id="rId190" tooltip="Granbull (Pokémon)" display="http://bulbapedia.bulbagarden.net/wiki/Granbull_(Pok%C3%A9mon)"/>
    <hyperlink ref="H262" r:id="rId191" tooltip="Octillery (Pokémon)" display="http://bulbapedia.bulbagarden.net/wiki/Octillery_(Pok%C3%A9mon)"/>
    <hyperlink ref="H296" r:id="rId192" tooltip="Torchic (Pokémon)" display="http://bulbapedia.bulbagarden.net/wiki/Torchic_(Pok%C3%A9mon)"/>
    <hyperlink ref="H400" r:id="rId193" tooltip="Armaldo (Pokémon)" display="http://bulbapedia.bulbagarden.net/wiki/Armaldo_(Pok%C3%A9mon)"/>
    <hyperlink ref="H405" r:id="rId194" tooltip="Shuppet (Pokémon)" display="http://bulbapedia.bulbagarden.net/wiki/Shuppet_(Pok%C3%A9mon)"/>
    <hyperlink ref="H419" r:id="rId195" tooltip="Sealeo (Pokémon)" display="http://bulbapedia.bulbagarden.net/wiki/Sealeo_(Pok%C3%A9mon)"/>
    <hyperlink ref="H468" r:id="rId196" tooltip="Shinx (Pokémon)" display="http://bulbapedia.bulbagarden.net/wiki/Shinx_(Pok%C3%A9mon)"/>
    <hyperlink ref="H501" r:id="rId197" tooltip="Chingling (Pokémon)" display="http://bulbapedia.bulbagarden.net/wiki/Chingling_(Pok%C3%A9mon)"/>
    <hyperlink ref="H549" r:id="rId198" tooltip="Dusknoir (Pokémon)" display="http://bulbapedia.bulbagarden.net/wiki/Dusknoir_(Pok%C3%A9mon)"/>
    <hyperlink ref="H577" r:id="rId199" tooltip="Tepig (Pokémon)" display="http://bulbapedia.bulbagarden.net/wiki/Tepig_(Pok%C3%A9mon)"/>
    <hyperlink ref="H580" r:id="rId200" tooltip="Oshawott (Pokémon)" display="http://bulbapedia.bulbagarden.net/wiki/Oshawott_(Pok%C3%A9mon)"/>
    <hyperlink ref="H614" r:id="rId201" tooltip="Conkeldurr (Pokémon)" display="http://bulbapedia.bulbagarden.net/wiki/Conkeldurr_(Pok%C3%A9mon)"/>
    <hyperlink ref="H618" r:id="rId202" tooltip="Throh (Pokémon)" display="http://bulbapedia.bulbagarden.net/wiki/Throh_(Pok%C3%A9mon)"/>
    <hyperlink ref="H639" r:id="rId203" tooltip="Crustle (Pokémon)" display="http://bulbapedia.bulbagarden.net/wiki/Crustle_(Pok%C3%A9mon)"/>
    <hyperlink ref="H655" r:id="rId204" tooltip="Gothita (Pokémon)" display="http://bulbapedia.bulbagarden.net/wiki/Gothita_(Pok%C3%A9mon)"/>
    <hyperlink ref="H774" r:id="rId205" tooltip="Inkay (Pokémon)" display="http://bulbapedia.bulbagarden.net/wiki/Inkay_(Pok%C3%A9mon)"/>
    <hyperlink ref="H525" r:id="rId206" tooltip="Carnivine (Pokémon)" display="http://bulbapedia.bulbagarden.net/wiki/Carnivine_(Pok%C3%A9mon)"/>
    <hyperlink ref="H786" r:id="rId207" tooltip="Amaura (Pokémon)" display="http://bulbapedia.bulbagarden.net/wiki/Amaura_(Pok%C3%A9mon)"/>
    <hyperlink ref="H520" r:id="rId208" tooltip="Hippowdon (Pokémon)" display="http://bulbapedia.bulbagarden.net/wiki/Hippowdon_(Pok%C3%A9mon)"/>
    <hyperlink ref="H624" r:id="rId209" tooltip="Whirlipede (Pokémon)" display="http://bulbapedia.bulbagarden.net/wiki/Whirlipede_(Pok%C3%A9mon)"/>
    <hyperlink ref="H163" r:id="rId210" tooltip="Ditto (Pokémon)" display="http://bulbapedia.bulbagarden.net/wiki/Ditto_(Pok%C3%A9mon)"/>
    <hyperlink ref="H236" r:id="rId211" tooltip="Unown (Pokémon)" display="http://bulbapedia.bulbagarden.net/wiki/Unown_(Pok%C3%A9mon)"/>
    <hyperlink ref="H338" r:id="rId212" tooltip="Loudred (Pokémon)" display="http://bulbapedia.bulbagarden.net/wiki/Loudred_(Pok%C3%A9mon)"/>
    <hyperlink ref="H640" r:id="rId213" tooltip="Scraggy (Pokémon)" display="http://bulbapedia.bulbagarden.net/wiki/Scraggy_(Pok%C3%A9mon)"/>
    <hyperlink ref="H702" r:id="rId214" tooltip="Druddigon (Pokémon)" display="http://bulbapedia.bulbagarden.net/wiki/Druddigon_(Pok%C3%A9mon)"/>
    <hyperlink ref="H784" r:id="rId215" tooltip="Tyrunt (Pokémon)" display="http://bulbapedia.bulbagarden.net/wiki/Tyrunt_(Pok%C3%A9mon)"/>
    <hyperlink ref="H772" r:id="rId216" tooltip="Swirlix (Pokémon)" display="http://bulbapedia.bulbagarden.net/wiki/Swirlix_(Pok%C3%A9mon)"/>
    <hyperlink ref="H18" r:id="rId217" tooltip="Weedle (Pokémon)" display="http://bulbapedia.bulbagarden.net/wiki/Weedle_(Pok%C3%A9mon)"/>
    <hyperlink ref="H44" r:id="rId218" tooltip="Nidoran♂ (Pokémon)" display="http://bulbapedia.bulbagarden.net/wiki/Nidoran%E2%99%82_(Pok%C3%A9mon)"/>
    <hyperlink ref="H59" r:id="rId219" tooltip="Vileplume (Pokémon)" display="http://bulbapedia.bulbagarden.net/wiki/Vileplume_(Pok%C3%A9mon)"/>
    <hyperlink ref="H113" r:id="rId220" tooltip="Muk (Pokémon)" display="http://bulbapedia.bulbagarden.net/wiki/Muk_(Pok%C3%A9mon)"/>
    <hyperlink ref="H124" r:id="rId221" tooltip="Krabby (Pokémon)" display="http://bulbapedia.bulbagarden.net/wiki/Krabby_(Pok%C3%A9mon)"/>
    <hyperlink ref="H141" r:id="rId222" tooltip="Chansey (Pokémon)" display="http://bulbapedia.bulbagarden.net/wiki/Chansey_(Pok%C3%A9mon)"/>
    <hyperlink ref="H179" r:id="rId223" tooltip="Dratini (Pokémon)" display="http://bulbapedia.bulbagarden.net/wiki/Dratini_(Pok%C3%A9mon)"/>
    <hyperlink ref="H197" r:id="rId224" tooltip="Hoothoot (Pokémon)" display="http://bulbapedia.bulbagarden.net/wiki/Hoothoot_(Pok%C3%A9mon)"/>
    <hyperlink ref="H217" r:id="rId225" tooltip="Bellossom (Pokémon)" display="http://bulbapedia.bulbagarden.net/wiki/Bellossom_(Pok%C3%A9mon)"/>
    <hyperlink ref="H219" r:id="rId226" tooltip="Azumarill (Pokémon)" display="http://bulbapedia.bulbagarden.net/wiki/Azumarill_(Pok%C3%A9mon)"/>
    <hyperlink ref="H222" r:id="rId227" tooltip="Hoppip (Pokémon)" display="http://bulbapedia.bulbagarden.net/wiki/Hoppip_(Pok%C3%A9mon)"/>
    <hyperlink ref="H258" r:id="rId228" tooltip="Swinub (Pokémon)" display="http://bulbapedia.bulbagarden.net/wiki/Swinub_(Pok%C3%A9mon)"/>
    <hyperlink ref="H259" r:id="rId229" tooltip="Piloswine (Pokémon)" display="http://bulbapedia.bulbagarden.net/wiki/Piloswine_(Pok%C3%A9mon)"/>
    <hyperlink ref="H271" r:id="rId230" tooltip="Donphan (Pokémon)" display="http://bulbapedia.bulbagarden.net/wiki/Donphan_(Pok%C3%A9mon)"/>
    <hyperlink ref="H301" r:id="rId231" tooltip="Marshtomp (Pokémon)" display="http://bulbapedia.bulbagarden.net/wiki/Marshtomp_(Pok%C3%A9mon)"/>
    <hyperlink ref="H314" r:id="rId232" tooltip="Lombre (Pokémon)" display="http://bulbapedia.bulbagarden.net/wiki/Lombre_(Pok%C3%A9mon)"/>
    <hyperlink ref="H324" r:id="rId233" tooltip="Kirlia (Pokémon)" display="http://bulbapedia.bulbagarden.net/wiki/Kirlia_(Pok%C3%A9mon)"/>
    <hyperlink ref="H341" r:id="rId234" tooltip="Hariyama (Pokémon)" display="http://bulbapedia.bulbagarden.net/wiki/Hariyama_(Pok%C3%A9mon)"/>
    <hyperlink ref="H344" r:id="rId235" tooltip="Skitty (Pokémon)" display="http://bulbapedia.bulbagarden.net/wiki/Skitty_(Pok%C3%A9mon)"/>
    <hyperlink ref="H346" r:id="rId236" tooltip="Sableye (Pokémon)" display="http://bulbapedia.bulbagarden.net/wiki/Sableye_(Pok%C3%A9mon)"/>
    <hyperlink ref="H348" r:id="rId237" tooltip="Mawile (Pokémon)" display="http://bulbapedia.bulbagarden.net/wiki/Mawile_(Pok%C3%A9mon)"/>
    <hyperlink ref="H349" r:id="rId238" tooltip="Mawile (Pokémon)" display="http://bulbapedia.bulbagarden.net/wiki/Mawile_(Pok%C3%A9mon)"/>
    <hyperlink ref="H352" r:id="rId239" tooltip="Aggron (Pokémon)" display="http://bulbapedia.bulbagarden.net/wiki/Aggron_(Pok%C3%A9mon)"/>
    <hyperlink ref="H353" r:id="rId240" tooltip="Aggron (Pokémon)" display="http://bulbapedia.bulbagarden.net/wiki/Aggron_(Pok%C3%A9mon)"/>
    <hyperlink ref="H384" r:id="rId241" tooltip="Swablu (Pokémon)" display="http://bulbapedia.bulbagarden.net/wiki/Swablu_(Pok%C3%A9mon)"/>
    <hyperlink ref="H415" r:id="rId242" tooltip="Snorunt (Pokémon)" display="http://bulbapedia.bulbagarden.net/wiki/Snorunt_(Pok%C3%A9mon)"/>
    <hyperlink ref="H426" r:id="rId243" tooltip="Bagon (Pokémon)" display="http://bulbapedia.bulbagarden.net/wiki/Bagon_(Pok%C3%A9mon)"/>
    <hyperlink ref="H427" r:id="rId244" tooltip="Shelgon (Pokémon)" display="http://bulbapedia.bulbagarden.net/wiki/Shelgon_(Pok%C3%A9mon)"/>
    <hyperlink ref="H431" r:id="rId245" tooltip="Metang (Pokémon)" display="http://bulbapedia.bulbagarden.net/wiki/Metang_(Pok%C3%A9mon)"/>
    <hyperlink ref="H434" r:id="rId246" tooltip="Regirock (Pokémon)" display="http://bulbapedia.bulbagarden.net/wiki/Regirock_(Pok%C3%A9mon)"/>
    <hyperlink ref="H435" r:id="rId247" tooltip="Regice (Pokémon)" display="http://bulbapedia.bulbagarden.net/wiki/Regice_(Pok%C3%A9mon)"/>
    <hyperlink ref="H436" r:id="rId248" tooltip="Registeel (Pokémon)" display="http://bulbapedia.bulbagarden.net/wiki/Registeel_(Pok%C3%A9mon)"/>
    <hyperlink ref="H459" r:id="rId249" tooltip="Prinplup (Pokémon)" display="http://bulbapedia.bulbagarden.net/wiki/Prinplup_(Pok%C3%A9mon)"/>
    <hyperlink ref="H523" r:id="rId250" tooltip="Croagunk (Pokémon)" display="http://bulbapedia.bulbagarden.net/wiki/Croagunk_(Pok%C3%A9mon)"/>
    <hyperlink ref="H528" r:id="rId251" tooltip="Mantyke (Pokémon)" display="http://bulbapedia.bulbagarden.net/wiki/Mantyke_(Pok%C3%A9mon)"/>
    <hyperlink ref="H534" r:id="rId252" tooltip="Lickilicky (Pokémon)" display="http://bulbapedia.bulbagarden.net/wiki/Lickilicky_(Pok%C3%A9mon)"/>
    <hyperlink ref="H536" r:id="rId253" tooltip="Tangrowth (Pokémon)" display="http://bulbapedia.bulbagarden.net/wiki/Tangrowth_(Pok%C3%A9mon)"/>
    <hyperlink ref="H610" r:id="rId254" tooltip="Audino (Pokémon)" display="http://bulbapedia.bulbagarden.net/wiki/Audino_(Pok%C3%A9mon)"/>
    <hyperlink ref="H611" r:id="rId255" tooltip="Audino (Pokémon)" display="http://bulbapedia.bulbagarden.net/wiki/Audino_(Pok%C3%A9mon)"/>
    <hyperlink ref="H634" r:id="rId256" tooltip="Darumaka (Pokémon)" display="http://bulbapedia.bulbagarden.net/wiki/Darumaka_(Pok%C3%A9mon)"/>
    <hyperlink ref="H681" r:id="rId257" tooltip="Klang (Pokémon)" display="http://bulbapedia.bulbagarden.net/wiki/Klang_(Pok%C3%A9mon)"/>
    <hyperlink ref="H685" r:id="rId258" tooltip="Eelektross (Pokémon)" display="http://bulbapedia.bulbagarden.net/wiki/Eelektross_(Pok%C3%A9mon)"/>
    <hyperlink ref="H695" r:id="rId259" tooltip="Beartic (Pokémon)" display="http://bulbapedia.bulbagarden.net/wiki/Beartic_(Pok%C3%A9mon)"/>
    <hyperlink ref="H776" r:id="rId260" tooltip="Binacle (Pokémon)" display="http://bulbapedia.bulbagarden.net/wiki/Binacle_(Pok%C3%A9mon)"/>
    <hyperlink ref="H791" r:id="rId261" tooltip="Carbink (Pokémon)" display="http://bulbapedia.bulbagarden.net/wiki/Carbink_(Pok%C3%A9mon)"/>
    <hyperlink ref="H814" r:id="rId262" tooltip="Diancie (Pokémon)" display="http://bulbapedia.bulbagarden.net/wiki/Diancie_(Pok%C3%A9mon)"/>
    <hyperlink ref="H286" r:id="rId263" tooltip="Pupitar (Pokémon)" display="http://bulbapedia.bulbagarden.net/wiki/Pupitar_(Pok%C3%A9mon)"/>
    <hyperlink ref="H410" r:id="rId264" tooltip="Tropius (Pokémon)" display="http://bulbapedia.bulbagarden.net/wiki/Tropius_(Pok%C3%A9mon)"/>
    <hyperlink ref="H800" r:id="rId265" tooltip="Pumpkaboo (Pokémon)" display="http://bulbapedia.bulbagarden.net/wiki/Pumpkaboo_(Pok%C3%A9mon)"/>
    <hyperlink ref="H422" r:id="rId266" tooltip="Huntail (Pokémon)" display="http://bulbapedia.bulbagarden.net/wiki/Huntail_(Pok%C3%A9mon)"/>
    <hyperlink ref="H423" r:id="rId267" tooltip="Gorebyss (Pokémon)" display="http://bulbapedia.bulbagarden.net/wiki/Gorebyss_(Pok%C3%A9mon)"/>
    <hyperlink ref="H757" r:id="rId268" tooltip="Floette (Pokémon)" display="http://bulbapedia.bulbagarden.net/wiki/Floette_(Pok%C3%A9mon)"/>
    <hyperlink ref="H759" r:id="rId269" tooltip="Skiddo (Pokémon)" display="http://bulbapedia.bulbagarden.net/wiki/Skiddo_(Pok%C3%A9mon)"/>
    <hyperlink ref="H802" r:id="rId270" tooltip="Gourgeist (Pokémon)" display="http://bulbapedia.bulbagarden.net/wiki/Gourgeist_(Pok%C3%A9mon)"/>
    <hyperlink ref="H32" r:id="rId271" tooltip="Ekans (Pokémon)" display="http://bulbapedia.bulbagarden.net/wiki/Ekans_(Pok%C3%A9mon)"/>
    <hyperlink ref="H55" r:id="rId272" tooltip="Zubat (Pokémon)" display="http://bulbapedia.bulbagarden.net/wiki/Zubat_(Pok%C3%A9mon)"/>
    <hyperlink ref="H72" r:id="rId273" tooltip="Psyduck (Pokémon)" display="http://bulbapedia.bulbagarden.net/wiki/Psyduck_(Pok%C3%A9mon)"/>
    <hyperlink ref="H87" r:id="rId274" tooltip="Machamp (Pokémon)" display="http://bulbapedia.bulbagarden.net/wiki/Machamp_(Pok%C3%A9mon)"/>
    <hyperlink ref="H89" r:id="rId275" tooltip="Weepinbell (Pokémon)" display="http://bulbapedia.bulbagarden.net/wiki/Weepinbell_(Pok%C3%A9mon)"/>
    <hyperlink ref="H129" r:id="rId276" tooltip="Exeggutor (Pokémon)" display="http://bulbapedia.bulbagarden.net/wiki/Exeggutor_(Pok%C3%A9mon)"/>
    <hyperlink ref="H164" r:id="rId277" tooltip="Eevee (Pokémon)" display="http://bulbapedia.bulbagarden.net/wiki/Eevee_(Pok%C3%A9mon)"/>
    <hyperlink ref="H170" r:id="rId278" tooltip="Omastar (Pokémon)" display="http://bulbapedia.bulbagarden.net/wiki/Omastar_(Pok%C3%A9mon)"/>
    <hyperlink ref="H171" r:id="rId279" tooltip="Kabuto (Pokémon)" display="http://bulbapedia.bulbagarden.net/wiki/Kabuto_(Pok%C3%A9mon)"/>
    <hyperlink ref="H199" r:id="rId280" tooltip="Ledyba (Pokémon)" display="http://bulbapedia.bulbagarden.net/wiki/Ledyba_(Pok%C3%A9mon)"/>
    <hyperlink ref="H215" r:id="rId281" tooltip="Ampharos (Pokémon)" display="http://bulbapedia.bulbagarden.net/wiki/Ampharos_(Pok%C3%A9mon)"/>
    <hyperlink ref="H255" r:id="rId282" tooltip="Ursaring (Pokémon)" display="http://bulbapedia.bulbagarden.net/wiki/Ursaring_(Pok%C3%A9mon)"/>
    <hyperlink ref="H281" r:id="rId283" tooltip="Blissey (Pokémon)" display="http://bulbapedia.bulbagarden.net/wiki/Blissey_(Pok%C3%A9mon)"/>
    <hyperlink ref="H297" r:id="rId284" tooltip="Combusken (Pokémon)" display="http://bulbapedia.bulbagarden.net/wiki/Combusken_(Pok%C3%A9mon)"/>
    <hyperlink ref="H366" r:id="rId285" tooltip="Swalot (Pokémon)" display="http://bulbapedia.bulbagarden.net/wiki/Swalot_(Pok%C3%A9mon)"/>
    <hyperlink ref="H383" r:id="rId286" tooltip="Cacturne (Pokémon)" display="http://bulbapedia.bulbagarden.net/wiki/Cacturne_(Pok%C3%A9mon)"/>
    <hyperlink ref="H394" r:id="rId287" tooltip="Crawdaunt (Pokémon)" display="http://bulbapedia.bulbagarden.net/wiki/Crawdaunt_(Pok%C3%A9mon)"/>
    <hyperlink ref="H395" r:id="rId288" tooltip="Baltoy (Pokémon)" display="http://bulbapedia.bulbagarden.net/wiki/Baltoy_(Pok%C3%A9mon)"/>
    <hyperlink ref="H424" r:id="rId289" tooltip="Relicanth (Pokémon)" display="http://bulbapedia.bulbagarden.net/wiki/Relicanth_(Pok%C3%A9mon)"/>
    <hyperlink ref="H471" r:id="rId290" tooltip="Budew (Pokémon)" display="http://bulbapedia.bulbagarden.net/wiki/Budew_(Pok%C3%A9mon)"/>
    <hyperlink ref="H578" r:id="rId291" tooltip="Pignite (Pokémon)" display="http://bulbapedia.bulbagarden.net/wiki/Pignite_(Pok%C3%A9mon)"/>
    <hyperlink ref="H585" r:id="rId292" tooltip="Lillipup (Pokémon)" display="http://bulbapedia.bulbagarden.net/wiki/Lillipup_(Pok%C3%A9mon)"/>
    <hyperlink ref="H635" r:id="rId293" tooltip="Darmanitan (Pokémon)" display="http://bulbapedia.bulbagarden.net/wiki/Darmanitan_(Pok%C3%A9mon)"/>
    <hyperlink ref="H638" r:id="rId294" tooltip="Dwebble (Pokémon)" display="http://bulbapedia.bulbagarden.net/wiki/Dwebble_(Pok%C3%A9mon)"/>
    <hyperlink ref="H656" r:id="rId295" tooltip="Gothorita (Pokémon)" display="http://bulbapedia.bulbagarden.net/wiki/Gothorita_(Pok%C3%A9mon)"/>
    <hyperlink ref="H661" r:id="rId296" tooltip="Ducklett (Pokémon)" display="http://bulbapedia.bulbagarden.net/wiki/Ducklett_(Pok%C3%A9mon)"/>
    <hyperlink ref="H689" r:id="rId297" tooltip="Lampent (Pokémon)" display="http://bulbapedia.bulbagarden.net/wiki/Lampent_(Pok%C3%A9mon)"/>
    <hyperlink ref="H704" r:id="rId298" tooltip="Golurk (Pokémon)" display="http://bulbapedia.bulbagarden.net/wiki/Golurk_(Pok%C3%A9mon)"/>
    <hyperlink ref="H707" r:id="rId299" tooltip="Bouffalant (Pokémon)" display="http://bulbapedia.bulbagarden.net/wiki/Bouffalant_(Pok%C3%A9mon)"/>
    <hyperlink ref="H808" r:id="rId300" tooltip="Noibat (Pokémon)" display="http://bulbapedia.bulbagarden.net/wiki/Noibat_(Pok%C3%A9mon)"/>
    <hyperlink ref="H22" r:id="rId301" tooltip="Pidgey (Pokémon)" display="http://bulbapedia.bulbagarden.net/wiki/Pidgey_(Pok%C3%A9mon)"/>
    <hyperlink ref="H42" r:id="rId302" tooltip="Nidorina (Pokémon)" display="http://bulbapedia.bulbagarden.net/wiki/Nidorina_(Pok%C3%A9mon)"/>
    <hyperlink ref="H454" r:id="rId303" tooltip="Torterra (Pokémon)" display="http://bulbapedia.bulbagarden.net/wiki/Torterra_(Pok%C3%A9mon)"/>
    <hyperlink ref="H797" r:id="rId304" tooltip="Trevenant (Pokémon)" display="http://bulbapedia.bulbagarden.net/wiki/Trevenant_(Pok%C3%A9mon)"/>
    <hyperlink ref="H623" r:id="rId305" tooltip="Venipede (Pokémon)" display="http://bulbapedia.bulbagarden.net/wiki/Venipede_(Pok%C3%A9mon)"/>
    <hyperlink ref="H691" r:id="rId306" tooltip="Axew (Pokémon)" display="http://bulbapedia.bulbagarden.net/wiki/Axew_(Pok%C3%A9mon)"/>
    <hyperlink ref="H738" r:id="rId307" tooltip="Quilladin (Pokémon)" display="http://bulbapedia.bulbagarden.net/wiki/Quilladin_(Pok%C3%A9mon)"/>
    <hyperlink ref="H746" r:id="rId308" tooltip="Bunnelby (Pokémon)" display="http://bulbapedia.bulbagarden.net/wiki/Bunnelby_(Pok%C3%A9mon)"/>
    <hyperlink ref="H12" r:id="rId309" tooltip="Wartortle (Pokémon)" display="http://bulbapedia.bulbagarden.net/wiki/Wartortle_(Pok%C3%A9mon)"/>
    <hyperlink ref="H193" r:id="rId310" tooltip="Croconaw (Pokémon)" display="http://bulbapedia.bulbagarden.net/wiki/Croconaw_(Pok%C3%A9mon)"/>
    <hyperlink ref="H473" r:id="rId311" tooltip="Cranidos (Pokémon)" display="http://bulbapedia.bulbagarden.net/wiki/Cranidos_(Pok%C3%A9mon)"/>
    <hyperlink ref="H474" r:id="rId312" tooltip="Rampardos (Pokémon)" display="http://bulbapedia.bulbagarden.net/wiki/Rampardos_(Pok%C3%A9mon)"/>
    <hyperlink ref="H641" r:id="rId313" tooltip="Scrafty (Pokémon)" display="http://bulbapedia.bulbagarden.net/wiki/Scrafty_(Pok%C3%A9mon)"/>
    <hyperlink ref="H715" r:id="rId314" tooltip="Zweilous (Pokémon)" display="http://bulbapedia.bulbagarden.net/wiki/Zweilous_(Pok%C3%A9mon)"/>
    <hyperlink ref="H762" r:id="rId315" tooltip="Pangoro (Pokémon)" display="http://bulbapedia.bulbagarden.net/wiki/Pangoro_(Pok%C3%A9mon)"/>
    <hyperlink ref="H787" r:id="rId316" tooltip="Aurorus (Pokémon)" display="http://bulbapedia.bulbagarden.net/wiki/Aurorus_(Pok%C3%A9mon)"/>
    <hyperlink ref="H664" r:id="rId317" tooltip="Vanillish (Pokémon)" display="http://bulbapedia.bulbagarden.net/wiki/Vanillish_(Pok%C3%A9mon)"/>
    <hyperlink ref="H781" r:id="rId318" tooltip="Clawitzer (Pokémon)" display="http://bulbapedia.bulbagarden.net/wiki/Clawitzer_(Pok%C3%A9mon)"/>
    <hyperlink ref="H3" r:id="rId319" tooltip="Ivysaur (Pokémon)" display="http://bulbapedia.bulbagarden.net/wiki/Ivysaur_(Pok%C3%A9mon)"/>
    <hyperlink ref="H48" r:id="rId320" tooltip="Clefable (Pokémon)" display="http://bulbapedia.bulbagarden.net/wiki/Clefable_(Pok%C3%A9mon)"/>
    <hyperlink ref="H76" r:id="rId321" tooltip="Growlithe (Pokémon)" display="http://bulbapedia.bulbagarden.net/wiki/Growlithe_(Pok%C3%A9mon)"/>
    <hyperlink ref="H106" r:id="rId322" tooltip="Farfetch'd (Pokémon)" display="http://bulbapedia.bulbagarden.net/wiki/Farfetch%27d_(Pok%C3%A9mon)"/>
    <hyperlink ref="H138" r:id="rId323" tooltip="Weezing (Pokémon)" display="http://bulbapedia.bulbagarden.net/wiki/Weezing_(Pok%C3%A9mon)"/>
    <hyperlink ref="H142" r:id="rId324" tooltip="Tangela (Pokémon)" display="http://bulbapedia.bulbagarden.net/wiki/Tangela_(Pok%C3%A9mon)"/>
    <hyperlink ref="H145" r:id="rId325" tooltip="Horsea (Pokémon)" display="http://bulbapedia.bulbagarden.net/wiki/Horsea_(Pok%C3%A9mon)"/>
    <hyperlink ref="H162" r:id="rId326" tooltip="Lapras (Pokémon)" display="http://bulbapedia.bulbagarden.net/wiki/Lapras_(Pok%C3%A9mon)"/>
    <hyperlink ref="H187" r:id="rId327" tooltip="Bayleef (Pokémon)" display="http://bulbapedia.bulbagarden.net/wiki/Bayleef_(Pok%C3%A9mon)"/>
    <hyperlink ref="H206" r:id="rId328" tooltip="Pichu (Pokémon)" display="http://bulbapedia.bulbagarden.net/wiki/Pichu_(Pok%C3%A9mon)"/>
    <hyperlink ref="H272" r:id="rId329" tooltip="Porygon2 (Pokémon)" display="http://bulbapedia.bulbagarden.net/wiki/Porygon2_(Pok%C3%A9mon)"/>
    <hyperlink ref="H302" r:id="rId330" tooltip="Swampert (Pokémon)" display="http://bulbapedia.bulbagarden.net/wiki/Swampert_(Pok%C3%A9mon)"/>
    <hyperlink ref="H306" r:id="rId331" tooltip="Zigzagoon (Pokémon)" display="http://bulbapedia.bulbagarden.net/wiki/Zigzagoon_(Pok%C3%A9mon)"/>
    <hyperlink ref="H317" r:id="rId332" tooltip="Nuzleaf (Pokémon)" display="http://bulbapedia.bulbagarden.net/wiki/Nuzleaf_(Pok%C3%A9mon)"/>
    <hyperlink ref="H328" r:id="rId333" tooltip="Masquerain (Pokémon)" display="http://bulbapedia.bulbagarden.net/wiki/Masquerain_(Pok%C3%A9mon)"/>
    <hyperlink ref="H354" r:id="rId334" tooltip="Meditite (Pokémon)" display="http://bulbapedia.bulbagarden.net/wiki/Meditite_(Pok%C3%A9mon)"/>
    <hyperlink ref="H370" r:id="rId335" tooltip="Wailmer (Pokémon)" display="http://bulbapedia.bulbagarden.net/wiki/Wailmer_(Pok%C3%A9mon)"/>
    <hyperlink ref="H371" r:id="rId336" tooltip="Wailord (Pokémon)" display="http://bulbapedia.bulbagarden.net/wiki/Wailord_(Pok%C3%A9mon)"/>
    <hyperlink ref="H376" r:id="rId337" tooltip="Spoink (Pokémon)" display="http://bulbapedia.bulbagarden.net/wiki/Spoink_(Pok%C3%A9mon)"/>
    <hyperlink ref="H378" r:id="rId338" tooltip="Spinda (Pokémon)" display="http://bulbapedia.bulbagarden.net/wiki/Spinda_(Pok%C3%A9mon)"/>
    <hyperlink ref="H391" r:id="rId339" tooltip="Barboach (Pokémon)" display="http://bulbapedia.bulbagarden.net/wiki/Barboach_(Pok%C3%A9mon)"/>
    <hyperlink ref="H392" r:id="rId340" tooltip="Whiscash (Pokémon)" display="http://bulbapedia.bulbagarden.net/wiki/Whiscash_(Pok%C3%A9mon)"/>
    <hyperlink ref="H460" r:id="rId341" tooltip="Empoleon (Pokémon)" display="http://bulbapedia.bulbagarden.net/wiki/Empoleon_(Pok%C3%A9mon)"/>
    <hyperlink ref="H461" r:id="rId342" tooltip="Starly (Pokémon)" display="http://bulbapedia.bulbagarden.net/wiki/Starly_(Pok%C3%A9mon)"/>
    <hyperlink ref="H469" r:id="rId343" tooltip="Luxio (Pokémon)" display="http://bulbapedia.bulbagarden.net/wiki/Luxio_(Pok%C3%A9mon)"/>
    <hyperlink ref="H507" r:id="rId344" tooltip="Mime Jr. (Pokémon)" display="http://bulbapedia.bulbagarden.net/wiki/Mime_Jr._(Pok%C3%A9mon)"/>
    <hyperlink ref="H516" r:id="rId345" tooltip="Riolu (Pokémon)" display="http://bulbapedia.bulbagarden.net/wiki/Riolu_(Pok%C3%A9mon)"/>
    <hyperlink ref="H530" r:id="rId346" tooltip="Abomasnow (Pokémon)" display="http://bulbapedia.bulbagarden.net/wiki/Abomasnow_(Pok%C3%A9mon)"/>
    <hyperlink ref="H533" r:id="rId347" tooltip="Magnezone (Pokémon)" display="http://bulbapedia.bulbagarden.net/wiki/Magnezone_(Pok%C3%A9mon)"/>
    <hyperlink ref="H581" r:id="rId348" tooltip="Dewott (Pokémon)" display="http://bulbapedia.bulbagarden.net/wiki/Dewott_(Pok%C3%A9mon)"/>
    <hyperlink ref="H586" r:id="rId349" tooltip="Herdier (Pokémon)" display="http://bulbapedia.bulbagarden.net/wiki/Herdier_(Pok%C3%A9mon)"/>
    <hyperlink ref="H637" r:id="rId350" tooltip="Maractus (Pokémon)" display="http://bulbapedia.bulbagarden.net/wiki/Maractus_(Pok%C3%A9mon)"/>
    <hyperlink ref="H669" r:id="rId351" tooltip="Karrablast (Pokémon)" display="http://bulbapedia.bulbagarden.net/wiki/Karrablast_(Pok%C3%A9mon)"/>
    <hyperlink ref="H674" r:id="rId352" tooltip="Jellicent (Pokémon)" display="http://bulbapedia.bulbagarden.net/wiki/Jellicent_(Pok%C3%A9mon)"/>
    <hyperlink ref="H683" r:id="rId353" tooltip="Tynamo (Pokémon)" display="http://bulbapedia.bulbagarden.net/wiki/Tynamo_(Pok%C3%A9mon)"/>
    <hyperlink ref="H705" r:id="rId354" tooltip="Pawniard (Pokémon)" display="http://bulbapedia.bulbagarden.net/wiki/Pawniard_(Pok%C3%A9mon)"/>
    <hyperlink ref="H708" r:id="rId355" tooltip="Rufflet (Pokémon)" display="http://bulbapedia.bulbagarden.net/wiki/Rufflet_(Pok%C3%A9mon)"/>
    <hyperlink ref="H710" r:id="rId356" tooltip="Vullaby (Pokémon)" display="http://bulbapedia.bulbagarden.net/wiki/Vullaby_(Pok%C3%A9mon)"/>
    <hyperlink ref="H717" r:id="rId357" tooltip="Larvesta (Pokémon)" display="http://bulbapedia.bulbagarden.net/wiki/Larvesta_(Pok%C3%A9mon)"/>
    <hyperlink ref="H740" r:id="rId358" tooltip="Fennekin (Pokémon)" display="http://bulbapedia.bulbagarden.net/wiki/Fennekin_(Pok%C3%A9mon)"/>
    <hyperlink ref="H769" r:id="rId359" tooltip="Aegislash (Pokémon)" display="http://bulbapedia.bulbagarden.net/wiki/Aegislash_(Pok%C3%A9mon)"/>
    <hyperlink ref="H768" r:id="rId360" tooltip="Aegislash (Pokémon)" display="http://bulbapedia.bulbagarden.net/wiki/Aegislash_(Pok%C3%A9mon)"/>
    <hyperlink ref="H788" r:id="rId361" tooltip="Sylveon (Pokémon)" display="http://bulbapedia.bulbagarden.net/wiki/Sylveon_(Pok%C3%A9mon)"/>
    <hyperlink ref="H793" r:id="rId362" tooltip="Sliggoo (Pokémon)" display="http://bulbapedia.bulbagarden.net/wiki/Sliggoo_(Pok%C3%A9mon)"/>
    <hyperlink ref="H287" r:id="rId363" tooltip="Tyranitar (Pokémon)" display="http://bulbapedia.bulbagarden.net/wiki/Tyranitar_(Pok%C3%A9mon)"/>
    <hyperlink ref="H455" r:id="rId364" tooltip="Chimchar (Pokémon)" display="http://bulbapedia.bulbagarden.net/wiki/Chimchar_(Pok%C3%A9mon)"/>
    <hyperlink ref="H748" r:id="rId365" tooltip="Fletchling (Pokémon)" display="http://bulbapedia.bulbagarden.net/wiki/Fletchling_(Pok%C3%A9mon)"/>
    <hyperlink ref="H147" r:id="rId366" tooltip="Goldeen (Pokémon)" display="http://bulbapedia.bulbagarden.net/wiki/Goldeen_(Pok%C3%A9mon)"/>
    <hyperlink ref="H574" r:id="rId367" tooltip="Snivy (Pokémon)" display="http://bulbapedia.bulbagarden.net/wiki/Snivy_(Pok%C3%A9mon)"/>
    <hyperlink ref="H590" r:id="rId368" tooltip="Pansage (Pokémon)" display="http://bulbapedia.bulbagarden.net/wiki/Pansage_(Pok%C3%A9mon)"/>
    <hyperlink ref="H592" r:id="rId369" tooltip="Pansear (Pokémon)" display="http://bulbapedia.bulbagarden.net/wiki/Pansear_(Pok%C3%A9mon)"/>
    <hyperlink ref="H594" r:id="rId370" tooltip="Panpour (Pokémon)" display="http://bulbapedia.bulbagarden.net/wiki/Panpour_(Pok%C3%A9mon)"/>
    <hyperlink ref="H615" r:id="rId371" tooltip="Tympole (Pokémon)" display="http://bulbapedia.bulbagarden.net/wiki/Tympole_(Pok%C3%A9mon)"/>
    <hyperlink ref="H739" r:id="rId372" tooltip="Chesnaught (Pokémon)" display="http://bulbapedia.bulbagarden.net/wiki/Chesnaught_(Pok%C3%A9mon)"/>
    <hyperlink ref="H6" r:id="rId373" tooltip="Charmander (Pokémon)" display="http://bulbapedia.bulbagarden.net/wiki/Charmander_(Pok%C3%A9mon)"/>
    <hyperlink ref="H39" r:id="rId374" tooltip="Sandslash (Pokémon)" display="http://bulbapedia.bulbagarden.net/wiki/Sandslash_(Pok%C3%A9mon)"/>
    <hyperlink ref="H45" r:id="rId375" tooltip="Nidorino (Pokémon)" display="http://bulbapedia.bulbagarden.net/wiki/Nidorino_(Pok%C3%A9mon)"/>
    <hyperlink ref="H49" r:id="rId376" tooltip="Vulpix (Pokémon)" display="http://bulbapedia.bulbagarden.net/wiki/Vulpix_(Pok%C3%A9mon)"/>
    <hyperlink ref="H165" r:id="rId377" tooltip="Vaporeon (Pokémon)" display="http://bulbapedia.bulbagarden.net/wiki/Vaporeon_(Pok%C3%A9mon)"/>
    <hyperlink ref="H167" r:id="rId378" tooltip="Flareon (Pokémon)" display="http://bulbapedia.bulbagarden.net/wiki/Flareon_(Pok%C3%A9mon)"/>
    <hyperlink ref="H189" r:id="rId379" tooltip="Cyndaquil (Pokémon)" display="http://bulbapedia.bulbagarden.net/wiki/Cyndaquil_(Pok%C3%A9mon)"/>
    <hyperlink ref="H232" r:id="rId380" tooltip="Umbreon (Pokémon)" display="http://bulbapedia.bulbagarden.net/wiki/Umbreon_(Pok%C3%A9mon)"/>
    <hyperlink ref="H248" r:id="rId381" tooltip="Scizor (Pokémon)" display="http://bulbapedia.bulbagarden.net/wiki/Scizor_(Pok%C3%A9mon)"/>
    <hyperlink ref="H261" r:id="rId382" tooltip="Remoraid (Pokémon)" display="http://bulbapedia.bulbagarden.net/wiki/Remoraid_(Pok%C3%A9mon)"/>
    <hyperlink ref="H266" r:id="rId383" tooltip="Houndour (Pokémon)" display="http://bulbapedia.bulbagarden.net/wiki/Houndour_(Pok%C3%A9mon)"/>
    <hyperlink ref="H277" r:id="rId384" tooltip="Smoochum (Pokémon)" display="http://bulbapedia.bulbagarden.net/wiki/Smoochum_(Pok%C3%A9mon)"/>
    <hyperlink ref="H310" r:id="rId385" tooltip="Beautifly (Pokémon)" display="http://bulbapedia.bulbagarden.net/wiki/Beautifly_(Pok%C3%A9mon)"/>
    <hyperlink ref="H312" r:id="rId386" tooltip="Dustox (Pokémon)" display="http://bulbapedia.bulbagarden.net/wiki/Dustox_(Pok%C3%A9mon)"/>
    <hyperlink ref="H322" r:id="rId387" tooltip="Pelipper (Pokémon)" display="http://bulbapedia.bulbagarden.net/wiki/Pelipper_(Pok%C3%A9mon)"/>
    <hyperlink ref="H327" r:id="rId388" tooltip="Surskit (Pokémon)" display="http://bulbapedia.bulbagarden.net/wiki/Surskit_(Pok%C3%A9mon)"/>
    <hyperlink ref="H357" r:id="rId389" tooltip="Electrike (Pokémon)" display="http://bulbapedia.bulbagarden.net/wiki/Electrike_(Pok%C3%A9mon)"/>
    <hyperlink ref="H364" r:id="rId390" tooltip="Roselia (Pokémon)" display="http://bulbapedia.bulbagarden.net/wiki/Roselia_(Pok%C3%A9mon)"/>
    <hyperlink ref="H367" r:id="rId391" tooltip="Carvanha (Pokémon)" display="http://bulbapedia.bulbagarden.net/wiki/Carvanha_(Pok%C3%A9mon)"/>
    <hyperlink ref="H388" r:id="rId392" tooltip="Seviper (Pokémon)" display="http://bulbapedia.bulbagarden.net/wiki/Seviper_(Pok%C3%A9mon)"/>
    <hyperlink ref="H406" r:id="rId393" tooltip="Banette (Pokémon)" display="http://bulbapedia.bulbagarden.net/wiki/Banette_(Pok%C3%A9mon)"/>
    <hyperlink ref="H411" r:id="rId394" tooltip="Chimecho (Pokémon)" display="http://bulbapedia.bulbagarden.net/wiki/Chimecho_(Pok%C3%A9mon)"/>
    <hyperlink ref="H420" r:id="rId395" tooltip="Walrein (Pokémon)" display="http://bulbapedia.bulbagarden.net/wiki/Walrein_(Pok%C3%A9mon)"/>
    <hyperlink ref="H467" r:id="rId396" tooltip="Kricketune (Pokémon)" display="http://bulbapedia.bulbagarden.net/wiki/Kricketune_(Pok%C3%A9mon)"/>
    <hyperlink ref="H521" r:id="rId397" tooltip="Skorupi (Pokémon)" display="http://bulbapedia.bulbagarden.net/wiki/Skorupi_(Pok%C3%A9mon)"/>
    <hyperlink ref="H542" r:id="rId398" tooltip="Glaceon (Pokémon)" display="http://bulbapedia.bulbagarden.net/wiki/Glaceon_(Pok%C3%A9mon)"/>
    <hyperlink ref="H579" r:id="rId399" tooltip="Emboar (Pokémon)" display="http://bulbapedia.bulbagarden.net/wiki/Emboar_(Pok%C3%A9mon)"/>
    <hyperlink ref="H599" r:id="rId400" tooltip="Tranquill (Pokémon)" display="http://bulbapedia.bulbagarden.net/wiki/Tranquill_(Pok%C3%A9mon)"/>
    <hyperlink ref="H631" r:id="rId401" tooltip="Sandile (Pokémon)" display="http://bulbapedia.bulbagarden.net/wiki/Sandile_(Pok%C3%A9mon)"/>
    <hyperlink ref="H649" r:id="rId402" tooltip="Trubbish (Pokémon)" display="http://bulbapedia.bulbagarden.net/wiki/Trubbish_(Pok%C3%A9mon)"/>
    <hyperlink ref="H651" r:id="rId403" tooltip="Zorua (Pokémon)" display="http://bulbapedia.bulbagarden.net/wiki/Zorua_(Pok%C3%A9mon)"/>
    <hyperlink ref="H657" r:id="rId404" tooltip="Gothitelle (Pokémon)" display="http://bulbapedia.bulbagarden.net/wiki/Gothitelle_(Pok%C3%A9mon)"/>
    <hyperlink ref="H675" r:id="rId405" tooltip="Alomomola (Pokémon)" display="http://bulbapedia.bulbagarden.net/wiki/Alomomola_(Pok%C3%A9mon)"/>
    <hyperlink ref="H676" r:id="rId406" tooltip="Joltik (Pokémon)" display="http://bulbapedia.bulbagarden.net/wiki/Joltik_(Pok%C3%A9mon)"/>
    <hyperlink ref="H700" r:id="rId407" tooltip="Mienfoo (Pokémon)" display="http://bulbapedia.bulbagarden.net/wiki/Mienfoo_(Pok%C3%A9mon)"/>
    <hyperlink ref="H712" r:id="rId408" tooltip="Heatmor (Pokémon)" display="http://bulbapedia.bulbagarden.net/wiki/Heatmor_(Pok%C3%A9mon)"/>
    <hyperlink ref="H481" r:id="rId409" tooltip="Mothim (Pokémon)" display="http://bulbapedia.bulbagarden.net/wiki/Mothim_(Pok%C3%A9mon)"/>
    <hyperlink ref="H526" r:id="rId410" tooltip="Finneon (Pokémon)" display="http://bulbapedia.bulbagarden.net/wiki/Finneon_(Pok%C3%A9mon)"/>
    <hyperlink ref="H588" r:id="rId411" tooltip="Purrloin (Pokémon)" display="http://bulbapedia.bulbagarden.net/wiki/Purrloin_(Pok%C3%A9mon)"/>
    <hyperlink ref="H626" r:id="rId412" tooltip="Cottonee (Pokémon)" display="http://bulbapedia.bulbagarden.net/wiki/Cottonee_(Pok%C3%A9mon)"/>
    <hyperlink ref="H123" r:id="rId413" tooltip="Hypno (Pokémon)" display="http://bulbapedia.bulbagarden.net/wiki/Hypno_(Pok%C3%A9mon)"/>
    <hyperlink ref="H204" r:id="rId414" tooltip="Chinchou (Pokémon)" display="http://bulbapedia.bulbagarden.net/wiki/Chinchou_(Pok%C3%A9mon)"/>
    <hyperlink ref="H205" r:id="rId415" tooltip="Lanturn (Pokémon)" display="http://bulbapedia.bulbagarden.net/wiki/Lanturn_(Pok%C3%A9mon)"/>
    <hyperlink ref="H692" r:id="rId416" tooltip="Fraxure (Pokémon)" display="http://bulbapedia.bulbagarden.net/wiki/Fraxure_(Pok%C3%A9mon)"/>
    <hyperlink ref="H148" r:id="rId417" tooltip="Seaking (Pokémon)" display="http://bulbapedia.bulbagarden.net/wiki/Seaking_(Pok%C3%A9mon)"/>
    <hyperlink ref="H339" r:id="rId418" tooltip="Exploud (Pokémon)" display="http://bulbapedia.bulbagarden.net/wiki/Exploud_(Pok%C3%A9mon)"/>
    <hyperlink ref="H608" r:id="rId419" tooltip="Drilbur (Pokémon)" display="http://bulbapedia.bulbagarden.net/wiki/Drilbur_(Pok%C3%A9mon)"/>
    <hyperlink ref="H760" r:id="rId420" tooltip="Gogoat (Pokémon)" display="http://bulbapedia.bulbagarden.net/wiki/Gogoat_(Pok%C3%A9mon)"/>
    <hyperlink ref="H764" r:id="rId421" tooltip="Espurr (Pokémon)" display="http://bulbapedia.bulbagarden.net/wiki/Espurr_(Pok%C3%A9mon)"/>
    <hyperlink ref="H777" r:id="rId422" tooltip="Barbaracle (Pokémon)" display="http://bulbapedia.bulbagarden.net/wiki/Barbaracle_(Pok%C3%A9mon)"/>
    <hyperlink ref="H616" r:id="rId423" tooltip="Palpitoad (Pokémon)" display="http://bulbapedia.bulbagarden.net/wiki/Palpitoad_(Pok%C3%A9mon)"/>
    <hyperlink ref="H803" r:id="rId424" tooltip="Gourgeist (Pokémon)" display="http://bulbapedia.bulbagarden.net/wiki/Gourgeist_(Pok%C3%A9mon)"/>
    <hyperlink ref="H17" r:id="rId425" tooltip="Butterfree (Pokémon)" display="http://bulbapedia.bulbagarden.net/wiki/Butterfree_(Pok%C3%A9mon)"/>
    <hyperlink ref="H30" r:id="rId426" tooltip="Spearow (Pokémon)" display="http://bulbapedia.bulbagarden.net/wiki/Spearow_(Pok%C3%A9mon)"/>
    <hyperlink ref="H74" r:id="rId427" tooltip="Mankey (Pokémon)" display="http://bulbapedia.bulbagarden.net/wiki/Mankey_(Pok%C3%A9mon)"/>
    <hyperlink ref="H80" r:id="rId428" tooltip="Poliwrath (Pokémon)" display="http://bulbapedia.bulbagarden.net/wiki/Poliwrath_(Pok%C3%A9mon)"/>
    <hyperlink ref="H90" r:id="rId429" tooltip="Victreebel (Pokémon)" display="http://bulbapedia.bulbagarden.net/wiki/Victreebel_(Pok%C3%A9mon)"/>
    <hyperlink ref="H91" r:id="rId430" tooltip="Tentacool (Pokémon)" display="http://bulbapedia.bulbagarden.net/wiki/Tentacool_(Pok%C3%A9mon)"/>
    <hyperlink ref="H105" r:id="rId431" tooltip="Magneton (Pokémon)" display="http://bulbapedia.bulbagarden.net/wiki/Magneton_(Pok%C3%A9mon)"/>
    <hyperlink ref="H110" r:id="rId432" tooltip="Dewgong (Pokémon)" display="http://bulbapedia.bulbagarden.net/wiki/Dewgong_(Pok%C3%A9mon)"/>
    <hyperlink ref="H116" r:id="rId433" tooltip="Cloyster (Pokémon)" display="http://bulbapedia.bulbagarden.net/wiki/Cloyster_(Pok%C3%A9mon)"/>
    <hyperlink ref="H121" r:id="rId434" tooltip="Onix (Pokémon)" display="http://bulbapedia.bulbagarden.net/wiki/Onix_(Pok%C3%A9mon)"/>
    <hyperlink ref="H180" r:id="rId435" tooltip="Dragonair (Pokémon)" display="http://bulbapedia.bulbagarden.net/wiki/Dragonair_(Pok%C3%A9mon)"/>
    <hyperlink ref="H198" r:id="rId436" tooltip="Noctowl (Pokémon)" display="http://bulbapedia.bulbagarden.net/wiki/Noctowl_(Pok%C3%A9mon)"/>
    <hyperlink ref="H211" r:id="rId437" tooltip="Natu (Pokémon)" display="http://bulbapedia.bulbagarden.net/wiki/Natu_(Pok%C3%A9mon)"/>
    <hyperlink ref="H221" r:id="rId438" tooltip="Politoed (Pokémon)" display="http://bulbapedia.bulbagarden.net/wiki/Politoed_(Pok%C3%A9mon)"/>
    <hyperlink ref="H264" r:id="rId439" tooltip="Mantine (Pokémon)" display="http://bulbapedia.bulbagarden.net/wiki/Mantine_(Pok%C3%A9mon)"/>
    <hyperlink ref="H265" r:id="rId440" tooltip="Skarmory (Pokémon)" display="http://bulbapedia.bulbagarden.net/wiki/Skarmory_(Pok%C3%A9mon)"/>
    <hyperlink ref="H276" r:id="rId441" tooltip="Hitmontop (Pokémon)" display="http://bulbapedia.bulbagarden.net/wiki/Hitmontop_(Pok%C3%A9mon)"/>
    <hyperlink ref="H292" r:id="rId442" tooltip="Treecko (Pokémon)" display="http://bulbapedia.bulbagarden.net/wiki/Treecko_(Pok%C3%A9mon)"/>
    <hyperlink ref="H303" r:id="rId443" tooltip="Swampert (Pokémon)" display="http://bulbapedia.bulbagarden.net/wiki/Swampert_(Pok%C3%A9mon)"/>
    <hyperlink ref="H305" r:id="rId444" tooltip="Mightyena (Pokémon)" display="http://bulbapedia.bulbagarden.net/wiki/Mightyena_(Pok%C3%A9mon)"/>
    <hyperlink ref="H315" r:id="rId445" tooltip="Ludicolo (Pokémon)" display="http://bulbapedia.bulbagarden.net/wiki/Ludicolo_(Pok%C3%A9mon)"/>
    <hyperlink ref="H330" r:id="rId446" tooltip="Breloom (Pokémon)" display="http://bulbapedia.bulbagarden.net/wiki/Breloom_(Pok%C3%A9mon)"/>
    <hyperlink ref="H345" r:id="rId447" tooltip="Delcatty (Pokémon)" display="http://bulbapedia.bulbagarden.net/wiki/Delcatty_(Pok%C3%A9mon)"/>
    <hyperlink ref="H380" r:id="rId448" tooltip="Vibrava (Pokémon)" display="http://bulbapedia.bulbagarden.net/wiki/Vibrava_(Pok%C3%A9mon)"/>
    <hyperlink ref="H389" r:id="rId449" tooltip="Lunatone (Pokémon)" display="http://bulbapedia.bulbagarden.net/wiki/Lunatone_(Pok%C3%A9mon)"/>
    <hyperlink ref="H390" r:id="rId450" tooltip="Solrock (Pokémon)" display="http://bulbapedia.bulbagarden.net/wiki/Solrock_(Pok%C3%A9mon)"/>
    <hyperlink ref="H403" r:id="rId451" tooltip="Castform (Pokémon)" display="http://bulbapedia.bulbagarden.net/wiki/Castform_(Pok%C3%A9mon)"/>
    <hyperlink ref="H432" r:id="rId452" tooltip="Metagross (Pokémon)" display="http://bulbapedia.bulbagarden.net/wiki/Metagross_(Pok%C3%A9mon)"/>
    <hyperlink ref="H470" r:id="rId453" tooltip="Luxray (Pokémon)" display="http://bulbapedia.bulbagarden.net/wiki/Luxray_(Pok%C3%A9mon)"/>
    <hyperlink ref="H482" r:id="rId454" tooltip="Combee (Pokémon)" display="http://bulbapedia.bulbagarden.net/wiki/Combee_(Pok%C3%A9mon)"/>
    <hyperlink ref="H492" r:id="rId455" tooltip="Drifloon (Pokémon)" display="http://bulbapedia.bulbagarden.net/wiki/Drifloon_(Pok%C3%A9mon)"/>
    <hyperlink ref="H582" r:id="rId456" tooltip="Samurott (Pokémon)" display="http://bulbapedia.bulbagarden.net/wiki/Samurott_(Pok%C3%A9mon)"/>
    <hyperlink ref="H647" r:id="rId457" tooltip="Archen (Pokémon)" display="http://bulbapedia.bulbagarden.net/wiki/Archen_(Pok%C3%A9mon)"/>
    <hyperlink ref="H706" r:id="rId458" tooltip="Bisharp (Pokémon)" display="http://bulbapedia.bulbagarden.net/wiki/Bisharp_(Pok%C3%A9mon)"/>
    <hyperlink ref="H782" r:id="rId459" tooltip="Helioptile (Pokémon)" display="http://bulbapedia.bulbagarden.net/wiki/Helioptile_(Pok%C3%A9mon)"/>
    <hyperlink ref="H816" r:id="rId460" tooltip="Hoopa (Pokémon)" display="http://bulbapedia.bulbagarden.net/wiki/Hoopa_(Pok%C3%A9mon)"/>
    <hyperlink ref="H817" r:id="rId461" tooltip="Volcanion (Pokémon)" display="http://bulbapedia.bulbagarden.net/wiki/Volcanion_(Pok%C3%A9mon)"/>
    <hyperlink ref="H23" r:id="rId462" tooltip="Pidgeotto (Pokémon)" display="http://bulbapedia.bulbagarden.net/wiki/Pidgeotto_(Pok%C3%A9mon)"/>
    <hyperlink ref="H288" r:id="rId463" tooltip="Tyranitar (Pokémon)" display="http://bulbapedia.bulbagarden.net/wiki/Tyranitar_(Pok%C3%A9mon)"/>
    <hyperlink ref="H465" r:id="rId464" tooltip="Bibarel (Pokémon)" display="http://bulbapedia.bulbagarden.net/wiki/Bibarel_(Pok%C3%A9mon)"/>
    <hyperlink ref="H498" r:id="rId465" tooltip="Honchkrow (Pokémon)" display="http://bulbapedia.bulbagarden.net/wiki/Honchkrow_(Pok%C3%A9mon)"/>
    <hyperlink ref="H743" r:id="rId466" tooltip="Froakie (Pokémon)" display="http://bulbapedia.bulbagarden.net/wiki/Froakie_(Pok%C3%A9mon)"/>
    <hyperlink ref="H785" r:id="rId467" tooltip="Tyrantrum (Pokémon)" display="http://bulbapedia.bulbagarden.net/wiki/Tyrantrum_(Pok%C3%A9mon)"/>
    <hyperlink ref="H26" r:id="rId468" tooltip="Rattata (Pokémon)" display="http://bulbapedia.bulbagarden.net/wiki/Rattata_(Pok%C3%A9mon)"/>
    <hyperlink ref="H606" r:id="rId469" tooltip="Woobat (Pokémon)" display="http://bulbapedia.bulbagarden.net/wiki/Woobat_(Pok%C3%A9mon)"/>
    <hyperlink ref="H754" r:id="rId470" tooltip="Litleo (Pokémon)" display="http://bulbapedia.bulbagarden.net/wiki/Litleo_(Pok%C3%A9mon)"/>
    <hyperlink ref="H773" r:id="rId471" tooltip="Slurpuff (Pokémon)" display="http://bulbapedia.bulbagarden.net/wiki/Slurpuff_(Pok%C3%A9mon)"/>
    <hyperlink ref="H741" r:id="rId472" tooltip="Braixen (Pokémon)" display="http://bulbapedia.bulbagarden.net/wiki/Braixen_(Pok%C3%A9mon)"/>
    <hyperlink ref="H775" r:id="rId473" tooltip="Malamar (Pokémon)" display="http://bulbapedia.bulbagarden.net/wiki/Malamar_(Pok%C3%A9mon)"/>
    <hyperlink ref="H502" r:id="rId474" tooltip="Stunky (Pokémon)" display="http://bulbapedia.bulbagarden.net/wiki/Stunky_(Pok%C3%A9mon)"/>
    <hyperlink ref="H617" r:id="rId475" tooltip="Seismitoad (Pokémon)" display="http://bulbapedia.bulbagarden.net/wiki/Seismitoad_(Pok%C3%A9mon)"/>
    <hyperlink ref="H632" r:id="rId476" tooltip="Krokorok (Pokémon)" display="http://bulbapedia.bulbagarden.net/wiki/Krokorok_(Pok%C3%A9mon)"/>
    <hyperlink ref="H20" r:id="rId477" tooltip="Beedrill (Pokémon)" display="http://bulbapedia.bulbagarden.net/wiki/Beedrill_(Pok%C3%A9mon)"/>
    <hyperlink ref="H107" r:id="rId478" tooltip="Doduo (Pokémon)" display="http://bulbapedia.bulbagarden.net/wiki/Doduo_(Pok%C3%A9mon)"/>
    <hyperlink ref="H125" r:id="rId479" tooltip="Kingler (Pokémon)" display="http://bulbapedia.bulbagarden.net/wiki/Kingler_(Pok%C3%A9mon)"/>
    <hyperlink ref="H249" r:id="rId480" tooltip="Scizor (Pokémon)" display="http://bulbapedia.bulbagarden.net/wiki/Scizor_(Pok%C3%A9mon)"/>
    <hyperlink ref="H252" r:id="rId481" tooltip="Heracross (Pokémon)" display="http://bulbapedia.bulbagarden.net/wiki/Heracross_(Pok%C3%A9mon)"/>
    <hyperlink ref="H263" r:id="rId482" tooltip="Delibird (Pokémon)" display="http://bulbapedia.bulbagarden.net/wiki/Delibird_(Pok%C3%A9mon)"/>
    <hyperlink ref="H274" r:id="rId483" tooltip="Smeargle (Pokémon)" display="http://bulbapedia.bulbagarden.net/wiki/Smeargle_(Pok%C3%A9mon)"/>
    <hyperlink ref="H396" r:id="rId484" tooltip="Claydol (Pokémon)" display="http://bulbapedia.bulbagarden.net/wiki/Claydol_(Pok%C3%A9mon)"/>
    <hyperlink ref="H399" r:id="rId485" tooltip="Anorith (Pokémon)" display="http://bulbapedia.bulbagarden.net/wiki/Anorith_(Pok%C3%A9mon)"/>
    <hyperlink ref="H407" r:id="rId486" tooltip="Banette (Pokémon)" display="http://bulbapedia.bulbagarden.net/wiki/Banette_(Pok%C3%A9mon)"/>
    <hyperlink ref="H412" r:id="rId487" tooltip="Absol (Pokémon)" display="http://bulbapedia.bulbagarden.net/wiki/Absol_(Pok%C3%A9mon)"/>
    <hyperlink ref="H650" r:id="rId488" tooltip="Garbodor (Pokémon)" display="http://bulbapedia.bulbagarden.net/wiki/Garbodor_(Pok%C3%A9mon)"/>
    <hyperlink ref="H653" r:id="rId489" tooltip="Minccino (Pokémon)" display="http://bulbapedia.bulbagarden.net/wiki/Minccino_(Pok%C3%A9mon)"/>
    <hyperlink ref="H666" r:id="rId490" tooltip="Deerling (Pokémon)" display="http://bulbapedia.bulbagarden.net/wiki/Deerling_(Pok%C3%A9mon)"/>
    <hyperlink ref="H758" r:id="rId491" tooltip="Florges (Pokémon)" display="http://bulbapedia.bulbagarden.net/wiki/Florges_(Pok%C3%A9mon)"/>
    <hyperlink ref="H795" r:id="rId492" tooltip="Klefki (Pokémon)" display="http://bulbapedia.bulbagarden.net/wiki/Klefki_(Pok%C3%A9mon)"/>
    <hyperlink ref="H43" r:id="rId493" tooltip="Nidoqueen (Pokémon)" display="http://bulbapedia.bulbagarden.net/wiki/Nidoqueen_(Pok%C3%A9mon)"/>
    <hyperlink ref="H135" r:id="rId494" tooltip="Hitmonchan (Pokémon)" display="http://bulbapedia.bulbagarden.net/wiki/Hitmonchan_(Pok%C3%A9mon)"/>
    <hyperlink ref="H601" r:id="rId495" tooltip="Blitzle (Pokémon)" display="http://bulbapedia.bulbagarden.net/wiki/Blitzle_(Pok%C3%A9mon)"/>
    <hyperlink ref="H562" r:id="rId496" tooltip="Heatran (Pokémon)" display="http://bulbapedia.bulbagarden.net/wiki/Heatran_(Pok%C3%A9mon)"/>
    <hyperlink ref="H584" r:id="rId497" tooltip="Watchog (Pokémon)" display="http://bulbapedia.bulbagarden.net/wiki/Watchog_(Pok%C3%A9mon)"/>
    <hyperlink ref="H13" r:id="rId498" tooltip="Blastoise (Pokémon)" display="http://bulbapedia.bulbagarden.net/wiki/Blastoise_(Pok%C3%A9mon)"/>
    <hyperlink ref="H14" r:id="rId499" tooltip="Blastoise (Pokémon)" display="http://bulbapedia.bulbagarden.net/wiki/Blastoise_(Pok%C3%A9mon)"/>
    <hyperlink ref="H194" r:id="rId500" tooltip="Feraligatr (Pokémon)" display="http://bulbapedia.bulbagarden.net/wiki/Feraligatr_(Pok%C3%A9mon)"/>
    <hyperlink ref="H747" r:id="rId501" tooltip="Diggersby (Pokémon)" display="http://bulbapedia.bulbagarden.net/wiki/Diggersby_(Pok%C3%A9mon)"/>
    <hyperlink ref="H665" r:id="rId502" tooltip="Vanilluxe (Pokémon)" display="http://bulbapedia.bulbagarden.net/wiki/Vanilluxe_(Pok%C3%A9mon)"/>
    <hyperlink ref="H4" r:id="rId503" tooltip="Venusaur (Pokémon)" display="http://bulbapedia.bulbagarden.net/wiki/Venusaur_(Pok%C3%A9mon)"/>
    <hyperlink ref="H5" r:id="rId504" tooltip="Venusaur (Pokémon)" display="http://bulbapedia.bulbagarden.net/wiki/Venusaur_(Pok%C3%A9mon)"/>
    <hyperlink ref="H7" r:id="rId505" tooltip="Charmeleon (Pokémon)" display="http://bulbapedia.bulbagarden.net/wiki/Charmeleon_(Pok%C3%A9mon)"/>
    <hyperlink ref="H33" r:id="rId506" tooltip="Arbok (Pokémon)" display="http://bulbapedia.bulbagarden.net/wiki/Arbok_(Pok%C3%A9mon)"/>
    <hyperlink ref="H117" r:id="rId507" tooltip="Gastly (Pokémon)" display="http://bulbapedia.bulbagarden.net/wiki/Gastly_(Pok%C3%A9mon)"/>
    <hyperlink ref="H159" r:id="rId508" tooltip="Magikarp (Pokémon)" display="http://bulbapedia.bulbagarden.net/wiki/Magikarp_(Pok%C3%A9mon)"/>
    <hyperlink ref="H172" r:id="rId509" tooltip="Kabutops (Pokémon)" display="http://bulbapedia.bulbagarden.net/wiki/Kabutops_(Pok%C3%A9mon)"/>
    <hyperlink ref="H181" r:id="rId510" tooltip="Dragonite (Pokémon)" display="http://bulbapedia.bulbagarden.net/wiki/Dragonite_(Pok%C3%A9mon)"/>
    <hyperlink ref="H188" r:id="rId511" tooltip="Meganium (Pokémon)" display="http://bulbapedia.bulbagarden.net/wiki/Meganium_(Pok%C3%A9mon)"/>
    <hyperlink ref="H190" r:id="rId512" tooltip="Quilava (Pokémon)" display="http://bulbapedia.bulbagarden.net/wiki/Quilava_(Pok%C3%A9mon)"/>
    <hyperlink ref="H223" r:id="rId513" tooltip="Skiploom (Pokémon)" display="http://bulbapedia.bulbagarden.net/wiki/Skiploom_(Pok%C3%A9mon)"/>
    <hyperlink ref="H298" r:id="rId514" tooltip="Blaziken (Pokémon)" display="http://bulbapedia.bulbagarden.net/wiki/Blaziken_(Pok%C3%A9mon)"/>
    <hyperlink ref="H318" r:id="rId515" tooltip="Shiftry (Pokémon)" display="http://bulbapedia.bulbagarden.net/wiki/Shiftry_(Pok%C3%A9mon)"/>
    <hyperlink ref="H325" r:id="rId516" tooltip="Gardevoir (Pokémon)" display="http://bulbapedia.bulbagarden.net/wiki/Gardevoir_(Pok%C3%A9mon)"/>
    <hyperlink ref="H355" r:id="rId517" tooltip="Medicham (Pokémon)" display="http://bulbapedia.bulbagarden.net/wiki/Medicham_(Pok%C3%A9mon)"/>
    <hyperlink ref="H377" r:id="rId518" tooltip="Grumpig (Pokémon)" display="http://bulbapedia.bulbagarden.net/wiki/Grumpig_(Pok%C3%A9mon)"/>
    <hyperlink ref="H385" r:id="rId519" tooltip="Altaria (Pokémon)" display="http://bulbapedia.bulbagarden.net/wiki/Altaria_(Pok%C3%A9mon)"/>
    <hyperlink ref="H386" r:id="rId520" tooltip="Altaria (Pokémon)" display="http://bulbapedia.bulbagarden.net/wiki/Altaria_(Pok%C3%A9mon)"/>
    <hyperlink ref="H401" r:id="rId521" tooltip="Feebas (Pokémon)" display="http://bulbapedia.bulbagarden.net/wiki/Feebas_(Pok%C3%A9mon)"/>
    <hyperlink ref="H416" r:id="rId522" tooltip="Glalie (Pokémon)" display="http://bulbapedia.bulbagarden.net/wiki/Glalie_(Pok%C3%A9mon)"/>
    <hyperlink ref="H462" r:id="rId523" tooltip="Staravia (Pokémon)" display="http://bulbapedia.bulbagarden.net/wiki/Staravia_(Pok%C3%A9mon)"/>
    <hyperlink ref="H493" r:id="rId524" tooltip="Drifblim (Pokémon)" display="http://bulbapedia.bulbagarden.net/wiki/Drifblim_(Pok%C3%A9mon)"/>
    <hyperlink ref="H539" r:id="rId525" tooltip="Togekiss (Pokémon)" display="http://bulbapedia.bulbagarden.net/wiki/Togekiss_(Pok%C3%A9mon)"/>
    <hyperlink ref="H544" r:id="rId526" tooltip="Mamoswine (Pokémon)" display="http://bulbapedia.bulbagarden.net/wiki/Mamoswine_(Pok%C3%A9mon)"/>
    <hyperlink ref="H546" r:id="rId527" tooltip="Gallade (Pokémon)" display="http://bulbapedia.bulbagarden.net/wiki/Gallade_(Pok%C3%A9mon)"/>
    <hyperlink ref="H558" r:id="rId528" tooltip="Mesprit (Pokémon)" display="http://bulbapedia.bulbagarden.net/wiki/Mesprit_(Pok%C3%A9mon)"/>
    <hyperlink ref="H567" r:id="rId529" tooltip="Phione (Pokémon)" display="http://bulbapedia.bulbagarden.net/wiki/Phione_(Pok%C3%A9mon)"/>
    <hyperlink ref="H587" r:id="rId530" tooltip="Stoutland (Pokémon)" display="http://bulbapedia.bulbagarden.net/wiki/Stoutland_(Pok%C3%A9mon)"/>
    <hyperlink ref="H690" r:id="rId531" tooltip="Chandelure (Pokémon)" display="http://bulbapedia.bulbagarden.net/wiki/Chandelure_(Pok%C3%A9mon)"/>
    <hyperlink ref="H709" r:id="rId532" tooltip="Braviary (Pokémon)" display="http://bulbapedia.bulbagarden.net/wiki/Braviary_(Pok%C3%A9mon)"/>
    <hyperlink ref="H711" r:id="rId533" tooltip="Mandibuzz (Pokémon)" display="http://bulbapedia.bulbagarden.net/wiki/Mandibuzz_(Pok%C3%A9mon)"/>
    <hyperlink ref="H794" r:id="rId534" tooltip="Goodra (Pokémon)" display="http://bulbapedia.bulbagarden.net/wiki/Goodra_(Pok%C3%A9mon)"/>
    <hyperlink ref="H815" r:id="rId535" tooltip="Hoopa (Pokémon)" display="http://bulbapedia.bulbagarden.net/wiki/Hoopa_(Pok%C3%A9mon)"/>
    <hyperlink ref="H160" r:id="rId536" tooltip="Gyarados (Pokémon)" display="http://bulbapedia.bulbagarden.net/wiki/Gyarados_(Pok%C3%A9mon)"/>
    <hyperlink ref="H161" r:id="rId537" tooltip="Gyarados (Pokémon)" display="http://bulbapedia.bulbagarden.net/wiki/Gyarados_(Pok%C3%A9mon)"/>
    <hyperlink ref="H402" r:id="rId538" tooltip="Milotic (Pokémon)" display="http://bulbapedia.bulbagarden.net/wiki/Milotic_(Pok%C3%A9mon)"/>
    <hyperlink ref="H456" r:id="rId539" tooltip="Monferno (Pokémon)" display="http://bulbapedia.bulbagarden.net/wiki/Monferno_(Pok%C3%A9mon)"/>
    <hyperlink ref="H512" r:id="rId540" tooltip="Gabite (Pokémon)" display="http://bulbapedia.bulbagarden.net/wiki/Gabite_(Pok%C3%A9mon)"/>
    <hyperlink ref="H279" r:id="rId541" tooltip="Magby (Pokémon)" display="http://bulbapedia.bulbagarden.net/wiki/Magby_(Pok%C3%A9mon)"/>
    <hyperlink ref="H538" r:id="rId542" tooltip="Magmortar (Pokémon)" display="http://bulbapedia.bulbagarden.net/wiki/Magmortar_(Pok%C3%A9mon)"/>
    <hyperlink ref="H575" r:id="rId543" tooltip="Servine (Pokémon)" display="http://bulbapedia.bulbagarden.net/wiki/Servine_(Pok%C3%A9mon)"/>
    <hyperlink ref="H503" r:id="rId544" tooltip="Skuntank (Pokémon)" display="http://bulbapedia.bulbagarden.net/wiki/Skuntank_(Pok%C3%A9mon)"/>
    <hyperlink ref="H749" r:id="rId545" tooltip="Fletchinder (Pokémon)" display="http://bulbapedia.bulbagarden.net/wiki/Fletchinder_(Pok%C3%A9mon)"/>
    <hyperlink ref="H804" r:id="rId546" tooltip="Gourgeist (Pokémon)" display="http://bulbapedia.bulbagarden.net/wiki/Gourgeist_(Pok%C3%A9mon)"/>
    <hyperlink ref="H46" r:id="rId547" tooltip="Nidoking (Pokémon)" display="http://bulbapedia.bulbagarden.net/wiki/Nidoking_(Pok%C3%A9mon)"/>
    <hyperlink ref="H73" r:id="rId548" tooltip="Golduck (Pokémon)" display="http://bulbapedia.bulbagarden.net/wiki/Golduck_(Pok%C3%A9mon)"/>
    <hyperlink ref="H146" r:id="rId549" tooltip="Seadra (Pokémon)" display="http://bulbapedia.bulbagarden.net/wiki/Seadra_(Pok%C3%A9mon)"/>
    <hyperlink ref="H149" r:id="rId550" tooltip="Staryu (Pokémon)" display="http://bulbapedia.bulbagarden.net/wiki/Staryu_(Pok%C3%A9mon)"/>
    <hyperlink ref="H156" r:id="rId551" tooltip="Pinsir (Pokémon)" display="http://bulbapedia.bulbagarden.net/wiki/Pinsir_(Pok%C3%A9mon)"/>
    <hyperlink ref="H176" r:id="rId552" tooltip="Articuno (Pokémon)" display="http://bulbapedia.bulbagarden.net/wiki/Articuno_(Pok%C3%A9mon)"/>
    <hyperlink ref="H200" r:id="rId553" tooltip="Ledian (Pokémon)" display="http://bulbapedia.bulbagarden.net/wiki/Ledian_(Pok%C3%A9mon)"/>
    <hyperlink ref="H225" r:id="rId554" tooltip="Aipom (Pokémon)" display="http://bulbapedia.bulbagarden.net/wiki/Aipom_(Pok%C3%A9mon)"/>
    <hyperlink ref="H235" r:id="rId555" tooltip="Misdreavus (Pokémon)" display="http://bulbapedia.bulbagarden.net/wiki/Misdreavus_(Pok%C3%A9mon)"/>
    <hyperlink ref="H238" r:id="rId556" tooltip="Girafarig (Pokémon)" display="http://bulbapedia.bulbagarden.net/wiki/Girafarig_(Pok%C3%A9mon)"/>
    <hyperlink ref="H242" r:id="rId557" tooltip="Gligar (Pokémon)" display="http://bulbapedia.bulbagarden.net/wiki/Gligar_(Pok%C3%A9mon)"/>
    <hyperlink ref="H247" r:id="rId558" tooltip="Qwilfish (Pokémon)" display="http://bulbapedia.bulbagarden.net/wiki/Qwilfish_(Pok%C3%A9mon)"/>
    <hyperlink ref="H251" r:id="rId559" tooltip="Heracross (Pokémon)" display="http://bulbapedia.bulbagarden.net/wiki/Heracross_(Pok%C3%A9mon)"/>
    <hyperlink ref="H269" r:id="rId560" tooltip="Kingdra (Pokémon)" display="http://bulbapedia.bulbagarden.net/wiki/Kingdra_(Pok%C3%A9mon)"/>
    <hyperlink ref="H273" r:id="rId561" tooltip="Stantler (Pokémon)" display="http://bulbapedia.bulbagarden.net/wiki/Stantler_(Pok%C3%A9mon)"/>
    <hyperlink ref="H284" r:id="rId562" tooltip="Suicune (Pokémon)" display="http://bulbapedia.bulbagarden.net/wiki/Suicune_(Pok%C3%A9mon)"/>
    <hyperlink ref="H319" r:id="rId563" tooltip="Taillow (Pokémon)" display="http://bulbapedia.bulbagarden.net/wiki/Taillow_(Pok%C3%A9mon)"/>
    <hyperlink ref="H321" r:id="rId564" tooltip="Wingull (Pokémon)" display="http://bulbapedia.bulbagarden.net/wiki/Wingull_(Pok%C3%A9mon)"/>
    <hyperlink ref="H362" r:id="rId565" tooltip="Volbeat (Pokémon)" display="http://bulbapedia.bulbagarden.net/wiki/Volbeat_(Pok%C3%A9mon)"/>
    <hyperlink ref="H363" r:id="rId566" tooltip="Illumise (Pokémon)" display="http://bulbapedia.bulbagarden.net/wiki/Illumise_(Pok%C3%A9mon)"/>
    <hyperlink ref="H485" r:id="rId567" tooltip="Buizel (Pokémon)" display="http://bulbapedia.bulbagarden.net/wiki/Buizel_(Pok%C3%A9mon)"/>
    <hyperlink ref="H488" r:id="rId568" tooltip="Cherrim (Pokémon)" display="http://bulbapedia.bulbagarden.net/wiki/Cherrim_(Pok%C3%A9mon)"/>
    <hyperlink ref="H494" r:id="rId569" tooltip="Buneary (Pokémon)" display="http://bulbapedia.bulbagarden.net/wiki/Buneary_(Pok%C3%A9mon)"/>
    <hyperlink ref="H499" r:id="rId570" tooltip="Glameow (Pokémon)" display="http://bulbapedia.bulbagarden.net/wiki/Glameow_(Pok%C3%A9mon)"/>
    <hyperlink ref="H524" r:id="rId571" tooltip="Toxicroak (Pokémon)" display="http://bulbapedia.bulbagarden.net/wiki/Toxicroak_(Pok%C3%A9mon)"/>
    <hyperlink ref="H566" r:id="rId572" tooltip="Cresselia (Pokémon)" display="http://bulbapedia.bulbagarden.net/wiki/Cresselia_(Pok%C3%A9mon)"/>
    <hyperlink ref="H619" r:id="rId573" tooltip="Sawk (Pokémon)" display="http://bulbapedia.bulbagarden.net/wiki/Sawk_(Pok%C3%A9mon)"/>
    <hyperlink ref="H551" r:id="rId574" tooltip="Rotom (Pokémon)" display="http://bulbapedia.bulbagarden.net/wiki/Rotom_(Pok%C3%A9mon)"/>
    <hyperlink ref="H552" r:id="rId575" tooltip="Rotom (Pokémon)" display="http://bulbapedia.bulbagarden.net/wiki/Rotom_(Pok%C3%A9mon)"/>
    <hyperlink ref="H553" r:id="rId576" tooltip="Rotom (Pokémon)" display="http://bulbapedia.bulbagarden.net/wiki/Rotom_(Pok%C3%A9mon)"/>
    <hyperlink ref="H554" r:id="rId577" tooltip="Rotom (Pokémon)" display="http://bulbapedia.bulbagarden.net/wiki/Rotom_(Pok%C3%A9mon)"/>
    <hyperlink ref="H555" r:id="rId578" tooltip="Rotom (Pokémon)" display="http://bulbapedia.bulbagarden.net/wiki/Rotom_(Pok%C3%A9mon)"/>
    <hyperlink ref="H134" r:id="rId579" tooltip="Hitmonlee (Pokémon)" display="http://bulbapedia.bulbagarden.net/wiki/Hitmonlee_(Pok%C3%A9mon)"/>
    <hyperlink ref="H609" r:id="rId580" tooltip="Excadrill (Pokémon)" display="http://bulbapedia.bulbagarden.net/wiki/Excadrill_(Pok%C3%A9mon)"/>
    <hyperlink ref="H753" r:id="rId581" tooltip="Vivillon (Pokémon)" display="http://bulbapedia.bulbagarden.net/wiki/Vivillon_(Pok%C3%A9mon)"/>
    <hyperlink ref="H34" r:id="rId582" tooltip="Pikachu (Pokémon)" display="http://bulbapedia.bulbagarden.net/wiki/Pikachu_(Pok%C3%A9mon)"/>
    <hyperlink ref="H56" r:id="rId583" tooltip="Golbat (Pokémon)" display="http://bulbapedia.bulbagarden.net/wiki/Golbat_(Pok%C3%A9mon)"/>
    <hyperlink ref="H63" r:id="rId584" tooltip="Venomoth (Pokémon)" display="http://bulbapedia.bulbagarden.net/wiki/Venomoth_(Pok%C3%A9mon)"/>
    <hyperlink ref="H68" r:id="rId585" tooltip="Meowth (Pokémon)" display="http://bulbapedia.bulbagarden.net/wiki/Meowth_(Pok%C3%A9mon)"/>
    <hyperlink ref="H78" r:id="rId586" tooltip="Poliwag (Pokémon)" display="http://bulbapedia.bulbagarden.net/wiki/Poliwag_(Pok%C3%A9mon)"/>
    <hyperlink ref="H79" r:id="rId587" tooltip="Poliwhirl (Pokémon)" display="http://bulbapedia.bulbagarden.net/wiki/Poliwhirl_(Pok%C3%A9mon)"/>
    <hyperlink ref="H81" r:id="rId588" tooltip="Abra (Pokémon)" display="http://bulbapedia.bulbagarden.net/wiki/Abra_(Pok%C3%A9mon)"/>
    <hyperlink ref="H99" r:id="rId589" tooltip="Ponyta (Pokémon)" display="http://bulbapedia.bulbagarden.net/wiki/Ponyta_(Pok%C3%A9mon)"/>
    <hyperlink ref="H143" r:id="rId590" tooltip="Kangaskhan (Pokémon)" display="http://bulbapedia.bulbagarden.net/wiki/Kangaskhan_(Pok%C3%A9mon)"/>
    <hyperlink ref="H151" r:id="rId591" tooltip="Mr. Mime (Pokémon)" display="http://bulbapedia.bulbagarden.net/wiki/Mr._Mime_(Pok%C3%A9mon)"/>
    <hyperlink ref="H178" r:id="rId592" tooltip="Moltres (Pokémon)" display="http://bulbapedia.bulbagarden.net/wiki/Moltres_(Pok%C3%A9mon)"/>
    <hyperlink ref="H196" r:id="rId593" tooltip="Furret (Pokémon)" display="http://bulbapedia.bulbagarden.net/wiki/Furret_(Pok%C3%A9mon)"/>
    <hyperlink ref="H290" r:id="rId594" tooltip="Ho-Oh (Pokémon)" display="http://bulbapedia.bulbagarden.net/wiki/Ho-Oh_(Pok%C3%A9mon)"/>
    <hyperlink ref="H332" r:id="rId595" tooltip="Vigoroth (Pokémon)" display="http://bulbapedia.bulbagarden.net/wiki/Vigoroth_(Pok%C3%A9mon)"/>
    <hyperlink ref="H387" r:id="rId596" tooltip="Zangoose (Pokémon)" display="http://bulbapedia.bulbagarden.net/wiki/Zangoose_(Pok%C3%A9mon)"/>
    <hyperlink ref="H441" r:id="rId597" tooltip="Kyogre (Pokémon)" display="http://bulbapedia.bulbagarden.net/wiki/Kyogre_(Pok%C3%A9mon)"/>
    <hyperlink ref="H442" r:id="rId598" tooltip="Kyogre (Pokémon)" display="http://bulbapedia.bulbagarden.net/wiki/Kyogre_(Pok%C3%A9mon)"/>
    <hyperlink ref="H443" r:id="rId599" tooltip="Groudon (Pokémon)" display="http://bulbapedia.bulbagarden.net/wiki/Groudon_(Pok%C3%A9mon)"/>
    <hyperlink ref="H444" r:id="rId600" tooltip="Groudon (Pokémon)" display="http://bulbapedia.bulbagarden.net/wiki/Groudon_(Pok%C3%A9mon)"/>
    <hyperlink ref="H450" r:id="rId601" tooltip="Deoxys (Pokémon)" display="http://bulbapedia.bulbagarden.net/wiki/Deoxys_(Pok%C3%A9mon)"/>
    <hyperlink ref="H472" r:id="rId602" tooltip="Roserade (Pokémon)" display="http://bulbapedia.bulbagarden.net/wiki/Roserade_(Pok%C3%A9mon)"/>
    <hyperlink ref="H517" r:id="rId603" tooltip="Lucario (Pokémon)" display="http://bulbapedia.bulbagarden.net/wiki/Lucario_(Pok%C3%A9mon)"/>
    <hyperlink ref="H545" r:id="rId604" tooltip="Porygon-Z (Pokémon)" display="http://bulbapedia.bulbagarden.net/wiki/Porygon-Z_(Pok%C3%A9mon)"/>
    <hyperlink ref="H560" r:id="rId605" tooltip="Dialga (Pokémon)" display="http://bulbapedia.bulbagarden.net/wiki/Dialga_(Pok%C3%A9mon)"/>
    <hyperlink ref="H564" r:id="rId606" tooltip="Giratina (Pokémon)" display="http://bulbapedia.bulbagarden.net/wiki/Giratina_(Pok%C3%A9mon)"/>
    <hyperlink ref="H565" r:id="rId607" tooltip="Giratina (Pokémon)" display="http://bulbapedia.bulbagarden.net/wiki/Giratina_(Pok%C3%A9mon)"/>
    <hyperlink ref="H629" r:id="rId608" tooltip="Lilligant (Pokémon)" display="http://bulbapedia.bulbagarden.net/wiki/Lilligant_(Pok%C3%A9mon)"/>
    <hyperlink ref="H682" r:id="rId609" tooltip="Klinklang (Pokémon)" display="http://bulbapedia.bulbagarden.net/wiki/Klinklang_(Pok%C3%A9mon)"/>
    <hyperlink ref="H726" r:id="rId610" tooltip="Reshiram (Pokémon)" display="http://bulbapedia.bulbagarden.net/wiki/Reshiram_(Pok%C3%A9mon)"/>
    <hyperlink ref="H727" r:id="rId611" tooltip="Zekrom (Pokémon)" display="http://bulbapedia.bulbagarden.net/wiki/Zekrom_(Pok%C3%A9mon)"/>
    <hyperlink ref="H734" r:id="rId612" tooltip="Meloetta (Pokémon)" display="http://bulbapedia.bulbagarden.net/wiki/Meloetta_(Pok%C3%A9mon)"/>
    <hyperlink ref="H233" r:id="rId613" tooltip="Murkrow (Pokémon)" display="http://bulbapedia.bulbagarden.net/wiki/Murkrow_(Pok%C3%A9mon)"/>
    <hyperlink ref="H509" r:id="rId614" tooltip="Chatot (Pokémon)" display="http://bulbapedia.bulbagarden.net/wiki/Chatot_(Pok%C3%A9mon)"/>
    <hyperlink ref="H527" r:id="rId615" tooltip="Lumineon (Pokémon)" display="http://bulbapedia.bulbagarden.net/wiki/Lumineon_(Pok%C3%A9mon)"/>
    <hyperlink ref="H556" r:id="rId616" tooltip="Rotom (Pokémon)" display="http://bulbapedia.bulbagarden.net/wiki/Rotom_(Pok%C3%A9mon)"/>
    <hyperlink ref="H729" r:id="rId617" tooltip="Landorus (Pokémon)" display="http://bulbapedia.bulbagarden.net/wiki/Landorus_(Pok%C3%A9mon)"/>
    <hyperlink ref="H514" r:id="rId618" tooltip="Garchomp (Pokémon)" display="http://bulbapedia.bulbagarden.net/wiki/Garchomp_(Pok%C3%A9mon)"/>
    <hyperlink ref="H622" r:id="rId619" tooltip="Leavanny (Pokémon)" display="http://bulbapedia.bulbagarden.net/wiki/Leavanny_(Pok%C3%A9mon)"/>
    <hyperlink ref="H633" r:id="rId620" tooltip="Krookodile (Pokémon)" display="http://bulbapedia.bulbagarden.net/wiki/Krookodile_(Pok%C3%A9mon)"/>
    <hyperlink ref="H155" r:id="rId621" tooltip="Magmar (Pokémon)" display="http://bulbapedia.bulbagarden.net/wiki/Magmar_(Pok%C3%A9mon)"/>
    <hyperlink ref="H600" r:id="rId622" tooltip="Unfezant (Pokémon)" display="http://bulbapedia.bulbagarden.net/wiki/Unfezant_(Pok%C3%A9mon)"/>
    <hyperlink ref="H64" r:id="rId623" tooltip="Diglett (Pokémon)" display="http://bulbapedia.bulbagarden.net/wiki/Diglett_(Pok%C3%A9mon)"/>
    <hyperlink ref="H75" r:id="rId624" tooltip="Primeape (Pokémon)" display="http://bulbapedia.bulbagarden.net/wiki/Primeape_(Pok%C3%A9mon)"/>
    <hyperlink ref="H77" r:id="rId625" tooltip="Arcanine (Pokémon)" display="http://bulbapedia.bulbagarden.net/wiki/Arcanine_(Pok%C3%A9mon)"/>
    <hyperlink ref="H118" r:id="rId626" tooltip="Haunter (Pokémon)" display="http://bulbapedia.bulbagarden.net/wiki/Haunter_(Pok%C3%A9mon)"/>
    <hyperlink ref="H153" r:id="rId627" tooltip="Jynx (Pokémon)" display="http://bulbapedia.bulbagarden.net/wiki/Jynx_(Pok%C3%A9mon)"/>
    <hyperlink ref="H212" r:id="rId628" tooltip="Xatu (Pokémon)" display="http://bulbapedia.bulbagarden.net/wiki/Xatu_(Pok%C3%A9mon)"/>
    <hyperlink ref="H228" r:id="rId629" tooltip="Yanma (Pokémon)" display="http://bulbapedia.bulbagarden.net/wiki/Yanma_(Pok%C3%A9mon)"/>
    <hyperlink ref="H267" r:id="rId630" tooltip="Houndoom (Pokémon)" display="http://bulbapedia.bulbagarden.net/wiki/Houndoom_(Pok%C3%A9mon)"/>
    <hyperlink ref="H278" r:id="rId631" tooltip="Elekid (Pokémon)" display="http://bulbapedia.bulbagarden.net/wiki/Elekid_(Pok%C3%A9mon)"/>
    <hyperlink ref="H293" r:id="rId632" tooltip="Grovyle (Pokémon)" display="http://bulbapedia.bulbagarden.net/wiki/Grovyle_(Pok%C3%A9mon)"/>
    <hyperlink ref="H360" r:id="rId633" tooltip="Plusle (Pokémon)" display="http://bulbapedia.bulbagarden.net/wiki/Plusle_(Pok%C3%A9mon)"/>
    <hyperlink ref="H361" r:id="rId634" tooltip="Minun (Pokémon)" display="http://bulbapedia.bulbagarden.net/wiki/Minun_(Pok%C3%A9mon)"/>
    <hyperlink ref="H368" r:id="rId635" tooltip="Sharpedo (Pokémon)" display="http://bulbapedia.bulbagarden.net/wiki/Sharpedo_(Pok%C3%A9mon)"/>
    <hyperlink ref="H445" r:id="rId636" tooltip="Rayquaza (Pokémon)" display="http://bulbapedia.bulbagarden.net/wiki/Rayquaza_(Pok%C3%A9mon)"/>
    <hyperlink ref="H484" r:id="rId637" tooltip="Pachirisu (Pokémon)" display="http://bulbapedia.bulbagarden.net/wiki/Pachirisu_(Pok%C3%A9mon)"/>
    <hyperlink ref="H522" r:id="rId638" tooltip="Drapion (Pokémon)" display="http://bulbapedia.bulbagarden.net/wiki/Drapion_(Pok%C3%A9mon)"/>
    <hyperlink ref="H537" r:id="rId639" tooltip="Electivire (Pokémon)" display="http://bulbapedia.bulbagarden.net/wiki/Electivire_(Pok%C3%A9mon)"/>
    <hyperlink ref="H540" r:id="rId640" tooltip="Yanmega (Pokémon)" display="http://bulbapedia.bulbagarden.net/wiki/Yanmega_(Pok%C3%A9mon)"/>
    <hyperlink ref="H541" r:id="rId641" tooltip="Leafeon (Pokémon)" display="http://bulbapedia.bulbagarden.net/wiki/Leafeon_(Pok%C3%A9mon)"/>
    <hyperlink ref="H543" r:id="rId642" tooltip="Gliscor (Pokémon)" display="http://bulbapedia.bulbagarden.net/wiki/Gliscor_(Pok%C3%A9mon)"/>
    <hyperlink ref="H557" r:id="rId643" tooltip="Uxie (Pokémon)" display="http://bulbapedia.bulbagarden.net/wiki/Uxie_(Pok%C3%A9mon)"/>
    <hyperlink ref="H636" r:id="rId644" tooltip="Darmanitan (Pokémon)" display="http://bulbapedia.bulbagarden.net/wiki/Darmanitan_(Pok%C3%A9mon)"/>
    <hyperlink ref="H667" r:id="rId645" tooltip="Sawsbuck (Pokémon)" display="http://bulbapedia.bulbagarden.net/wiki/Sawsbuck_(Pok%C3%A9mon)"/>
    <hyperlink ref="H732" r:id="rId646" tooltip="Kyurem (Pokémon)" display="http://bulbapedia.bulbagarden.net/wiki/Kyurem_(Pok%C3%A9mon)"/>
    <hyperlink ref="H731" r:id="rId647" tooltip="Kyurem (Pokémon)" display="http://bulbapedia.bulbagarden.net/wiki/Kyurem_(Pok%C3%A9mon)"/>
    <hyperlink ref="H730" r:id="rId648" tooltip="Kyurem (Pokémon)" display="http://bulbapedia.bulbagarden.net/wiki/Kyurem_(Pok%C3%A9mon)"/>
    <hyperlink ref="H812" r:id="rId649" tooltip="Zygarde (Pokémon)" display="http://bulbapedia.bulbagarden.net/wiki/Zygarde_(Pok%C3%A9mon)"/>
    <hyperlink ref="H28" r:id="rId650" tooltip="Raticate (Pokémon)" display="http://bulbapedia.bulbagarden.net/wiki/Raticate_(Pok%C3%A9mon)"/>
    <hyperlink ref="H425" r:id="rId651" tooltip="Luvdisc (Pokémon)" display="http://bulbapedia.bulbagarden.net/wiki/Luvdisc_(Pok%C3%A9mon)"/>
    <hyperlink ref="H642" r:id="rId652" tooltip="Sigilyph (Pokémon)" display="http://bulbapedia.bulbagarden.net/wiki/Sigilyph_(Pok%C3%A9mon)"/>
    <hyperlink ref="H693" r:id="rId653" tooltip="Haxorus (Pokémon)" display="http://bulbapedia.bulbagarden.net/wiki/Haxorus_(Pok%C3%A9mon)"/>
    <hyperlink ref="H744" r:id="rId654" tooltip="Frogadier (Pokémon)" display="http://bulbapedia.bulbagarden.net/wiki/Frogadier_(Pok%C3%A9mon)"/>
    <hyperlink ref="H630" r:id="rId655" tooltip="Basculin (Pokémon)" display="http://bulbapedia.bulbagarden.net/wiki/Basculin_(Pok%C3%A9mon)"/>
    <hyperlink ref="H662" r:id="rId656" tooltip="Swanna (Pokémon)" display="http://bulbapedia.bulbagarden.net/wiki/Swanna_(Pok%C3%A9mon)"/>
    <hyperlink ref="H716" r:id="rId657" tooltip="Hydreigon (Pokémon)" display="http://bulbapedia.bulbagarden.net/wiki/Hydreigon_(Pok%C3%A9mon)"/>
    <hyperlink ref="H736" r:id="rId658" tooltip="Genesect (Pokémon)" display="http://bulbapedia.bulbagarden.net/wiki/Genesect_(Pok%C3%A9mon)"/>
    <hyperlink ref="H805" r:id="rId659" tooltip="Gourgeist (Pokémon)" display="http://bulbapedia.bulbagarden.net/wiki/Gourgeist_(Pok%C3%A9mon)"/>
    <hyperlink ref="H810" r:id="rId660" tooltip="Xerneas (Pokémon)" display="http://bulbapedia.bulbagarden.net/wiki/Xerneas_(Pok%C3%A9mon)"/>
    <hyperlink ref="H811" r:id="rId661" tooltip="Yveltal (Pokémon)" display="http://bulbapedia.bulbagarden.net/wiki/Yveltal_(Pok%C3%A9mon)"/>
    <hyperlink ref="H8" r:id="rId662" tooltip="Charizard (Pokémon)" display="http://bulbapedia.bulbagarden.net/wiki/Charizard_(Pok%C3%A9mon)"/>
    <hyperlink ref="H10" r:id="rId663" tooltip="Charizard (Pokémon)" display="http://bulbapedia.bulbagarden.net/wiki/Charizard_(Pok%C3%A9mon)"/>
    <hyperlink ref="H9" r:id="rId664" tooltip="Charizard (Pokémon)" display="http://bulbapedia.bulbagarden.net/wiki/Charizard_(Pok%C3%A9mon)"/>
    <hyperlink ref="H31" r:id="rId665" tooltip="Fearow (Pokémon)" display="http://bulbapedia.bulbagarden.net/wiki/Fearow_(Pok%C3%A9mon)"/>
    <hyperlink ref="H51" r:id="rId666" tooltip="Ninetales (Pokémon)" display="http://bulbapedia.bulbagarden.net/wiki/Ninetales_(Pok%C3%A9mon)"/>
    <hyperlink ref="H92" r:id="rId667" tooltip="Tentacruel (Pokémon)" display="http://bulbapedia.bulbagarden.net/wiki/Tentacruel_(Pok%C3%A9mon)"/>
    <hyperlink ref="H108" r:id="rId668" tooltip="Dodrio (Pokémon)" display="http://bulbapedia.bulbagarden.net/wiki/Dodrio_(Pok%C3%A9mon)"/>
    <hyperlink ref="H126" r:id="rId669" tooltip="Voltorb (Pokémon)" display="http://bulbapedia.bulbagarden.net/wiki/Voltorb_(Pok%C3%A9mon)"/>
    <hyperlink ref="H144" r:id="rId670" tooltip="Kangaskhan (Pokémon)" display="http://bulbapedia.bulbagarden.net/wiki/Kangaskhan_(Pok%C3%A9mon)"/>
    <hyperlink ref="H177" r:id="rId671" tooltip="Zapdos (Pokémon)" display="http://bulbapedia.bulbagarden.net/wiki/Zapdos_(Pok%C3%A9mon)"/>
    <hyperlink ref="H185" r:id="rId672" tooltip="Mew (Pokémon)" display="http://bulbapedia.bulbagarden.net/wiki/Mew_(Pok%C3%A9mon)"/>
    <hyperlink ref="H191" r:id="rId673" tooltip="Typhlosion (Pokémon)" display="http://bulbapedia.bulbagarden.net/wiki/Typhlosion_(Pok%C3%A9mon)"/>
    <hyperlink ref="H280" r:id="rId674" tooltip="Miltank (Pokémon)" display="http://bulbapedia.bulbagarden.net/wiki/Miltank_(Pok%C3%A9mon)"/>
    <hyperlink ref="H283" r:id="rId675" tooltip="Entei (Pokémon)" display="http://bulbapedia.bulbagarden.net/wiki/Entei_(Pok%C3%A9mon)"/>
    <hyperlink ref="H291" r:id="rId676" tooltip="Celebi (Pokémon)" display="http://bulbapedia.bulbagarden.net/wiki/Celebi_(Pok%C3%A9mon)"/>
    <hyperlink ref="H299" r:id="rId677" tooltip="Blaziken (Pokémon)" display="http://bulbapedia.bulbagarden.net/wiki/Blaziken_(Pok%C3%A9mon)"/>
    <hyperlink ref="H307" r:id="rId678" tooltip="Linoone (Pokémon)" display="http://bulbapedia.bulbagarden.net/wiki/Linoone_(Pok%C3%A9mon)"/>
    <hyperlink ref="H326" r:id="rId679" tooltip="Gardevoir (Pokémon)" display="http://bulbapedia.bulbagarden.net/wiki/Gardevoir_(Pok%C3%A9mon)"/>
    <hyperlink ref="H333" r:id="rId680" tooltip="Slaking (Pokémon)" display="http://bulbapedia.bulbagarden.net/wiki/Slaking_(Pok%C3%A9mon)"/>
    <hyperlink ref="H356" r:id="rId681" tooltip="Medicham (Pokémon)" display="http://bulbapedia.bulbagarden.net/wiki/Medicham_(Pok%C3%A9mon)"/>
    <hyperlink ref="H381" r:id="rId682" tooltip="Flygon (Pokémon)" display="http://bulbapedia.bulbagarden.net/wiki/Flygon_(Pok%C3%A9mon)"/>
    <hyperlink ref="H417" r:id="rId683" tooltip="Glalie (Pokémon)" display="http://bulbapedia.bulbagarden.net/wiki/Glalie_(Pok%C3%A9mon)"/>
    <hyperlink ref="H428" r:id="rId684" tooltip="Salamence (Pokémon)" display="http://bulbapedia.bulbagarden.net/wiki/Salamence_(Pok%C3%A9mon)"/>
    <hyperlink ref="H447" r:id="rId685" tooltip="Jirachi (Pokémon)" display="http://bulbapedia.bulbagarden.net/wiki/Jirachi_(Pok%C3%A9mon)"/>
    <hyperlink ref="H463" r:id="rId686" tooltip="Staraptor (Pokémon)" display="http://bulbapedia.bulbagarden.net/wiki/Staraptor_(Pok%C3%A9mon)"/>
    <hyperlink ref="H561" r:id="rId687" tooltip="Palkia (Pokémon)" display="http://bulbapedia.bulbagarden.net/wiki/Palkia_(Pok%C3%A9mon)"/>
    <hyperlink ref="H563" r:id="rId688" tooltip="Regigigas (Pokémon)" display="http://bulbapedia.bulbagarden.net/wiki/Regigigas_(Pok%C3%A9mon)"/>
    <hyperlink ref="H568" r:id="rId689" tooltip="Manaphy (Pokémon)" display="http://bulbapedia.bulbagarden.net/wiki/Manaphy_(Pok%C3%A9mon)"/>
    <hyperlink ref="H570" r:id="rId690" tooltip="Shaymin (Pokémon)" display="http://bulbapedia.bulbagarden.net/wiki/Shaymin_(Pok%C3%A9mon)"/>
    <hyperlink ref="H573" r:id="rId691" tooltip="Victini (Pokémon)" display="http://bulbapedia.bulbagarden.net/wiki/Victini_(Pok%C3%A9mon)"/>
    <hyperlink ref="H718" r:id="rId692" tooltip="Volcarona (Pokémon)" display="http://bulbapedia.bulbagarden.net/wiki/Volcarona_(Pok%C3%A9mon)"/>
    <hyperlink ref="H24" r:id="rId693" tooltip="Pidgeot (Pokémon)" display="http://bulbapedia.bulbagarden.net/wiki/Pidgeot_(Pok%C3%A9mon)"/>
    <hyperlink ref="H591" r:id="rId694" tooltip="Simisage (Pokémon)" display="http://bulbapedia.bulbagarden.net/wiki/Simisage_(Pok%C3%A9mon)"/>
    <hyperlink ref="H593" r:id="rId695" tooltip="Simisear (Pokémon)" display="http://bulbapedia.bulbagarden.net/wiki/Simisear_(Pok%C3%A9mon)"/>
    <hyperlink ref="H595" r:id="rId696" tooltip="Simipour (Pokémon)" display="http://bulbapedia.bulbagarden.net/wiki/Simipour_(Pok%C3%A9mon)"/>
    <hyperlink ref="H724" r:id="rId697" tooltip="Thundurus (Pokémon)" display="http://bulbapedia.bulbagarden.net/wiki/Thundurus_(Pok%C3%A9mon)"/>
    <hyperlink ref="H728" r:id="rId698" tooltip="Landorus (Pokémon)" display="http://bulbapedia.bulbagarden.net/wiki/Landorus_(Pok%C3%A9mon)"/>
    <hyperlink ref="H790" r:id="rId699" tooltip="Dedenne (Pokémon)" display="http://bulbapedia.bulbagarden.net/wiki/Dedenne_(Pok%C3%A9mon)"/>
    <hyperlink ref="H513" r:id="rId700" tooltip="Garchomp (Pokémon)" display="http://bulbapedia.bulbagarden.net/wiki/Garchomp_(Pok%C3%A9mon)"/>
    <hyperlink ref="H763" r:id="rId701" tooltip="Furfrou (Pokémon)" display="http://bulbapedia.bulbagarden.net/wiki/Furfrou_(Pok%C3%A9mon)"/>
    <hyperlink ref="H668" r:id="rId702" tooltip="Emolga (Pokémon)" display="http://bulbapedia.bulbagarden.net/wiki/Emolga_(Pok%C3%A9mon)"/>
    <hyperlink ref="H742" r:id="rId703" tooltip="Delphox (Pokémon)" display="http://bulbapedia.bulbagarden.net/wiki/Delphox_(Pok%C3%A9mon)"/>
    <hyperlink ref="H765" r:id="rId704" tooltip="Meowstic (Pokémon)" display="http://bulbapedia.bulbagarden.net/wiki/Meowstic_(Pok%C3%A9mon)"/>
    <hyperlink ref="H82" r:id="rId705" tooltip="Kadabra (Pokémon)" display="http://bulbapedia.bulbagarden.net/wiki/Kadabra_(Pok%C3%A9mon)"/>
    <hyperlink ref="H100" r:id="rId706" tooltip="Rapidash (Pokémon)" display="http://bulbapedia.bulbagarden.net/wiki/Rapidash_(Pok%C3%A9mon)"/>
    <hyperlink ref="H152" r:id="rId707" tooltip="Scyther (Pokémon)" display="http://bulbapedia.bulbagarden.net/wiki/Scyther_(Pok%C3%A9mon)"/>
    <hyperlink ref="H154" r:id="rId708" tooltip="Electabuzz (Pokémon)" display="http://bulbapedia.bulbagarden.net/wiki/Electabuzz_(Pok%C3%A9mon)"/>
    <hyperlink ref="H157" r:id="rId709" tooltip="Pinsir (Pokémon)" display="http://bulbapedia.bulbagarden.net/wiki/Pinsir_(Pok%C3%A9mon)"/>
    <hyperlink ref="H358" r:id="rId710" tooltip="Manectric (Pokémon)" display="http://bulbapedia.bulbagarden.net/wiki/Manectric_(Pok%C3%A9mon)"/>
    <hyperlink ref="H369" r:id="rId711" tooltip="Sharpedo (Pokémon)" display="http://bulbapedia.bulbagarden.net/wiki/Sharpedo_(Pok%C3%A9mon)"/>
    <hyperlink ref="H495" r:id="rId712" tooltip="Lopunny (Pokémon)" display="http://bulbapedia.bulbagarden.net/wiki/Lopunny_(Pok%C3%A9mon)"/>
    <hyperlink ref="H497" r:id="rId713" tooltip="Mismagius (Pokémon)" display="http://bulbapedia.bulbagarden.net/wiki/Mismagius_(Pok%C3%A9mon)"/>
    <hyperlink ref="H652" r:id="rId714" tooltip="Zoroark (Pokémon)" display="http://bulbapedia.bulbagarden.net/wiki/Zoroark_(Pok%C3%A9mon)"/>
    <hyperlink ref="H696" r:id="rId715" tooltip="Cryogonal (Pokémon)" display="http://bulbapedia.bulbagarden.net/wiki/Cryogonal_(Pok%C3%A9mon)"/>
    <hyperlink ref="H701" r:id="rId716" tooltip="Mienshao (Pokémon)" display="http://bulbapedia.bulbagarden.net/wiki/Mienshao_(Pok%C3%A9mon)"/>
    <hyperlink ref="H589" r:id="rId717" tooltip="Liepard (Pokémon)" display="http://bulbapedia.bulbagarden.net/wiki/Liepard_(Pok%C3%A9mon)"/>
    <hyperlink ref="H755" r:id="rId718" tooltip="Pyroar (Pokémon)" display="http://bulbapedia.bulbagarden.net/wiki/Pyroar_(Pok%C3%A9mon)"/>
    <hyperlink ref="H457" r:id="rId719" tooltip="Infernape (Pokémon)" display="http://bulbapedia.bulbagarden.net/wiki/Infernape_(Pok%C3%A9mon)"/>
    <hyperlink ref="H677" r:id="rId720" tooltip="Galvantula (Pokémon)" display="http://bulbapedia.bulbagarden.net/wiki/Galvantula_(Pok%C3%A9mon)"/>
    <hyperlink ref="H719" r:id="rId721" tooltip="Cobalion (Pokémon)" display="http://bulbapedia.bulbagarden.net/wiki/Cobalion_(Pok%C3%A9mon)"/>
    <hyperlink ref="H720" r:id="rId722" tooltip="Terrakion (Pokémon)" display="http://bulbapedia.bulbagarden.net/wiki/Terrakion_(Pok%C3%A9mon)"/>
    <hyperlink ref="H721" r:id="rId723" tooltip="Virizion (Pokémon)" display="http://bulbapedia.bulbagarden.net/wiki/Virizion_(Pok%C3%A9mon)"/>
    <hyperlink ref="H733" r:id="rId724" tooltip="Keldeo (Pokémon)" display="http://bulbapedia.bulbagarden.net/wiki/Keldeo_(Pok%C3%A9mon)"/>
    <hyperlink ref="H713" r:id="rId725" tooltip="Durant (Pokémon)" display="http://bulbapedia.bulbagarden.net/wiki/Durant_(Pok%C3%A9mon)"/>
    <hyperlink ref="H783" r:id="rId726" tooltip="Heliolisk (Pokémon)" display="http://bulbapedia.bulbagarden.net/wiki/Heliolisk_(Pok%C3%A9mon)"/>
    <hyperlink ref="H35" r:id="rId727" tooltip="Raichu (Pokémon)" display="http://bulbapedia.bulbagarden.net/wiki/Raichu_(Pok%C3%A9mon)"/>
    <hyperlink ref="H119" r:id="rId728" tooltip="Gengar (Pokémon)" display="http://bulbapedia.bulbagarden.net/wiki/Gengar_(Pok%C3%A9mon)"/>
    <hyperlink ref="H158" r:id="rId729" tooltip="Tauros (Pokémon)" display="http://bulbapedia.bulbagarden.net/wiki/Tauros_(Pok%C3%A9mon)"/>
    <hyperlink ref="H224" r:id="rId730" tooltip="Jumpluff (Pokémon)" display="http://bulbapedia.bulbagarden.net/wiki/Jumpluff_(Pok%C3%A9mon)"/>
    <hyperlink ref="H231" r:id="rId731" tooltip="Espeon (Pokémon)" display="http://bulbapedia.bulbagarden.net/wiki/Espeon_(Pok%C3%A9mon)"/>
    <hyperlink ref="H289" r:id="rId732" tooltip="Lugia (Pokémon)" display="http://bulbapedia.bulbagarden.net/wiki/Lugia_(Pok%C3%A9mon)"/>
    <hyperlink ref="H433" r:id="rId733" tooltip="Metagross (Pokémon)" display="http://bulbapedia.bulbagarden.net/wiki/Metagross_(Pok%C3%A9mon)"/>
    <hyperlink ref="H437" r:id="rId734" tooltip="Latias (Pokémon)" display="http://bulbapedia.bulbagarden.net/wiki/Latias_(Pok%C3%A9mon)"/>
    <hyperlink ref="H438" r:id="rId735" tooltip="Latias (Pokémon)" display="http://bulbapedia.bulbagarden.net/wiki/Latias_(Pok%C3%A9mon)"/>
    <hyperlink ref="H439" r:id="rId736" tooltip="Latios (Pokémon)" display="http://bulbapedia.bulbagarden.net/wiki/Latios_(Pok%C3%A9mon)"/>
    <hyperlink ref="H440" r:id="rId737" tooltip="Latios (Pokémon)" display="http://bulbapedia.bulbagarden.net/wiki/Latios_(Pok%C3%A9mon)"/>
    <hyperlink ref="H547" r:id="rId738" tooltip="Gallade (Pokémon)" display="http://bulbapedia.bulbagarden.net/wiki/Gallade_(Pok%C3%A9mon)"/>
    <hyperlink ref="H550" r:id="rId739" tooltip="Froslass (Pokémon)" display="http://bulbapedia.bulbagarden.net/wiki/Froslass_(Pok%C3%A9mon)"/>
    <hyperlink ref="H648" r:id="rId740" tooltip="Archeops (Pokémon)" display="http://bulbapedia.bulbagarden.net/wiki/Archeops_(Pok%C3%A9mon)"/>
    <hyperlink ref="H813" r:id="rId741" tooltip="Diancie (Pokémon)" display="http://bulbapedia.bulbagarden.net/wiki/Diancie_(Pok%C3%A9mon)"/>
    <hyperlink ref="H722" r:id="rId742" tooltip="Tornadus (Pokémon)" display="http://bulbapedia.bulbagarden.net/wiki/Tornadus_(Pok%C3%A9mon)"/>
    <hyperlink ref="H725" r:id="rId743" tooltip="Thundurus (Pokémon)" display="http://bulbapedia.bulbagarden.net/wiki/Thundurus_(Pok%C3%A9mon)"/>
    <hyperlink ref="H500" r:id="rId744" tooltip="Purugly (Pokémon)" display="http://bulbapedia.bulbagarden.net/wiki/Purugly_(Pok%C3%A9mon)"/>
    <hyperlink ref="H518" r:id="rId745" tooltip="Lucario (Pokémon)" display="http://bulbapedia.bulbagarden.net/wiki/Lucario_(Pok%C3%A9mon)"/>
    <hyperlink ref="H625" r:id="rId746" tooltip="Scolipede (Pokémon)" display="http://bulbapedia.bulbagarden.net/wiki/Scolipede_(Pok%C3%A9mon)"/>
    <hyperlink ref="H576" r:id="rId747" tooltip="Serperior (Pokémon)" display="http://bulbapedia.bulbagarden.net/wiki/Serperior_(Pok%C3%A9mon)"/>
    <hyperlink ref="H607" r:id="rId748" tooltip="Swoobat (Pokémon)" display="http://bulbapedia.bulbagarden.net/wiki/Swoobat_(Pok%C3%A9mon)"/>
    <hyperlink ref="H70" r:id="rId749" tooltip="Persian (Pokémon)" display="http://bulbapedia.bulbagarden.net/wiki/Persian_(Pok%C3%A9mon)"/>
    <hyperlink ref="H150" r:id="rId750" tooltip="Starmie (Pokémon)" display="http://bulbapedia.bulbagarden.net/wiki/Starmie_(Pok%C3%A9mon)"/>
    <hyperlink ref="H253" r:id="rId751" tooltip="Sneasel (Pokémon)" display="http://bulbapedia.bulbagarden.net/wiki/Sneasel_(Pok%C3%A9mon)"/>
    <hyperlink ref="H268" r:id="rId752" tooltip="Houndoom (Pokémon)" display="http://bulbapedia.bulbagarden.net/wiki/Houndoom_(Pok%C3%A9mon)"/>
    <hyperlink ref="H282" r:id="rId753" tooltip="Raikou (Pokémon)" display="http://bulbapedia.bulbagarden.net/wiki/Raikou_(Pok%C3%A9mon)"/>
    <hyperlink ref="H413" r:id="rId754" tooltip="Absol (Pokémon)" display="http://bulbapedia.bulbagarden.net/wiki/Absol_(Pok%C3%A9mon)"/>
    <hyperlink ref="H446" r:id="rId755" tooltip="Rayquaza (Pokémon)" display="http://bulbapedia.bulbagarden.net/wiki/Rayquaza_(Pok%C3%A9mon)"/>
    <hyperlink ref="H486" r:id="rId756" tooltip="Floatzel (Pokémon)" display="http://bulbapedia.bulbagarden.net/wiki/Floatzel_(Pok%C3%A9mon)"/>
    <hyperlink ref="H491" r:id="rId757" tooltip="Ambipom (Pokémon)" display="http://bulbapedia.bulbagarden.net/wiki/Ambipom_(Pok%C3%A9mon)"/>
    <hyperlink ref="H559" r:id="rId758" tooltip="Azelf (Pokémon)" display="http://bulbapedia.bulbagarden.net/wiki/Azelf_(Pok%C3%A9mon)"/>
    <hyperlink ref="H654" r:id="rId759" tooltip="Cinccino (Pokémon)" display="http://bulbapedia.bulbagarden.net/wiki/Cinccino_(Pok%C3%A9mon)"/>
    <hyperlink ref="H602" r:id="rId760" tooltip="Zebstrika (Pokémon)" display="http://bulbapedia.bulbagarden.net/wiki/Zebstrika_(Pok%C3%A9mon)"/>
    <hyperlink ref="H627" r:id="rId761" tooltip="Whimsicott (Pokémon)" display="http://bulbapedia.bulbagarden.net/wiki/Whimsicott_(Pok%C3%A9mon)"/>
    <hyperlink ref="H789" r:id="rId762" tooltip="Hawlucha (Pokémon)" display="http://bulbapedia.bulbagarden.net/wiki/Hawlucha_(Pok%C3%A9mon)"/>
    <hyperlink ref="H66" r:id="rId763" tooltip="Dugtrio (Pokémon)" display="http://bulbapedia.bulbagarden.net/wiki/Dugtrio_(Pok%C3%A9mon)"/>
    <hyperlink ref="H83" r:id="rId764" tooltip="Alakazam (Pokémon)" display="http://bulbapedia.bulbagarden.net/wiki/Alakazam_(Pok%C3%A9mon)"/>
    <hyperlink ref="H294" r:id="rId765" tooltip="Sceptile (Pokémon)" display="http://bulbapedia.bulbagarden.net/wiki/Sceptile_(Pok%C3%A9mon)"/>
    <hyperlink ref="H429" r:id="rId766" tooltip="Salamence (Pokémon)" display="http://bulbapedia.bulbagarden.net/wiki/Salamence_(Pok%C3%A9mon)"/>
    <hyperlink ref="H572" r:id="rId767" tooltip="Arceus (Pokémon)" display="http://bulbapedia.bulbagarden.net/wiki/Arceus_(Pok%C3%A9mon)"/>
    <hyperlink ref="H25" r:id="rId768" tooltip="Pidgeot (Pokémon)" display="http://bulbapedia.bulbagarden.net/wiki/Pidgeot_(Pok%C3%A9mon)"/>
    <hyperlink ref="H723" r:id="rId769" tooltip="Tornadus (Pokémon)" display="http://bulbapedia.bulbagarden.net/wiki/Tornadus_(Pok%C3%A9mon)"/>
    <hyperlink ref="H745" r:id="rId770" tooltip="Greninja (Pokémon)" display="http://bulbapedia.bulbagarden.net/wiki/Greninja_(Pok%C3%A9mon)"/>
    <hyperlink ref="H809" r:id="rId771" tooltip="Noivern (Pokémon)" display="http://bulbapedia.bulbagarden.net/wiki/Noivern_(Pok%C3%A9mon)"/>
    <hyperlink ref="H320" r:id="rId772" tooltip="Swellow (Pokémon)" display="http://bulbapedia.bulbagarden.net/wiki/Swellow_(Pok%C3%A9mon)"/>
    <hyperlink ref="H532" r:id="rId773" tooltip="Weavile (Pokémon)" display="http://bulbapedia.bulbagarden.net/wiki/Weavile_(Pok%C3%A9mon)"/>
    <hyperlink ref="H569" r:id="rId774" tooltip="Darkrai (Pokémon)" display="http://bulbapedia.bulbagarden.net/wiki/Darkrai_(Pok%C3%A9mon)"/>
    <hyperlink ref="H750" r:id="rId775" tooltip="Talonflame (Pokémon)" display="http://bulbapedia.bulbagarden.net/wiki/Talonflame_(Pok%C3%A9mon)"/>
    <hyperlink ref="H571" r:id="rId776" tooltip="Shaymin (Pokémon)" display="http://bulbapedia.bulbagarden.net/wiki/Shaymin_(Pok%C3%A9mon)"/>
    <hyperlink ref="H735" r:id="rId777" tooltip="Meloetta (Pokémon)" display="http://bulbapedia.bulbagarden.net/wiki/Meloetta_(Pok%C3%A9mon)"/>
    <hyperlink ref="H120" r:id="rId778" tooltip="Gengar (Pokémon)" display="http://bulbapedia.bulbagarden.net/wiki/Gengar_(Pok%C3%A9mon)"/>
    <hyperlink ref="H166" r:id="rId779" tooltip="Jolteon (Pokémon)" display="http://bulbapedia.bulbagarden.net/wiki/Jolteon_(Pok%C3%A9mon)"/>
    <hyperlink ref="H173" r:id="rId780" tooltip="Aerodactyl (Pokémon)" display="http://bulbapedia.bulbagarden.net/wiki/Aerodactyl_(Pok%C3%A9mon)"/>
    <hyperlink ref="H182" r:id="rId781" tooltip="Mewtwo (Pokémon)" display="http://bulbapedia.bulbagarden.net/wiki/Mewtwo_(Pok%C3%A9mon)"/>
    <hyperlink ref="H184" r:id="rId782" tooltip="Mewtwo (Pokémon)" display="http://bulbapedia.bulbagarden.net/wiki/Mewtwo_(Pok%C3%A9mon)"/>
    <hyperlink ref="H203" r:id="rId783" tooltip="Crobat (Pokémon)" display="http://bulbapedia.bulbagarden.net/wiki/Crobat_(Pok%C3%A9mon)"/>
    <hyperlink ref="H359" r:id="rId784" tooltip="Manectric (Pokémon)" display="http://bulbapedia.bulbagarden.net/wiki/Manectric_(Pok%C3%A9mon)"/>
    <hyperlink ref="H496" r:id="rId785" tooltip="Lopunny (Pokémon)" display="http://bulbapedia.bulbagarden.net/wiki/Lopunny_(Pok%C3%A9mon)"/>
    <hyperlink ref="H127" r:id="rId786" tooltip="Electrode (Pokémon)" display="http://bulbapedia.bulbagarden.net/wiki/Electrode_(Pok%C3%A9mon)"/>
    <hyperlink ref="H183" r:id="rId787" tooltip="Mewtwo (Pokémon)" display="http://bulbapedia.bulbagarden.net/wiki/Mewtwo_(Pok%C3%A9mon)"/>
    <hyperlink ref="H21" r:id="rId788" tooltip="Beedrill (Pokémon)" display="http://bulbapedia.bulbagarden.net/wiki/Beedrill_(Pok%C3%A9mon)"/>
    <hyperlink ref="H295" r:id="rId789" tooltip="Sceptile (Pokémon)" display="http://bulbapedia.bulbagarden.net/wiki/Sceptile_(Pok%C3%A9mon)"/>
    <hyperlink ref="H698" r:id="rId790" tooltip="Accelgor (Pokémon)" display="http://bulbapedia.bulbagarden.net/wiki/Accelgor_(Pok%C3%A9mon)"/>
    <hyperlink ref="H84" r:id="rId791" tooltip="Alakazam (Pokémon)" display="http://bulbapedia.bulbagarden.net/wiki/Alakazam_(Pok%C3%A9mon)"/>
    <hyperlink ref="H174" r:id="rId792" tooltip="Aerodactyl (Pokémon)" display="http://bulbapedia.bulbagarden.net/wiki/Aerodactyl_(Pok%C3%A9mon)"/>
    <hyperlink ref="H449" r:id="rId793" tooltip="Deoxys (Pokémon)" display="http://bulbapedia.bulbagarden.net/wiki/Deoxys_(Pok%C3%A9mon)"/>
    <hyperlink ref="H448" r:id="rId794" tooltip="Deoxys (Pokémon)" display="http://bulbapedia.bulbagarden.net/wiki/Deoxys_(Pok%C3%A9mon)"/>
    <hyperlink ref="H335" r:id="rId795" tooltip="Ninjask (Pokémon)" display="http://bulbapedia.bulbagarden.net/wiki/Ninjask_(Pok%C3%A9mon)"/>
    <hyperlink ref="H451" r:id="rId796" tooltip="Deoxys (Pokémon)" display="http://bulbapedia.bulbagarden.net/wiki/Deoxys_(Pok%C3%A9mon)"/>
    <hyperlink ref="H799" r:id="rId797" tooltip="Pumpkaboo (Pokémon)" display="http://bulbapedia.bulbagarden.net/wiki/Pumpkaboo_(Pok%C3%A9mon)"/>
    <hyperlink ref="H801" r:id="rId798" tooltip="Pumpkaboo (Pokémon)" display="http://bulbapedia.bulbagarden.net/wiki/Pumpkaboo_(Pok%C3%A9mon)"/>
    <hyperlink ref="H818" r:id="rId799" tooltip="Rowlet (Pokémon)" display="http://bulbapedia.bulbagarden.net/wiki/Rowlet_(Pok%C3%A9mon)"/>
    <hyperlink ref="H819" r:id="rId800" tooltip="Dartrix (Pokémon)" display="http://bulbapedia.bulbagarden.net/wiki/Dartrix_(Pok%C3%A9mon)"/>
    <hyperlink ref="H820" r:id="rId801" tooltip="Decidueye (Pokémon)" display="http://bulbapedia.bulbagarden.net/wiki/Decidueye_(Pok%C3%A9mon)"/>
    <hyperlink ref="H822" r:id="rId802" tooltip="Torracat (Pokémon)" display="http://bulbapedia.bulbagarden.net/wiki/Torracat_(Pok%C3%A9mon)"/>
    <hyperlink ref="H823" r:id="rId803" tooltip="Incineroar (Pokémon)" display="http://bulbapedia.bulbagarden.net/wiki/Incineroar_(Pok%C3%A9mon)"/>
    <hyperlink ref="H824" r:id="rId804" tooltip="Popplio (Pokémon)" display="http://bulbapedia.bulbagarden.net/wiki/Popplio_(Pok%C3%A9mon)"/>
    <hyperlink ref="H825" r:id="rId805" tooltip="Brionne (Pokémon)" display="http://bulbapedia.bulbagarden.net/wiki/Brionne_(Pok%C3%A9mon)"/>
    <hyperlink ref="H826" r:id="rId806" tooltip="Primarina (Pokémon)" display="http://bulbapedia.bulbagarden.net/wiki/Primarina_(Pok%C3%A9mon)"/>
    <hyperlink ref="H827" r:id="rId807" tooltip="Pikipek (Pokémon)" display="http://bulbapedia.bulbagarden.net/wiki/Pikipek_(Pok%C3%A9mon)"/>
    <hyperlink ref="H828" r:id="rId808" tooltip="Trumbeak (Pokémon)" display="http://bulbapedia.bulbagarden.net/wiki/Trumbeak_(Pok%C3%A9mon)"/>
    <hyperlink ref="H829" r:id="rId809" tooltip="Toucannon (Pokémon)" display="http://bulbapedia.bulbagarden.net/wiki/Toucannon_(Pok%C3%A9mon)"/>
    <hyperlink ref="H830" r:id="rId810" tooltip="Yungoos (Pokémon)" display="http://bulbapedia.bulbagarden.net/wiki/Yungoos_(Pok%C3%A9mon)"/>
    <hyperlink ref="H831" r:id="rId811" tooltip="Gumshoos (Pokémon)" display="http://bulbapedia.bulbagarden.net/wiki/Gumshoos_(Pok%C3%A9mon)"/>
    <hyperlink ref="H832" r:id="rId812" tooltip="Grubbin (Pokémon)" display="http://bulbapedia.bulbagarden.net/wiki/Grubbin_(Pok%C3%A9mon)"/>
    <hyperlink ref="H833" r:id="rId813" tooltip="Charjabug (Pokémon)" display="http://bulbapedia.bulbagarden.net/wiki/Charjabug_(Pok%C3%A9mon)"/>
    <hyperlink ref="H834" r:id="rId814" tooltip="Vikavolt (Pokémon)" display="http://bulbapedia.bulbagarden.net/wiki/Vikavolt_(Pok%C3%A9mon)"/>
    <hyperlink ref="H835" r:id="rId815" tooltip="Crabrawler (Pokémon)" display="http://bulbapedia.bulbagarden.net/wiki/Crabrawler_(Pok%C3%A9mon)"/>
    <hyperlink ref="H836" r:id="rId816" tooltip="Crabominable (Pokémon)" display="http://bulbapedia.bulbagarden.net/wiki/Crabominable_(Pok%C3%A9mon)"/>
    <hyperlink ref="H837" r:id="rId817" tooltip="Oricorio (Pokémon)" display="http://bulbapedia.bulbagarden.net/wiki/Oricorio_(Pok%C3%A9mon)"/>
    <hyperlink ref="H841" r:id="rId818" tooltip="Cutiefly (Pokémon)" display="http://bulbapedia.bulbagarden.net/wiki/Cutiefly_(Pok%C3%A9mon)"/>
    <hyperlink ref="H842" r:id="rId819" tooltip="Ribombee (Pokémon)" display="http://bulbapedia.bulbagarden.net/wiki/Ribombee_(Pok%C3%A9mon)"/>
    <hyperlink ref="H843" r:id="rId820" tooltip="Rockruff (Pokémon)" display="http://bulbapedia.bulbagarden.net/wiki/Rockruff_(Pok%C3%A9mon)"/>
    <hyperlink ref="H844" r:id="rId821" tooltip="Lycanroc (Pokémon)" display="http://bulbapedia.bulbagarden.net/wiki/Lycanroc_(Pok%C3%A9mon)"/>
    <hyperlink ref="H845" r:id="rId822" tooltip="Wishiwashi (Pokémon)" display="http://bulbapedia.bulbagarden.net/wiki/Wishiwashi_(Pok%C3%A9mon)"/>
    <hyperlink ref="H847" r:id="rId823" tooltip="Mareanie (Pokémon)" display="http://bulbapedia.bulbagarden.net/wiki/Mareanie_(Pok%C3%A9mon)"/>
    <hyperlink ref="H848" r:id="rId824" tooltip="Toxapex (Pokémon)" display="http://bulbapedia.bulbagarden.net/wiki/Toxapex_(Pok%C3%A9mon)"/>
    <hyperlink ref="H849" r:id="rId825" tooltip="Mudbray (Pokémon)" display="http://bulbapedia.bulbagarden.net/wiki/Mudbray_(Pok%C3%A9mon)"/>
    <hyperlink ref="H850" r:id="rId826" tooltip="Mudsdale (Pokémon)" display="http://bulbapedia.bulbagarden.net/wiki/Mudsdale_(Pok%C3%A9mon)"/>
    <hyperlink ref="H851" r:id="rId827" tooltip="Dewpider (Pokémon)" display="http://bulbapedia.bulbagarden.net/wiki/Dewpider_(Pok%C3%A9mon)"/>
    <hyperlink ref="H852" r:id="rId828" tooltip="Araquanid (Pokémon)" display="http://bulbapedia.bulbagarden.net/wiki/Araquanid_(Pok%C3%A9mon)"/>
    <hyperlink ref="H853" r:id="rId829" tooltip="Fomantis (Pokémon)" display="http://bulbapedia.bulbagarden.net/wiki/Fomantis_(Pok%C3%A9mon)"/>
    <hyperlink ref="H854" r:id="rId830" tooltip="Lurantis (Pokémon)" display="http://bulbapedia.bulbagarden.net/wiki/Lurantis_(Pok%C3%A9mon)"/>
    <hyperlink ref="H855" r:id="rId831" tooltip="Morelull (Pokémon)" display="http://bulbapedia.bulbagarden.net/wiki/Morelull_(Pok%C3%A9mon)"/>
    <hyperlink ref="H856" r:id="rId832" tooltip="Shiinotic (Pokémon)" display="http://bulbapedia.bulbagarden.net/wiki/Shiinotic_(Pok%C3%A9mon)"/>
    <hyperlink ref="H857" r:id="rId833" tooltip="Salandit (Pokémon)" display="http://bulbapedia.bulbagarden.net/wiki/Salandit_(Pok%C3%A9mon)"/>
    <hyperlink ref="H858" r:id="rId834" tooltip="Salazzle (Pokémon)" display="http://bulbapedia.bulbagarden.net/wiki/Salazzle_(Pok%C3%A9mon)"/>
    <hyperlink ref="H859" r:id="rId835" tooltip="Stufful (Pokémon)" display="http://bulbapedia.bulbagarden.net/wiki/Stufful_(Pok%C3%A9mon)"/>
    <hyperlink ref="H860" r:id="rId836" tooltip="Bewear (Pokémon)" display="http://bulbapedia.bulbagarden.net/wiki/Bewear_(Pok%C3%A9mon)"/>
    <hyperlink ref="H861" r:id="rId837" tooltip="Bounsweet (Pokémon)" display="http://bulbapedia.bulbagarden.net/wiki/Bounsweet_(Pok%C3%A9mon)"/>
    <hyperlink ref="H862" r:id="rId838" tooltip="Steenee (Pokémon)" display="http://bulbapedia.bulbagarden.net/wiki/Steenee_(Pok%C3%A9mon)"/>
    <hyperlink ref="H863" r:id="rId839" tooltip="Tsareena (Pokémon)" display="http://bulbapedia.bulbagarden.net/wiki/Tsareena_(Pok%C3%A9mon)"/>
    <hyperlink ref="H864" r:id="rId840" tooltip="Comfey (Pokémon)" display="http://bulbapedia.bulbagarden.net/wiki/Comfey_(Pok%C3%A9mon)"/>
    <hyperlink ref="H865" r:id="rId841" tooltip="Oranguru (Pokémon)" display="http://bulbapedia.bulbagarden.net/wiki/Oranguru_(Pok%C3%A9mon)"/>
    <hyperlink ref="H866" r:id="rId842" tooltip="Passimian (Pokémon)" display="http://bulbapedia.bulbagarden.net/wiki/Passimian_(Pok%C3%A9mon)"/>
    <hyperlink ref="H867" r:id="rId843" tooltip="Wimpod (Pokémon)" display="http://bulbapedia.bulbagarden.net/wiki/Wimpod_(Pok%C3%A9mon)"/>
    <hyperlink ref="H868" r:id="rId844" tooltip="Golisopod (Pokémon)" display="http://bulbapedia.bulbagarden.net/wiki/Golisopod_(Pok%C3%A9mon)"/>
    <hyperlink ref="H869" r:id="rId845" tooltip="Sandygast (Pokémon)" display="http://bulbapedia.bulbagarden.net/wiki/Sandygast_(Pok%C3%A9mon)"/>
    <hyperlink ref="H870" r:id="rId846" tooltip="Palossand (Pokémon)" display="http://bulbapedia.bulbagarden.net/wiki/Palossand_(Pok%C3%A9mon)"/>
    <hyperlink ref="H871" r:id="rId847" tooltip="Pyukumuku (Pokémon)" display="http://bulbapedia.bulbagarden.net/wiki/Pyukumuku_(Pok%C3%A9mon)"/>
    <hyperlink ref="H872" r:id="rId848" tooltip="Type: Null (Pokémon)" display="http://bulbapedia.bulbagarden.net/wiki/Type:_Null_(Pok%C3%A9mon)"/>
    <hyperlink ref="H873" r:id="rId849" tooltip="Silvally (Pokémon)" display="http://bulbapedia.bulbagarden.net/wiki/Silvally_(Pok%C3%A9mon)"/>
    <hyperlink ref="H874" r:id="rId850" tooltip="Minior (Pokémon)" display="http://bulbapedia.bulbagarden.net/wiki/Minior_(Pok%C3%A9mon)"/>
    <hyperlink ref="H875" r:id="rId851" tooltip="Komala (Pokémon)" display="http://bulbapedia.bulbagarden.net/wiki/Komala_(Pok%C3%A9mon)"/>
    <hyperlink ref="H876" r:id="rId852" tooltip="Turtonator (Pokémon)" display="http://bulbapedia.bulbagarden.net/wiki/Turtonator_(Pok%C3%A9mon)"/>
    <hyperlink ref="H877" r:id="rId853" tooltip="Togedemaru (Pokémon)" display="http://bulbapedia.bulbagarden.net/wiki/Togedemaru_(Pok%C3%A9mon)"/>
    <hyperlink ref="H878" r:id="rId854" tooltip="Mimikyu (Pokémon)" display="http://bulbapedia.bulbagarden.net/wiki/Mimikyu_(Pok%C3%A9mon)"/>
    <hyperlink ref="H879" r:id="rId855" tooltip="Bruxish (Pokémon)" display="http://bulbapedia.bulbagarden.net/wiki/Bruxish_(Pok%C3%A9mon)"/>
    <hyperlink ref="H880" r:id="rId856" tooltip="Drampa (Pokémon)" display="http://bulbapedia.bulbagarden.net/wiki/Drampa_(Pok%C3%A9mon)"/>
    <hyperlink ref="H881" r:id="rId857" tooltip="Dhelmise (Pokémon)" display="http://bulbapedia.bulbagarden.net/wiki/Dhelmise_(Pok%C3%A9mon)"/>
    <hyperlink ref="H882" r:id="rId858" tooltip="Jangmo-o (Pokémon)" display="http://bulbapedia.bulbagarden.net/wiki/Jangmo-o_(Pok%C3%A9mon)"/>
    <hyperlink ref="H883" r:id="rId859" tooltip="Hakamo-o (Pokémon)" display="http://bulbapedia.bulbagarden.net/wiki/Hakamo-o_(Pok%C3%A9mon)"/>
    <hyperlink ref="H884" r:id="rId860" tooltip="Kommo-o (Pokémon)" display="http://bulbapedia.bulbagarden.net/wiki/Kommo-o_(Pok%C3%A9mon)"/>
    <hyperlink ref="H885" r:id="rId861" tooltip="Tapu Koko (Pokémon)" display="http://bulbapedia.bulbagarden.net/wiki/Tapu_Koko_(Pok%C3%A9mon)"/>
    <hyperlink ref="H886" r:id="rId862" tooltip="Tapu Lele (Pokémon)" display="http://bulbapedia.bulbagarden.net/wiki/Tapu_Lele_(Pok%C3%A9mon)"/>
    <hyperlink ref="H887" r:id="rId863" tooltip="Tapu Bulu (Pokémon)" display="http://bulbapedia.bulbagarden.net/wiki/Tapu_Bulu_(Pok%C3%A9mon)"/>
    <hyperlink ref="H888" r:id="rId864" tooltip="Tapu Fini (Pokémon)" display="http://bulbapedia.bulbagarden.net/wiki/Tapu_Fini_(Pok%C3%A9mon)"/>
    <hyperlink ref="H889" r:id="rId865" tooltip="Cosmog (Pokémon)" display="http://bulbapedia.bulbagarden.net/wiki/Cosmog_(Pok%C3%A9mon)"/>
    <hyperlink ref="H890" r:id="rId866" tooltip="Cosmoem (Pokémon)" display="http://bulbapedia.bulbagarden.net/wiki/Cosmoem_(Pok%C3%A9mon)"/>
    <hyperlink ref="H891" r:id="rId867" tooltip="Solgaleo (Pokémon)" display="http://bulbapedia.bulbagarden.net/wiki/Solgaleo_(Pok%C3%A9mon)"/>
    <hyperlink ref="H892" r:id="rId868" tooltip="Lunala (Pokémon)" display="http://bulbapedia.bulbagarden.net/wiki/Lunala_(Pok%C3%A9mon)"/>
    <hyperlink ref="H893" r:id="rId869" tooltip="Nihilego (Pokémon)" display="http://bulbapedia.bulbagarden.net/wiki/Nihilego_(Pok%C3%A9mon)"/>
    <hyperlink ref="H894" r:id="rId870" tooltip="Buzzwole (Pokémon)" display="http://bulbapedia.bulbagarden.net/wiki/Buzzwole_(Pok%C3%A9mon)"/>
    <hyperlink ref="H895" r:id="rId871" tooltip="Pheromosa (Pokémon)" display="http://bulbapedia.bulbagarden.net/wiki/Pheromosa_(Pok%C3%A9mon)"/>
    <hyperlink ref="H896" r:id="rId872" tooltip="Xurkitree (Pokémon)" display="http://bulbapedia.bulbagarden.net/wiki/Xurkitree_(Pok%C3%A9mon)"/>
    <hyperlink ref="H897" r:id="rId873" tooltip="Celesteela (Pokémon)" display="http://bulbapedia.bulbagarden.net/wiki/Celesteela_(Pok%C3%A9mon)"/>
    <hyperlink ref="H898" r:id="rId874" tooltip="Kartana (Pokémon)" display="http://bulbapedia.bulbagarden.net/wiki/Kartana_(Pok%C3%A9mon)"/>
    <hyperlink ref="H899" r:id="rId875" tooltip="Guzzlord (Pokémon)" display="http://bulbapedia.bulbagarden.net/wiki/Guzzlord_(Pok%C3%A9mon)"/>
    <hyperlink ref="H900" r:id="rId876" tooltip="Necrozma (Pokémon)" display="http://bulbapedia.bulbagarden.net/wiki/Necrozma_(Pok%C3%A9mon)"/>
    <hyperlink ref="H901" r:id="rId877" tooltip="Magearna (Pokémon)" display="http://bulbapedia.bulbagarden.net/wiki/Magearna_(Pok%C3%A9mon)"/>
    <hyperlink ref="H902" r:id="rId878" tooltip="Marshadow (Pokémon)" display="http://bulbapedia.bulbagarden.net/wiki/Marshadow_(Pok%C3%A9mon)"/>
    <hyperlink ref="H821" r:id="rId879" tooltip="Litten (Pokémon)" display="http://bulbapedia.bulbagarden.net/wiki/Litten_(Pok%C3%A9mon)"/>
    <hyperlink ref="H838" r:id="rId880" tooltip="Oricorio (Pokémon)" display="http://bulbapedia.bulbagarden.net/wiki/Oricorio_(Pok%C3%A9mon)"/>
    <hyperlink ref="H839" r:id="rId881" tooltip="Oricorio (Pokémon)" display="http://bulbapedia.bulbagarden.net/wiki/Oricorio_(Pok%C3%A9mon)"/>
    <hyperlink ref="H840" r:id="rId882" tooltip="Oricorio (Pokémon)" display="http://bulbapedia.bulbagarden.net/wiki/Oricorio_(Pok%C3%A9mon)"/>
  </hyperlinks>
  <pageMargins left="0.7" right="0.7" top="0.75" bottom="0.75" header="0.3" footer="0.3"/>
  <pageSetup orientation="portrait" r:id="rId88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903"/>
  <sheetViews>
    <sheetView topLeftCell="D1" workbookViewId="0">
      <selection activeCell="Z26" sqref="Z26"/>
    </sheetView>
  </sheetViews>
  <sheetFormatPr defaultRowHeight="14.5" x14ac:dyDescent="0.35"/>
  <sheetData>
    <row r="1" spans="1:20" ht="15.5" thickTop="1" thickBot="1" x14ac:dyDescent="0.4">
      <c r="A1" s="30" t="s">
        <v>782</v>
      </c>
      <c r="B1" s="31" t="s">
        <v>783</v>
      </c>
      <c r="C1" s="32" t="s">
        <v>784</v>
      </c>
      <c r="D1" s="33" t="s">
        <v>785</v>
      </c>
      <c r="E1" s="34" t="s">
        <v>786</v>
      </c>
      <c r="F1" s="35" t="s">
        <v>787</v>
      </c>
      <c r="G1" s="36" t="s">
        <v>788</v>
      </c>
      <c r="H1" s="37" t="s">
        <v>789</v>
      </c>
      <c r="J1" t="s">
        <v>797</v>
      </c>
      <c r="K1" t="s">
        <v>794</v>
      </c>
      <c r="L1" t="s">
        <v>795</v>
      </c>
      <c r="M1" t="s">
        <v>796</v>
      </c>
      <c r="N1" s="30" t="s">
        <v>782</v>
      </c>
      <c r="O1" s="31" t="s">
        <v>783</v>
      </c>
      <c r="P1" s="32" t="s">
        <v>784</v>
      </c>
      <c r="Q1" s="33" t="s">
        <v>785</v>
      </c>
      <c r="R1" s="34" t="s">
        <v>786</v>
      </c>
      <c r="S1" s="35" t="s">
        <v>787</v>
      </c>
      <c r="T1" s="37" t="s">
        <v>789</v>
      </c>
    </row>
    <row r="2" spans="1:20" ht="15" thickTop="1" x14ac:dyDescent="0.35">
      <c r="A2" s="10">
        <v>45</v>
      </c>
      <c r="B2" s="11">
        <v>49</v>
      </c>
      <c r="C2" s="12">
        <v>49</v>
      </c>
      <c r="D2" s="13">
        <v>65</v>
      </c>
      <c r="E2" s="14">
        <v>65</v>
      </c>
      <c r="F2" s="15">
        <v>45</v>
      </c>
      <c r="G2" s="16">
        <v>318</v>
      </c>
      <c r="H2" s="17">
        <v>53</v>
      </c>
      <c r="J2">
        <v>10</v>
      </c>
      <c r="K2">
        <v>0</v>
      </c>
      <c r="L2">
        <f>J2-1</f>
        <v>9</v>
      </c>
      <c r="M2" t="str">
        <f>K2&amp;"-"&amp;L2</f>
        <v>0-9</v>
      </c>
      <c r="N2" s="10">
        <f t="shared" ref="N2:S2" si="0">COUNTIF(A:A,"&lt;"&amp;$L2)</f>
        <v>1</v>
      </c>
      <c r="O2" s="11">
        <f t="shared" si="0"/>
        <v>2</v>
      </c>
      <c r="P2" s="12">
        <f t="shared" si="0"/>
        <v>2</v>
      </c>
      <c r="Q2" s="13">
        <f t="shared" si="0"/>
        <v>0</v>
      </c>
      <c r="R2" s="14">
        <f t="shared" si="0"/>
        <v>0</v>
      </c>
      <c r="S2" s="15">
        <f t="shared" si="0"/>
        <v>3</v>
      </c>
      <c r="T2" s="16">
        <f>COUNTIF(H:H,"&lt;"&amp;$L2)</f>
        <v>0</v>
      </c>
    </row>
    <row r="3" spans="1:20" x14ac:dyDescent="0.35">
      <c r="A3" s="3">
        <v>60</v>
      </c>
      <c r="B3" s="4">
        <v>62</v>
      </c>
      <c r="C3" s="5">
        <v>63</v>
      </c>
      <c r="D3" s="6">
        <v>80</v>
      </c>
      <c r="E3" s="7">
        <v>80</v>
      </c>
      <c r="F3" s="8">
        <v>60</v>
      </c>
      <c r="G3" s="1">
        <v>405</v>
      </c>
      <c r="H3" s="19">
        <v>67.5</v>
      </c>
      <c r="K3">
        <f t="shared" ref="K3:K7" si="1">IF(L2&gt;255,NA(),K2+$J$2)</f>
        <v>10</v>
      </c>
      <c r="L3">
        <f t="shared" ref="L3:L7" si="2">IF(L2&lt;255,L2+$J$2,NA())</f>
        <v>19</v>
      </c>
      <c r="M3" t="str">
        <f t="shared" ref="M3:M7" si="3">IFERROR(K3&amp;"-"&amp;L3,NA())</f>
        <v>10-19</v>
      </c>
      <c r="N3" s="3">
        <f>IFERROR(IF($L3="",NA(),COUNTIF(A:A,"&lt;"&amp;$L3)-SUM(N$2:N2)),NA())</f>
        <v>2</v>
      </c>
      <c r="O3" s="4">
        <f>IFERROR(IF($L3="",NA(),COUNTIF(B:B,"&lt;"&amp;$L3)-SUM(O$2:O2)),NA())</f>
        <v>4</v>
      </c>
      <c r="P3" s="5">
        <f>IFERROR(IF($L3="",NA(),COUNTIF(C:C,"&lt;"&amp;$L3)-SUM(P$2:P2)),NA())</f>
        <v>5</v>
      </c>
      <c r="Q3" s="6">
        <f>IFERROR(IF($L3="",NA(),COUNTIF(D:D,"&lt;"&amp;$L3)-SUM(Q$2:Q2)),NA())</f>
        <v>8</v>
      </c>
      <c r="R3" s="7">
        <f>IFERROR(IF($L3="",NA(),COUNTIF(E:E,"&lt;"&amp;$L3)-SUM(R$2:R2)),NA())</f>
        <v>0</v>
      </c>
      <c r="S3" s="8">
        <f>IFERROR(IF($L3="",NA(),COUNTIF(F:F,"&lt;"&amp;$L3)-SUM(S$2:S2)),NA())</f>
        <v>14</v>
      </c>
      <c r="T3" s="1">
        <f>IFERROR(IF($L3="",NA(),COUNTIF(H:H,"&lt;"&amp;$L3)-SUM(T$2:T2)),NA())</f>
        <v>0</v>
      </c>
    </row>
    <row r="4" spans="1:20" x14ac:dyDescent="0.35">
      <c r="A4" s="3">
        <v>80</v>
      </c>
      <c r="B4" s="4">
        <v>82</v>
      </c>
      <c r="C4" s="5">
        <v>83</v>
      </c>
      <c r="D4" s="6">
        <v>100</v>
      </c>
      <c r="E4" s="7">
        <v>100</v>
      </c>
      <c r="F4" s="8">
        <v>80</v>
      </c>
      <c r="G4" s="1">
        <v>525</v>
      </c>
      <c r="H4" s="19">
        <v>87.5</v>
      </c>
      <c r="K4">
        <f t="shared" si="1"/>
        <v>20</v>
      </c>
      <c r="L4">
        <f t="shared" si="2"/>
        <v>29</v>
      </c>
      <c r="M4" t="str">
        <f t="shared" si="3"/>
        <v>20-29</v>
      </c>
      <c r="N4" s="3">
        <f>IFERROR(IF($L4="",NA(),COUNTIF(A:A,"&lt;"&amp;$L4)-SUM(N$2:N3)),NA())</f>
        <v>10</v>
      </c>
      <c r="O4" s="4">
        <f>IFERROR(IF($L4="",NA(),COUNTIF(B:B,"&lt;"&amp;$L4)-SUM(O$2:O3)),NA())</f>
        <v>20</v>
      </c>
      <c r="P4" s="5">
        <f>IFERROR(IF($L4="",NA(),COUNTIF(C:C,"&lt;"&amp;$L4)-SUM(P$2:P3)),NA())</f>
        <v>9</v>
      </c>
      <c r="Q4" s="6">
        <f>IFERROR(IF($L4="",NA(),COUNTIF(D:D,"&lt;"&amp;$L4)-SUM(Q$2:Q3)),NA())</f>
        <v>28</v>
      </c>
      <c r="R4" s="7">
        <f>IFERROR(IF($L4="",NA(),COUNTIF(E:E,"&lt;"&amp;$L4)-SUM(R$2:R3)),NA())</f>
        <v>19</v>
      </c>
      <c r="S4" s="8">
        <f>IFERROR(IF($L4="",NA(),COUNTIF(F:F,"&lt;"&amp;$L4)-SUM(S$2:S3)),NA())</f>
        <v>38</v>
      </c>
      <c r="T4" s="1">
        <f>IFERROR(IF($L4="",NA(),COUNTIF(H:H,"&lt;"&amp;$L4)-SUM(T$2:T3)),NA())</f>
        <v>0</v>
      </c>
    </row>
    <row r="5" spans="1:20" x14ac:dyDescent="0.35">
      <c r="A5" s="3">
        <v>80</v>
      </c>
      <c r="B5" s="40">
        <v>100</v>
      </c>
      <c r="C5" s="5">
        <v>123</v>
      </c>
      <c r="D5" s="6">
        <v>122</v>
      </c>
      <c r="E5" s="7">
        <v>120</v>
      </c>
      <c r="F5" s="8">
        <v>80</v>
      </c>
      <c r="G5" s="1">
        <v>625</v>
      </c>
      <c r="H5" s="19">
        <v>104.17</v>
      </c>
      <c r="K5">
        <f t="shared" si="1"/>
        <v>30</v>
      </c>
      <c r="L5">
        <f t="shared" si="2"/>
        <v>39</v>
      </c>
      <c r="M5" t="str">
        <f t="shared" si="3"/>
        <v>30-39</v>
      </c>
      <c r="N5" s="3">
        <f>IFERROR(IF($L5="",NA(),COUNTIF(A:A,"&lt;"&amp;$L5)-SUM(N$2:N4)),NA())</f>
        <v>42</v>
      </c>
      <c r="O5" s="40">
        <f>IFERROR(IF($L5="",NA(),COUNTIF(B:B,"&lt;"&amp;$L5)-SUM(O$2:O4)),NA())</f>
        <v>45</v>
      </c>
      <c r="P5" s="5">
        <f>IFERROR(IF($L5="",NA(),COUNTIF(C:C,"&lt;"&amp;$L5)-SUM(P$2:P4)),NA())</f>
        <v>56</v>
      </c>
      <c r="Q5" s="6">
        <f>IFERROR(IF($L5="",NA(),COUNTIF(D:D,"&lt;"&amp;$L5)-SUM(Q$2:Q4)),NA())</f>
        <v>73</v>
      </c>
      <c r="R5" s="7">
        <f>IFERROR(IF($L5="",NA(),COUNTIF(E:E,"&lt;"&amp;$L5)-SUM(R$2:R4)),NA())</f>
        <v>58</v>
      </c>
      <c r="S5" s="8">
        <f>IFERROR(IF($L5="",NA(),COUNTIF(F:F,"&lt;"&amp;$L5)-SUM(S$2:S4)),NA())</f>
        <v>90</v>
      </c>
      <c r="T5" s="1">
        <f>IFERROR(IF($L5="",NA(),COUNTIF(H:H,"&lt;"&amp;$L5)-SUM(T$2:T4)),NA())</f>
        <v>30</v>
      </c>
    </row>
    <row r="6" spans="1:20" x14ac:dyDescent="0.35">
      <c r="A6" s="39">
        <v>39</v>
      </c>
      <c r="B6" s="4">
        <v>52</v>
      </c>
      <c r="C6" s="5">
        <v>43</v>
      </c>
      <c r="D6" s="6">
        <v>60</v>
      </c>
      <c r="E6" s="7">
        <v>50</v>
      </c>
      <c r="F6" s="8">
        <v>65</v>
      </c>
      <c r="G6" s="1">
        <v>309</v>
      </c>
      <c r="H6" s="19">
        <v>51.5</v>
      </c>
      <c r="K6">
        <f t="shared" si="1"/>
        <v>40</v>
      </c>
      <c r="L6">
        <f t="shared" si="2"/>
        <v>49</v>
      </c>
      <c r="M6" t="str">
        <f t="shared" si="3"/>
        <v>40-49</v>
      </c>
      <c r="N6" s="39">
        <f>IFERROR(IF($L6="",NA(),COUNTIF(A:A,"&lt;"&amp;$L6)-SUM(N$2:N5)),NA())</f>
        <v>114</v>
      </c>
      <c r="O6" s="4">
        <f>IFERROR(IF($L6="",NA(),COUNTIF(B:B,"&lt;"&amp;$L6)-SUM(O$2:O5)),NA())</f>
        <v>71</v>
      </c>
      <c r="P6" s="5">
        <f>IFERROR(IF($L6="",NA(),COUNTIF(C:C,"&lt;"&amp;$L6)-SUM(P$2:P5)),NA())</f>
        <v>107</v>
      </c>
      <c r="Q6" s="6">
        <f>IFERROR(IF($L6="",NA(),COUNTIF(D:D,"&lt;"&amp;$L6)-SUM(Q$2:Q5)),NA())</f>
        <v>116</v>
      </c>
      <c r="R6" s="7">
        <f>IFERROR(IF($L6="",NA(),COUNTIF(E:E,"&lt;"&amp;$L6)-SUM(R$2:R5)),NA())</f>
        <v>105</v>
      </c>
      <c r="S6" s="8">
        <f>IFERROR(IF($L6="",NA(),COUNTIF(F:F,"&lt;"&amp;$L6)-SUM(S$2:S5)),NA())</f>
        <v>110</v>
      </c>
      <c r="T6" s="1">
        <f>IFERROR(IF($L6="",NA(),COUNTIF(H:H,"&lt;"&amp;$L6)-SUM(T$2:T5)),NA())</f>
        <v>77</v>
      </c>
    </row>
    <row r="7" spans="1:20" x14ac:dyDescent="0.35">
      <c r="A7" s="3">
        <v>58</v>
      </c>
      <c r="B7" s="4">
        <v>64</v>
      </c>
      <c r="C7" s="5">
        <v>58</v>
      </c>
      <c r="D7" s="6">
        <v>80</v>
      </c>
      <c r="E7" s="7">
        <v>65</v>
      </c>
      <c r="F7" s="8">
        <v>80</v>
      </c>
      <c r="G7" s="1">
        <v>405</v>
      </c>
      <c r="H7" s="19">
        <v>67.5</v>
      </c>
      <c r="K7">
        <f t="shared" si="1"/>
        <v>50</v>
      </c>
      <c r="L7">
        <f t="shared" si="2"/>
        <v>59</v>
      </c>
      <c r="M7" t="str">
        <f t="shared" si="3"/>
        <v>50-59</v>
      </c>
      <c r="N7" s="3">
        <f>IFERROR(IF($L7="",NA(),COUNTIF(A:A,"&lt;"&amp;$L7)-SUM(N$2:N6)),NA())</f>
        <v>131</v>
      </c>
      <c r="O7" s="4">
        <f>IFERROR(IF($L7="",NA(),COUNTIF(B:B,"&lt;"&amp;$L7)-SUM(O$2:O6)),NA())</f>
        <v>105</v>
      </c>
      <c r="P7" s="5">
        <f>IFERROR(IF($L7="",NA(),COUNTIF(C:C,"&lt;"&amp;$L7)-SUM(P$2:P6)),NA())</f>
        <v>116</v>
      </c>
      <c r="Q7" s="6">
        <f>IFERROR(IF($L7="",NA(),COUNTIF(D:D,"&lt;"&amp;$L7)-SUM(Q$2:Q6)),NA())</f>
        <v>116</v>
      </c>
      <c r="R7" s="7">
        <f>IFERROR(IF($L7="",NA(),COUNTIF(E:E,"&lt;"&amp;$L7)-SUM(R$2:R6)),NA())</f>
        <v>130</v>
      </c>
      <c r="S7" s="8">
        <f>IFERROR(IF($L7="",NA(),COUNTIF(F:F,"&lt;"&amp;$L7)-SUM(S$2:S6)),NA())</f>
        <v>106</v>
      </c>
      <c r="T7" s="1">
        <f>IFERROR(IF($L7="",NA(),COUNTIF(H:H,"&lt;"&amp;$L7)-SUM(T$2:T6)),NA())</f>
        <v>170</v>
      </c>
    </row>
    <row r="8" spans="1:20" x14ac:dyDescent="0.35">
      <c r="A8" s="3">
        <v>78</v>
      </c>
      <c r="B8" s="4">
        <v>84</v>
      </c>
      <c r="C8" s="5">
        <v>78</v>
      </c>
      <c r="D8" s="6">
        <v>109</v>
      </c>
      <c r="E8" s="7">
        <v>85</v>
      </c>
      <c r="F8" s="8">
        <v>100</v>
      </c>
      <c r="G8" s="1">
        <v>534</v>
      </c>
      <c r="H8" s="19">
        <v>89</v>
      </c>
      <c r="K8">
        <f>IF(L7&gt;255,NA(),K7+$J$2)</f>
        <v>60</v>
      </c>
      <c r="L8">
        <f>IF(L7&lt;255,L7+$J$2,NA())</f>
        <v>69</v>
      </c>
      <c r="M8" t="str">
        <f>IFERROR(K8&amp;"-"&amp;L8,NA())</f>
        <v>60-69</v>
      </c>
      <c r="N8" s="3">
        <f>IFERROR(IF($L8="",NA(),COUNTIF(A:A,"&lt;"&amp;$L8)-SUM(N$2:N7)),NA())</f>
        <v>171</v>
      </c>
      <c r="O8" s="4">
        <f>IFERROR(IF($L8="",NA(),COUNTIF(B:B,"&lt;"&amp;$L8)-SUM(O$2:O7)),NA())</f>
        <v>114</v>
      </c>
      <c r="P8" s="5">
        <f>IFERROR(IF($L8="",NA(),COUNTIF(C:C,"&lt;"&amp;$L8)-SUM(P$2:P7)),NA())</f>
        <v>125</v>
      </c>
      <c r="Q8" s="6">
        <f>IFERROR(IF($L8="",NA(),COUNTIF(D:D,"&lt;"&amp;$L8)-SUM(Q$2:Q7)),NA())</f>
        <v>128</v>
      </c>
      <c r="R8" s="7">
        <f>IFERROR(IF($L8="",NA(),COUNTIF(E:E,"&lt;"&amp;$L8)-SUM(R$2:R7)),NA())</f>
        <v>120</v>
      </c>
      <c r="S8" s="8">
        <f>IFERROR(IF($L8="",NA(),COUNTIF(F:F,"&lt;"&amp;$L8)-SUM(S$2:S7)),NA())</f>
        <v>122</v>
      </c>
      <c r="T8" s="1">
        <f>IFERROR(IF($L8="",NA(),COUNTIF(H:H,"&lt;"&amp;$L8)-SUM(T$2:T7)),NA())</f>
        <v>105</v>
      </c>
    </row>
    <row r="9" spans="1:20" x14ac:dyDescent="0.35">
      <c r="A9" s="3">
        <v>78</v>
      </c>
      <c r="B9" s="4">
        <v>104</v>
      </c>
      <c r="C9" s="5">
        <v>78</v>
      </c>
      <c r="D9" s="6">
        <v>159</v>
      </c>
      <c r="E9" s="7">
        <v>115</v>
      </c>
      <c r="F9" s="8">
        <v>100</v>
      </c>
      <c r="G9" s="1">
        <v>634</v>
      </c>
      <c r="H9" s="19">
        <v>105.67</v>
      </c>
      <c r="K9">
        <f t="shared" ref="K9:K26" si="4">IF(L8&gt;255,NA(),K8+$J$2)</f>
        <v>70</v>
      </c>
      <c r="L9">
        <f t="shared" ref="L9:L26" si="5">IF(L8&lt;255,L8+$J$2,NA())</f>
        <v>79</v>
      </c>
      <c r="M9" t="str">
        <f t="shared" ref="M9:M26" si="6">IFERROR(K9&amp;"-"&amp;L9,NA())</f>
        <v>70-79</v>
      </c>
      <c r="N9" s="3">
        <f>IFERROR(IF($L9="",NA(),COUNTIF(A:A,"&lt;"&amp;$L9)-SUM(N$2:N8)),NA())</f>
        <v>158</v>
      </c>
      <c r="O9" s="4">
        <f>IFERROR(IF($L9="",NA(),COUNTIF(B:B,"&lt;"&amp;$L9)-SUM(O$2:O8)),NA())</f>
        <v>110</v>
      </c>
      <c r="P9" s="5">
        <f>IFERROR(IF($L9="",NA(),COUNTIF(C:C,"&lt;"&amp;$L9)-SUM(P$2:P8)),NA())</f>
        <v>124</v>
      </c>
      <c r="Q9" s="6">
        <f>IFERROR(IF($L9="",NA(),COUNTIF(D:D,"&lt;"&amp;$L9)-SUM(Q$2:Q8)),NA())</f>
        <v>80</v>
      </c>
      <c r="R9" s="7">
        <f>IFERROR(IF($L9="",NA(),COUNTIF(E:E,"&lt;"&amp;$L9)-SUM(R$2:R8)),NA())</f>
        <v>116</v>
      </c>
      <c r="S9" s="8">
        <f>IFERROR(IF($L9="",NA(),COUNTIF(F:F,"&lt;"&amp;$L9)-SUM(S$2:S8)),NA())</f>
        <v>86</v>
      </c>
      <c r="T9" s="1">
        <f>IFERROR(IF($L9="",NA(),COUNTIF(H:H,"&lt;"&amp;$L9)-SUM(T$2:T8)),NA())</f>
        <v>121</v>
      </c>
    </row>
    <row r="10" spans="1:20" x14ac:dyDescent="0.35">
      <c r="A10" s="3">
        <v>78</v>
      </c>
      <c r="B10" s="4">
        <v>130</v>
      </c>
      <c r="C10" s="5">
        <v>111</v>
      </c>
      <c r="D10" s="6">
        <v>130</v>
      </c>
      <c r="E10" s="7">
        <v>85</v>
      </c>
      <c r="F10" s="8">
        <v>100</v>
      </c>
      <c r="G10" s="1">
        <v>634</v>
      </c>
      <c r="H10" s="19">
        <v>105.67</v>
      </c>
      <c r="K10">
        <f t="shared" si="4"/>
        <v>80</v>
      </c>
      <c r="L10">
        <f t="shared" si="5"/>
        <v>89</v>
      </c>
      <c r="M10" t="str">
        <f t="shared" si="6"/>
        <v>80-89</v>
      </c>
      <c r="N10" s="3">
        <f>IFERROR(IF($L10="",NA(),COUNTIF(A:A,"&lt;"&amp;$L10)-SUM(N$2:N9)),NA())</f>
        <v>92</v>
      </c>
      <c r="O10" s="4">
        <f>IFERROR(IF($L10="",NA(),COUNTIF(B:B,"&lt;"&amp;$L10)-SUM(O$2:O9)),NA())</f>
        <v>101</v>
      </c>
      <c r="P10" s="5">
        <f>IFERROR(IF($L10="",NA(),COUNTIF(C:C,"&lt;"&amp;$L10)-SUM(P$2:P9)),NA())</f>
        <v>97</v>
      </c>
      <c r="Q10" s="6">
        <f>IFERROR(IF($L10="",NA(),COUNTIF(D:D,"&lt;"&amp;$L10)-SUM(Q$2:Q9)),NA())</f>
        <v>79</v>
      </c>
      <c r="R10" s="7">
        <f>IFERROR(IF($L10="",NA(),COUNTIF(E:E,"&lt;"&amp;$L10)-SUM(R$2:R9)),NA())</f>
        <v>110</v>
      </c>
      <c r="S10" s="8">
        <f>IFERROR(IF($L10="",NA(),COUNTIF(F:F,"&lt;"&amp;$L10)-SUM(S$2:S9)),NA())</f>
        <v>88</v>
      </c>
      <c r="T10" s="1">
        <f>IFERROR(IF($L10="",NA(),COUNTIF(H:H,"&lt;"&amp;$L10)-SUM(T$2:T9)),NA())</f>
        <v>232</v>
      </c>
    </row>
    <row r="11" spans="1:20" x14ac:dyDescent="0.35">
      <c r="A11" s="3">
        <v>44</v>
      </c>
      <c r="B11" s="4">
        <v>48</v>
      </c>
      <c r="C11" s="5">
        <v>65</v>
      </c>
      <c r="D11" s="6">
        <v>50</v>
      </c>
      <c r="E11" s="7">
        <v>64</v>
      </c>
      <c r="F11" s="8">
        <v>43</v>
      </c>
      <c r="G11" s="1">
        <v>314</v>
      </c>
      <c r="H11" s="19">
        <v>52.33</v>
      </c>
      <c r="K11">
        <f t="shared" si="4"/>
        <v>90</v>
      </c>
      <c r="L11">
        <f t="shared" si="5"/>
        <v>99</v>
      </c>
      <c r="M11" t="str">
        <f t="shared" si="6"/>
        <v>90-99</v>
      </c>
      <c r="N11" s="3">
        <f>IFERROR(IF($L11="",NA(),COUNTIF(A:A,"&lt;"&amp;$L11)-SUM(N$2:N10)),NA())</f>
        <v>71</v>
      </c>
      <c r="O11" s="4">
        <f>IFERROR(IF($L11="",NA(),COUNTIF(B:B,"&lt;"&amp;$L11)-SUM(O$2:O10)),NA())</f>
        <v>83</v>
      </c>
      <c r="P11" s="5">
        <f>IFERROR(IF($L11="",NA(),COUNTIF(C:C,"&lt;"&amp;$L11)-SUM(P$2:P10)),NA())</f>
        <v>79</v>
      </c>
      <c r="Q11" s="6">
        <f>IFERROR(IF($L11="",NA(),COUNTIF(D:D,"&lt;"&amp;$L11)-SUM(Q$2:Q10)),NA())</f>
        <v>81</v>
      </c>
      <c r="R11" s="7">
        <f>IFERROR(IF($L11="",NA(),COUNTIF(E:E,"&lt;"&amp;$L11)-SUM(R$2:R10)),NA())</f>
        <v>88</v>
      </c>
      <c r="S11" s="8">
        <f>IFERROR(IF($L11="",NA(),COUNTIF(F:F,"&lt;"&amp;$L11)-SUM(S$2:S10)),NA())</f>
        <v>92</v>
      </c>
      <c r="T11" s="1">
        <f>IFERROR(IF($L11="",NA(),COUNTIF(H:H,"&lt;"&amp;$L11)-SUM(T$2:T10)),NA())</f>
        <v>72</v>
      </c>
    </row>
    <row r="12" spans="1:20" x14ac:dyDescent="0.35">
      <c r="A12" s="3">
        <v>59</v>
      </c>
      <c r="B12" s="4">
        <v>63</v>
      </c>
      <c r="C12" s="5">
        <v>80</v>
      </c>
      <c r="D12" s="6">
        <v>65</v>
      </c>
      <c r="E12" s="7">
        <v>80</v>
      </c>
      <c r="F12" s="8">
        <v>58</v>
      </c>
      <c r="G12" s="1">
        <v>405</v>
      </c>
      <c r="H12" s="19">
        <v>67.5</v>
      </c>
      <c r="K12">
        <f t="shared" si="4"/>
        <v>100</v>
      </c>
      <c r="L12">
        <f t="shared" si="5"/>
        <v>109</v>
      </c>
      <c r="M12" t="str">
        <f t="shared" si="6"/>
        <v>100-109</v>
      </c>
      <c r="N12" s="3">
        <f>IFERROR(IF($L12="",NA(),COUNTIF(A:A,"&lt;"&amp;$L12)-SUM(N$2:N11)),NA())</f>
        <v>61</v>
      </c>
      <c r="O12" s="4">
        <f>IFERROR(IF($L12="",NA(),COUNTIF(B:B,"&lt;"&amp;$L12)-SUM(O$2:O11)),NA())</f>
        <v>80</v>
      </c>
      <c r="P12" s="5">
        <f>IFERROR(IF($L12="",NA(),COUNTIF(C:C,"&lt;"&amp;$L12)-SUM(P$2:P11)),NA())</f>
        <v>65</v>
      </c>
      <c r="Q12" s="6">
        <f>IFERROR(IF($L12="",NA(),COUNTIF(D:D,"&lt;"&amp;$L12)-SUM(Q$2:Q11)),NA())</f>
        <v>60</v>
      </c>
      <c r="R12" s="7">
        <f>IFERROR(IF($L12="",NA(),COUNTIF(E:E,"&lt;"&amp;$L12)-SUM(R$2:R11)),NA())</f>
        <v>66</v>
      </c>
      <c r="S12" s="8">
        <f>IFERROR(IF($L12="",NA(),COUNTIF(F:F,"&lt;"&amp;$L12)-SUM(S$2:S11)),NA())</f>
        <v>68</v>
      </c>
      <c r="T12" s="1">
        <f>IFERROR(IF($L12="",NA(),COUNTIF(H:H,"&lt;"&amp;$L12)-SUM(T$2:T11)),NA())</f>
        <v>59</v>
      </c>
    </row>
    <row r="13" spans="1:20" x14ac:dyDescent="0.35">
      <c r="A13" s="3">
        <v>79</v>
      </c>
      <c r="B13" s="4">
        <v>83</v>
      </c>
      <c r="C13" s="5">
        <v>100</v>
      </c>
      <c r="D13" s="6">
        <v>85</v>
      </c>
      <c r="E13" s="7">
        <v>105</v>
      </c>
      <c r="F13" s="8">
        <v>78</v>
      </c>
      <c r="G13" s="1">
        <v>530</v>
      </c>
      <c r="H13" s="19">
        <v>88.33</v>
      </c>
      <c r="K13">
        <f t="shared" si="4"/>
        <v>110</v>
      </c>
      <c r="L13">
        <f t="shared" si="5"/>
        <v>119</v>
      </c>
      <c r="M13" t="str">
        <f t="shared" si="6"/>
        <v>110-119</v>
      </c>
      <c r="N13" s="3">
        <f>IFERROR(IF($L13="",NA(),COUNTIF(A:A,"&lt;"&amp;$L13)-SUM(N$2:N12)),NA())</f>
        <v>17</v>
      </c>
      <c r="O13" s="4">
        <f>IFERROR(IF($L13="",NA(),COUNTIF(B:B,"&lt;"&amp;$L13)-SUM(O$2:O12)),NA())</f>
        <v>40</v>
      </c>
      <c r="P13" s="5">
        <f>IFERROR(IF($L13="",NA(),COUNTIF(C:C,"&lt;"&amp;$L13)-SUM(P$2:P12)),NA())</f>
        <v>34</v>
      </c>
      <c r="Q13" s="6">
        <f>IFERROR(IF($L13="",NA(),COUNTIF(D:D,"&lt;"&amp;$L13)-SUM(Q$2:Q12)),NA())</f>
        <v>37</v>
      </c>
      <c r="R13" s="7">
        <f>IFERROR(IF($L13="",NA(),COUNTIF(E:E,"&lt;"&amp;$L13)-SUM(R$2:R12)),NA())</f>
        <v>33</v>
      </c>
      <c r="S13" s="8">
        <f>IFERROR(IF($L13="",NA(),COUNTIF(F:F,"&lt;"&amp;$L13)-SUM(S$2:S12)),NA())</f>
        <v>46</v>
      </c>
      <c r="T13" s="1">
        <f>IFERROR(IF($L13="",NA(),COUNTIF(H:H,"&lt;"&amp;$L13)-SUM(T$2:T12)),NA())</f>
        <v>29</v>
      </c>
    </row>
    <row r="14" spans="1:20" x14ac:dyDescent="0.35">
      <c r="A14" s="3">
        <v>79</v>
      </c>
      <c r="B14" s="4">
        <v>103</v>
      </c>
      <c r="C14" s="5">
        <v>120</v>
      </c>
      <c r="D14" s="6">
        <v>135</v>
      </c>
      <c r="E14" s="7">
        <v>115</v>
      </c>
      <c r="F14" s="8">
        <v>78</v>
      </c>
      <c r="G14" s="1">
        <v>630</v>
      </c>
      <c r="H14" s="19">
        <v>105</v>
      </c>
      <c r="K14">
        <f t="shared" si="4"/>
        <v>120</v>
      </c>
      <c r="L14">
        <f t="shared" si="5"/>
        <v>129</v>
      </c>
      <c r="M14" t="str">
        <f t="shared" si="6"/>
        <v>120-129</v>
      </c>
      <c r="N14" s="3">
        <f>IFERROR(IF($L14="",NA(),COUNTIF(A:A,"&lt;"&amp;$L14)-SUM(N$2:N13)),NA())</f>
        <v>12</v>
      </c>
      <c r="O14" s="4">
        <f>IFERROR(IF($L14="",NA(),COUNTIF(B:B,"&lt;"&amp;$L14)-SUM(O$2:O13)),NA())</f>
        <v>50</v>
      </c>
      <c r="P14" s="5">
        <f>IFERROR(IF($L14="",NA(),COUNTIF(C:C,"&lt;"&amp;$L14)-SUM(P$2:P13)),NA())</f>
        <v>30</v>
      </c>
      <c r="Q14" s="6">
        <f>IFERROR(IF($L14="",NA(),COUNTIF(D:D,"&lt;"&amp;$L14)-SUM(Q$2:Q13)),NA())</f>
        <v>33</v>
      </c>
      <c r="R14" s="7">
        <f>IFERROR(IF($L14="",NA(),COUNTIF(E:E,"&lt;"&amp;$L14)-SUM(R$2:R13)),NA())</f>
        <v>18</v>
      </c>
      <c r="S14" s="8">
        <f>IFERROR(IF($L14="",NA(),COUNTIF(F:F,"&lt;"&amp;$L14)-SUM(S$2:S13)),NA())</f>
        <v>17</v>
      </c>
      <c r="T14" s="1">
        <f>IFERROR(IF($L14="",NA(),COUNTIF(H:H,"&lt;"&amp;$L14)-SUM(T$2:T13)),NA())</f>
        <v>3</v>
      </c>
    </row>
    <row r="15" spans="1:20" x14ac:dyDescent="0.35">
      <c r="A15" s="3">
        <v>45</v>
      </c>
      <c r="B15" s="4">
        <v>30</v>
      </c>
      <c r="C15" s="5">
        <v>35</v>
      </c>
      <c r="D15" s="6">
        <v>20</v>
      </c>
      <c r="E15" s="7">
        <v>20</v>
      </c>
      <c r="F15" s="8">
        <v>45</v>
      </c>
      <c r="G15" s="1">
        <v>195</v>
      </c>
      <c r="H15" s="19">
        <v>32.5</v>
      </c>
      <c r="K15">
        <f t="shared" si="4"/>
        <v>130</v>
      </c>
      <c r="L15">
        <f t="shared" si="5"/>
        <v>139</v>
      </c>
      <c r="M15" t="str">
        <f t="shared" si="6"/>
        <v>130-139</v>
      </c>
      <c r="N15" s="3">
        <f>IFERROR(IF($L15="",NA(),COUNTIF(A:A,"&lt;"&amp;$L15)-SUM(N$2:N14)),NA())</f>
        <v>6</v>
      </c>
      <c r="O15" s="4">
        <f>IFERROR(IF($L15="",NA(),COUNTIF(B:B,"&lt;"&amp;$L15)-SUM(O$2:O14)),NA())</f>
        <v>33</v>
      </c>
      <c r="P15" s="5">
        <f>IFERROR(IF($L15="",NA(),COUNTIF(C:C,"&lt;"&amp;$L15)-SUM(P$2:P14)),NA())</f>
        <v>21</v>
      </c>
      <c r="Q15" s="6">
        <f>IFERROR(IF($L15="",NA(),COUNTIF(D:D,"&lt;"&amp;$L15)-SUM(Q$2:Q14)),NA())</f>
        <v>27</v>
      </c>
      <c r="R15" s="7">
        <f>IFERROR(IF($L15="",NA(),COUNTIF(E:E,"&lt;"&amp;$L15)-SUM(R$2:R14)),NA())</f>
        <v>21</v>
      </c>
      <c r="S15" s="8">
        <f>IFERROR(IF($L15="",NA(),COUNTIF(F:F,"&lt;"&amp;$L15)-SUM(S$2:S14)),NA())</f>
        <v>9</v>
      </c>
      <c r="T15" s="1">
        <f>IFERROR(IF($L15="",NA(),COUNTIF(H:H,"&lt;"&amp;$L15)-SUM(T$2:T14)),NA())</f>
        <v>3</v>
      </c>
    </row>
    <row r="16" spans="1:20" x14ac:dyDescent="0.35">
      <c r="A16" s="3">
        <v>50</v>
      </c>
      <c r="B16" s="4">
        <v>20</v>
      </c>
      <c r="C16" s="5">
        <v>55</v>
      </c>
      <c r="D16" s="6">
        <v>25</v>
      </c>
      <c r="E16" s="7">
        <v>25</v>
      </c>
      <c r="F16" s="8">
        <v>30</v>
      </c>
      <c r="G16" s="1">
        <v>205</v>
      </c>
      <c r="H16" s="19">
        <v>34.17</v>
      </c>
      <c r="K16">
        <f t="shared" si="4"/>
        <v>140</v>
      </c>
      <c r="L16">
        <f t="shared" si="5"/>
        <v>149</v>
      </c>
      <c r="M16" t="str">
        <f t="shared" si="6"/>
        <v>140-149</v>
      </c>
      <c r="N16" s="3">
        <f>IFERROR(IF($L16="",NA(),COUNTIF(A:A,"&lt;"&amp;$L16)-SUM(N$2:N15)),NA())</f>
        <v>2</v>
      </c>
      <c r="O16" s="4">
        <f>IFERROR(IF($L16="",NA(),COUNTIF(B:B,"&lt;"&amp;$L16)-SUM(O$2:O15)),NA())</f>
        <v>13</v>
      </c>
      <c r="P16" s="5">
        <f>IFERROR(IF($L16="",NA(),COUNTIF(C:C,"&lt;"&amp;$L16)-SUM(P$2:P15)),NA())</f>
        <v>10</v>
      </c>
      <c r="Q16" s="6">
        <f>IFERROR(IF($L16="",NA(),COUNTIF(D:D,"&lt;"&amp;$L16)-SUM(Q$2:Q15)),NA())</f>
        <v>10</v>
      </c>
      <c r="R16" s="7">
        <f>IFERROR(IF($L16="",NA(),COUNTIF(E:E,"&lt;"&amp;$L16)-SUM(R$2:R15)),NA())</f>
        <v>3</v>
      </c>
      <c r="S16" s="8">
        <f>IFERROR(IF($L16="",NA(),COUNTIF(F:F,"&lt;"&amp;$L16)-SUM(S$2:S15)),NA())</f>
        <v>4</v>
      </c>
      <c r="T16" s="1">
        <f>IFERROR(IF($L16="",NA(),COUNTIF(H:H,"&lt;"&amp;$L16)-SUM(T$2:T15)),NA())</f>
        <v>0</v>
      </c>
    </row>
    <row r="17" spans="1:20" x14ac:dyDescent="0.35">
      <c r="A17" s="3">
        <v>60</v>
      </c>
      <c r="B17" s="4">
        <v>45</v>
      </c>
      <c r="C17" s="5">
        <v>50</v>
      </c>
      <c r="D17" s="6">
        <v>90</v>
      </c>
      <c r="E17" s="7">
        <v>80</v>
      </c>
      <c r="F17" s="8">
        <v>70</v>
      </c>
      <c r="G17" s="1">
        <v>395</v>
      </c>
      <c r="H17" s="19">
        <v>65.83</v>
      </c>
      <c r="K17">
        <f t="shared" si="4"/>
        <v>150</v>
      </c>
      <c r="L17">
        <f t="shared" si="5"/>
        <v>159</v>
      </c>
      <c r="M17" t="str">
        <f t="shared" si="6"/>
        <v>150-159</v>
      </c>
      <c r="N17" s="3">
        <f>IFERROR(IF($L17="",NA(),COUNTIF(A:A,"&lt;"&amp;$L17)-SUM(N$2:N16)),NA())</f>
        <v>4</v>
      </c>
      <c r="O17" s="4">
        <f>IFERROR(IF($L17="",NA(),COUNTIF(B:B,"&lt;"&amp;$L17)-SUM(O$2:O16)),NA())</f>
        <v>13</v>
      </c>
      <c r="P17" s="5">
        <f>IFERROR(IF($L17="",NA(),COUNTIF(C:C,"&lt;"&amp;$L17)-SUM(P$2:P16)),NA())</f>
        <v>8</v>
      </c>
      <c r="Q17" s="6">
        <f>IFERROR(IF($L17="",NA(),COUNTIF(D:D,"&lt;"&amp;$L17)-SUM(Q$2:Q16)),NA())</f>
        <v>11</v>
      </c>
      <c r="R17" s="7">
        <f>IFERROR(IF($L17="",NA(),COUNTIF(E:E,"&lt;"&amp;$L17)-SUM(R$2:R16)),NA())</f>
        <v>10</v>
      </c>
      <c r="S17" s="8">
        <f>IFERROR(IF($L17="",NA(),COUNTIF(F:F,"&lt;"&amp;$L17)-SUM(S$2:S16)),NA())</f>
        <v>6</v>
      </c>
      <c r="T17" s="1">
        <f>IFERROR(IF($L17="",NA(),COUNTIF(H:H,"&lt;"&amp;$L17)-SUM(T$2:T16)),NA())</f>
        <v>0</v>
      </c>
    </row>
    <row r="18" spans="1:20" x14ac:dyDescent="0.35">
      <c r="A18" s="3">
        <v>40</v>
      </c>
      <c r="B18" s="4">
        <v>35</v>
      </c>
      <c r="C18" s="5">
        <v>30</v>
      </c>
      <c r="D18" s="6">
        <v>20</v>
      </c>
      <c r="E18" s="7">
        <v>20</v>
      </c>
      <c r="F18" s="8">
        <v>50</v>
      </c>
      <c r="G18" s="1">
        <v>195</v>
      </c>
      <c r="H18" s="19">
        <v>32.5</v>
      </c>
      <c r="K18">
        <f t="shared" si="4"/>
        <v>160</v>
      </c>
      <c r="L18">
        <f t="shared" si="5"/>
        <v>169</v>
      </c>
      <c r="M18" t="str">
        <f t="shared" si="6"/>
        <v>160-169</v>
      </c>
      <c r="N18" s="3">
        <f>IFERROR(IF($L18="",NA(),COUNTIF(A:A,"&lt;"&amp;$L18)-SUM(N$2:N17)),NA())</f>
        <v>2</v>
      </c>
      <c r="O18" s="4">
        <f>IFERROR(IF($L18="",NA(),COUNTIF(B:B,"&lt;"&amp;$L18)-SUM(O$2:O17)),NA())</f>
        <v>9</v>
      </c>
      <c r="P18" s="5">
        <f>IFERROR(IF($L18="",NA(),COUNTIF(C:C,"&lt;"&amp;$L18)-SUM(P$2:P17)),NA())</f>
        <v>4</v>
      </c>
      <c r="Q18" s="6">
        <f>IFERROR(IF($L18="",NA(),COUNTIF(D:D,"&lt;"&amp;$L18)-SUM(Q$2:Q17)),NA())</f>
        <v>5</v>
      </c>
      <c r="R18" s="7">
        <f>IFERROR(IF($L18="",NA(),COUNTIF(E:E,"&lt;"&amp;$L18)-SUM(R$2:R17)),NA())</f>
        <v>2</v>
      </c>
      <c r="S18" s="8">
        <f>IFERROR(IF($L18="",NA(),COUNTIF(F:F,"&lt;"&amp;$L18)-SUM(S$2:S17)),NA())</f>
        <v>1</v>
      </c>
      <c r="T18" s="1">
        <f>IFERROR(IF($L18="",NA(),COUNTIF(H:H,"&lt;"&amp;$L18)-SUM(T$2:T17)),NA())</f>
        <v>0</v>
      </c>
    </row>
    <row r="19" spans="1:20" x14ac:dyDescent="0.35">
      <c r="A19" s="3">
        <v>45</v>
      </c>
      <c r="B19" s="4">
        <v>25</v>
      </c>
      <c r="C19" s="5">
        <v>50</v>
      </c>
      <c r="D19" s="6">
        <v>25</v>
      </c>
      <c r="E19" s="7">
        <v>25</v>
      </c>
      <c r="F19" s="8">
        <v>35</v>
      </c>
      <c r="G19" s="1">
        <v>205</v>
      </c>
      <c r="H19" s="19">
        <v>34.17</v>
      </c>
      <c r="K19">
        <f t="shared" si="4"/>
        <v>170</v>
      </c>
      <c r="L19">
        <f t="shared" si="5"/>
        <v>179</v>
      </c>
      <c r="M19" t="str">
        <f t="shared" si="6"/>
        <v>170-179</v>
      </c>
      <c r="N19" s="3">
        <f>IFERROR(IF($L19="",NA(),COUNTIF(A:A,"&lt;"&amp;$L19)-SUM(N$2:N18)),NA())</f>
        <v>1</v>
      </c>
      <c r="O19" s="4">
        <f>IFERROR(IF($L19="",NA(),COUNTIF(B:B,"&lt;"&amp;$L19)-SUM(O$2:O18)),NA())</f>
        <v>2</v>
      </c>
      <c r="P19" s="5">
        <f>IFERROR(IF($L19="",NA(),COUNTIF(C:C,"&lt;"&amp;$L19)-SUM(P$2:P18)),NA())</f>
        <v>0</v>
      </c>
      <c r="Q19" s="6">
        <f>IFERROR(IF($L19="",NA(),COUNTIF(D:D,"&lt;"&amp;$L19)-SUM(Q$2:Q18)),NA())</f>
        <v>5</v>
      </c>
      <c r="R19" s="7">
        <f>IFERROR(IF($L19="",NA(),COUNTIF(E:E,"&lt;"&amp;$L19)-SUM(R$2:R18)),NA())</f>
        <v>0</v>
      </c>
      <c r="S19" s="8">
        <f>IFERROR(IF($L19="",NA(),COUNTIF(F:F,"&lt;"&amp;$L19)-SUM(S$2:S18)),NA())</f>
        <v>0</v>
      </c>
      <c r="T19" s="1">
        <f>IFERROR(IF($L19="",NA(),COUNTIF(H:H,"&lt;"&amp;$L19)-SUM(T$2:T18)),NA())</f>
        <v>0</v>
      </c>
    </row>
    <row r="20" spans="1:20" x14ac:dyDescent="0.35">
      <c r="A20" s="3">
        <v>65</v>
      </c>
      <c r="B20" s="4">
        <v>90</v>
      </c>
      <c r="C20" s="5">
        <v>40</v>
      </c>
      <c r="D20" s="6">
        <v>45</v>
      </c>
      <c r="E20" s="7">
        <v>80</v>
      </c>
      <c r="F20" s="8">
        <v>75</v>
      </c>
      <c r="G20" s="1">
        <v>395</v>
      </c>
      <c r="H20" s="19">
        <v>65.83</v>
      </c>
      <c r="K20">
        <f t="shared" si="4"/>
        <v>180</v>
      </c>
      <c r="L20">
        <f t="shared" si="5"/>
        <v>189</v>
      </c>
      <c r="M20" t="str">
        <f t="shared" si="6"/>
        <v>180-189</v>
      </c>
      <c r="N20" s="3">
        <f>IFERROR(IF($L20="",NA(),COUNTIF(A:A,"&lt;"&amp;$L20)-SUM(N$2:N19)),NA())</f>
        <v>0</v>
      </c>
      <c r="O20" s="4">
        <f>IFERROR(IF($L20="",NA(),COUNTIF(B:B,"&lt;"&amp;$L20)-SUM(O$2:O19)),NA())</f>
        <v>5</v>
      </c>
      <c r="P20" s="5">
        <f>IFERROR(IF($L20="",NA(),COUNTIF(C:C,"&lt;"&amp;$L20)-SUM(P$2:P19)),NA())</f>
        <v>4</v>
      </c>
      <c r="Q20" s="6">
        <f>IFERROR(IF($L20="",NA(),COUNTIF(D:D,"&lt;"&amp;$L20)-SUM(Q$2:Q19)),NA())</f>
        <v>3</v>
      </c>
      <c r="R20" s="7">
        <f>IFERROR(IF($L20="",NA(),COUNTIF(E:E,"&lt;"&amp;$L20)-SUM(R$2:R19)),NA())</f>
        <v>0</v>
      </c>
      <c r="S20" s="8">
        <f>IFERROR(IF($L20="",NA(),COUNTIF(F:F,"&lt;"&amp;$L20)-SUM(S$2:S19)),NA())</f>
        <v>1</v>
      </c>
      <c r="T20" s="1">
        <f>IFERROR(IF($L20="",NA(),COUNTIF(H:H,"&lt;"&amp;$L20)-SUM(T$2:T19)),NA())</f>
        <v>0</v>
      </c>
    </row>
    <row r="21" spans="1:20" x14ac:dyDescent="0.35">
      <c r="A21" s="3">
        <v>65</v>
      </c>
      <c r="B21" s="4">
        <v>150</v>
      </c>
      <c r="C21" s="5">
        <v>40</v>
      </c>
      <c r="D21" s="6">
        <v>15</v>
      </c>
      <c r="E21" s="7">
        <v>80</v>
      </c>
      <c r="F21" s="8">
        <v>145</v>
      </c>
      <c r="G21" s="1">
        <v>495</v>
      </c>
      <c r="H21" s="19">
        <v>82.5</v>
      </c>
      <c r="K21">
        <f t="shared" si="4"/>
        <v>190</v>
      </c>
      <c r="L21">
        <f t="shared" si="5"/>
        <v>199</v>
      </c>
      <c r="M21" t="str">
        <f t="shared" si="6"/>
        <v>190-199</v>
      </c>
      <c r="N21" s="3">
        <f>IFERROR(IF($L21="",NA(),COUNTIF(A:A,"&lt;"&amp;$L21)-SUM(N$2:N20)),NA())</f>
        <v>1</v>
      </c>
      <c r="O21" s="4">
        <f>IFERROR(IF($L21="",NA(),COUNTIF(B:B,"&lt;"&amp;$L21)-SUM(O$2:O20)),NA())</f>
        <v>1</v>
      </c>
      <c r="P21" s="5">
        <f>IFERROR(IF($L21="",NA(),COUNTIF(C:C,"&lt;"&amp;$L21)-SUM(P$2:P20)),NA())</f>
        <v>0</v>
      </c>
      <c r="Q21" s="6">
        <f>IFERROR(IF($L21="",NA(),COUNTIF(D:D,"&lt;"&amp;$L21)-SUM(Q$2:Q20)),NA())</f>
        <v>1</v>
      </c>
      <c r="R21" s="7">
        <f>IFERROR(IF($L21="",NA(),COUNTIF(E:E,"&lt;"&amp;$L21)-SUM(R$2:R20)),NA())</f>
        <v>0</v>
      </c>
      <c r="S21" s="8">
        <f>IFERROR(IF($L21="",NA(),COUNTIF(F:F,"&lt;"&amp;$L21)-SUM(S$2:S20)),NA())</f>
        <v>0</v>
      </c>
      <c r="T21" s="1">
        <f>IFERROR(IF($L21="",NA(),COUNTIF(H:H,"&lt;"&amp;$L21)-SUM(T$2:T20)),NA())</f>
        <v>0</v>
      </c>
    </row>
    <row r="22" spans="1:20" x14ac:dyDescent="0.35">
      <c r="A22" s="3">
        <v>40</v>
      </c>
      <c r="B22" s="4">
        <v>45</v>
      </c>
      <c r="C22" s="5">
        <v>40</v>
      </c>
      <c r="D22" s="6">
        <v>35</v>
      </c>
      <c r="E22" s="7">
        <v>35</v>
      </c>
      <c r="F22" s="8">
        <v>56</v>
      </c>
      <c r="G22" s="1">
        <v>251</v>
      </c>
      <c r="H22" s="19">
        <v>41.83</v>
      </c>
      <c r="K22">
        <f t="shared" si="4"/>
        <v>200</v>
      </c>
      <c r="L22">
        <f t="shared" si="5"/>
        <v>209</v>
      </c>
      <c r="M22" t="str">
        <f t="shared" si="6"/>
        <v>200-209</v>
      </c>
      <c r="N22" s="3">
        <f>IFERROR(IF($L22="",NA(),COUNTIF(A:A,"&lt;"&amp;$L22)-SUM(N$2:N21)),NA())</f>
        <v>0</v>
      </c>
      <c r="O22" s="4">
        <f>IFERROR(IF($L22="",NA(),COUNTIF(B:B,"&lt;"&amp;$L22)-SUM(O$2:O21)),NA())</f>
        <v>0</v>
      </c>
      <c r="P22" s="5">
        <f>IFERROR(IF($L22="",NA(),COUNTIF(C:C,"&lt;"&amp;$L22)-SUM(P$2:P21)),NA())</f>
        <v>2</v>
      </c>
      <c r="Q22" s="6">
        <f>IFERROR(IF($L22="",NA(),COUNTIF(D:D,"&lt;"&amp;$L22)-SUM(Q$2:Q21)),NA())</f>
        <v>0</v>
      </c>
      <c r="R22" s="7">
        <f>IFERROR(IF($L22="",NA(),COUNTIF(E:E,"&lt;"&amp;$L22)-SUM(R$2:R21)),NA())</f>
        <v>1</v>
      </c>
      <c r="S22" s="8">
        <f>IFERROR(IF($L22="",NA(),COUNTIF(F:F,"&lt;"&amp;$L22)-SUM(S$2:S21)),NA())</f>
        <v>0</v>
      </c>
      <c r="T22" s="1">
        <f>IFERROR(IF($L22="",NA(),COUNTIF(H:H,"&lt;"&amp;$L22)-SUM(T$2:T21)),NA())</f>
        <v>0</v>
      </c>
    </row>
    <row r="23" spans="1:20" x14ac:dyDescent="0.35">
      <c r="A23" s="3">
        <v>63</v>
      </c>
      <c r="B23" s="4">
        <v>60</v>
      </c>
      <c r="C23" s="5">
        <v>55</v>
      </c>
      <c r="D23" s="6">
        <v>50</v>
      </c>
      <c r="E23" s="7">
        <v>50</v>
      </c>
      <c r="F23" s="8">
        <v>71</v>
      </c>
      <c r="G23" s="1">
        <v>349</v>
      </c>
      <c r="H23" s="19">
        <v>58.17</v>
      </c>
      <c r="K23">
        <f t="shared" si="4"/>
        <v>210</v>
      </c>
      <c r="L23">
        <f t="shared" si="5"/>
        <v>219</v>
      </c>
      <c r="M23" t="str">
        <f t="shared" si="6"/>
        <v>210-219</v>
      </c>
      <c r="N23" s="3">
        <f>IFERROR(IF($L23="",NA(),COUNTIF(A:A,"&lt;"&amp;$L23)-SUM(N$2:N22)),NA())</f>
        <v>0</v>
      </c>
      <c r="O23" s="4">
        <f>IFERROR(IF($L23="",NA(),COUNTIF(B:B,"&lt;"&amp;$L23)-SUM(O$2:O22)),NA())</f>
        <v>0</v>
      </c>
      <c r="P23" s="5">
        <f>IFERROR(IF($L23="",NA(),COUNTIF(C:C,"&lt;"&amp;$L23)-SUM(P$2:P22)),NA())</f>
        <v>0</v>
      </c>
      <c r="Q23" s="6">
        <f>IFERROR(IF($L23="",NA(),COUNTIF(D:D,"&lt;"&amp;$L23)-SUM(Q$2:Q22)),NA())</f>
        <v>0</v>
      </c>
      <c r="R23" s="7">
        <f>IFERROR(IF($L23="",NA(),COUNTIF(E:E,"&lt;"&amp;$L23)-SUM(R$2:R22)),NA())</f>
        <v>0</v>
      </c>
      <c r="S23" s="8">
        <f>IFERROR(IF($L23="",NA(),COUNTIF(F:F,"&lt;"&amp;$L23)-SUM(S$2:S22)),NA())</f>
        <v>0</v>
      </c>
      <c r="T23" s="1">
        <f>IFERROR(IF($L23="",NA(),COUNTIF(H:H,"&lt;"&amp;$L23)-SUM(T$2:T22)),NA())</f>
        <v>0</v>
      </c>
    </row>
    <row r="24" spans="1:20" x14ac:dyDescent="0.35">
      <c r="A24" s="3">
        <v>83</v>
      </c>
      <c r="B24" s="4">
        <v>80</v>
      </c>
      <c r="C24" s="5">
        <v>75</v>
      </c>
      <c r="D24" s="6">
        <v>70</v>
      </c>
      <c r="E24" s="7">
        <v>70</v>
      </c>
      <c r="F24" s="8">
        <v>101</v>
      </c>
      <c r="G24" s="1">
        <v>479</v>
      </c>
      <c r="H24" s="19">
        <v>79.83</v>
      </c>
      <c r="K24">
        <f t="shared" si="4"/>
        <v>220</v>
      </c>
      <c r="L24">
        <f t="shared" si="5"/>
        <v>229</v>
      </c>
      <c r="M24" t="str">
        <f t="shared" si="6"/>
        <v>220-229</v>
      </c>
      <c r="N24" s="3">
        <f>IFERROR(IF($L24="",NA(),COUNTIF(A:A,"&lt;"&amp;$L24)-SUM(N$2:N23)),NA())</f>
        <v>1</v>
      </c>
      <c r="O24" s="4">
        <f>IFERROR(IF($L24="",NA(),COUNTIF(B:B,"&lt;"&amp;$L24)-SUM(O$2:O23)),NA())</f>
        <v>0</v>
      </c>
      <c r="P24" s="5">
        <f>IFERROR(IF($L24="",NA(),COUNTIF(C:C,"&lt;"&amp;$L24)-SUM(P$2:P23)),NA())</f>
        <v>0</v>
      </c>
      <c r="Q24" s="6">
        <f>IFERROR(IF($L24="",NA(),COUNTIF(D:D,"&lt;"&amp;$L24)-SUM(Q$2:Q23)),NA())</f>
        <v>0</v>
      </c>
      <c r="R24" s="7">
        <f>IFERROR(IF($L24="",NA(),COUNTIF(E:E,"&lt;"&amp;$L24)-SUM(R$2:R23)),NA())</f>
        <v>0</v>
      </c>
      <c r="S24" s="8">
        <f>IFERROR(IF($L24="",NA(),COUNTIF(F:F,"&lt;"&amp;$L24)-SUM(S$2:S23)),NA())</f>
        <v>0</v>
      </c>
      <c r="T24" s="1">
        <f>IFERROR(IF($L24="",NA(),COUNTIF(H:H,"&lt;"&amp;$L24)-SUM(T$2:T23)),NA())</f>
        <v>0</v>
      </c>
    </row>
    <row r="25" spans="1:20" x14ac:dyDescent="0.35">
      <c r="A25" s="3">
        <v>83</v>
      </c>
      <c r="B25" s="4">
        <v>80</v>
      </c>
      <c r="C25" s="5">
        <v>80</v>
      </c>
      <c r="D25" s="6">
        <v>135</v>
      </c>
      <c r="E25" s="7">
        <v>80</v>
      </c>
      <c r="F25" s="8">
        <v>121</v>
      </c>
      <c r="G25" s="1">
        <v>579</v>
      </c>
      <c r="H25" s="19">
        <v>96.5</v>
      </c>
      <c r="K25">
        <f t="shared" si="4"/>
        <v>230</v>
      </c>
      <c r="L25">
        <f t="shared" si="5"/>
        <v>239</v>
      </c>
      <c r="M25" t="str">
        <f t="shared" si="6"/>
        <v>230-239</v>
      </c>
      <c r="N25" s="3">
        <f>IFERROR(IF($L25="",NA(),COUNTIF(A:A,"&lt;"&amp;$L25)-SUM(N$2:N24)),NA())</f>
        <v>0</v>
      </c>
      <c r="O25" s="4">
        <f>IFERROR(IF($L25="",NA(),COUNTIF(B:B,"&lt;"&amp;$L25)-SUM(O$2:O24)),NA())</f>
        <v>0</v>
      </c>
      <c r="P25" s="5">
        <f>IFERROR(IF($L25="",NA(),COUNTIF(C:C,"&lt;"&amp;$L25)-SUM(P$2:P24)),NA())</f>
        <v>3</v>
      </c>
      <c r="Q25" s="6">
        <f>IFERROR(IF($L25="",NA(),COUNTIF(D:D,"&lt;"&amp;$L25)-SUM(Q$2:Q24)),NA())</f>
        <v>0</v>
      </c>
      <c r="R25" s="7">
        <f>IFERROR(IF($L25="",NA(),COUNTIF(E:E,"&lt;"&amp;$L25)-SUM(R$2:R24)),NA())</f>
        <v>1</v>
      </c>
      <c r="S25" s="8">
        <f>IFERROR(IF($L25="",NA(),COUNTIF(F:F,"&lt;"&amp;$L25)-SUM(S$2:S24)),NA())</f>
        <v>0</v>
      </c>
      <c r="T25" s="1">
        <f>IFERROR(IF($L25="",NA(),COUNTIF(H:H,"&lt;"&amp;$L25)-SUM(T$2:T24)),NA())</f>
        <v>0</v>
      </c>
    </row>
    <row r="26" spans="1:20" x14ac:dyDescent="0.35">
      <c r="A26" s="3">
        <v>30</v>
      </c>
      <c r="B26" s="4">
        <v>56</v>
      </c>
      <c r="C26" s="5">
        <v>35</v>
      </c>
      <c r="D26" s="6">
        <v>25</v>
      </c>
      <c r="E26" s="7">
        <v>35</v>
      </c>
      <c r="F26" s="8">
        <v>72</v>
      </c>
      <c r="G26" s="1">
        <v>253</v>
      </c>
      <c r="H26" s="19">
        <v>42.17</v>
      </c>
      <c r="K26">
        <f t="shared" si="4"/>
        <v>240</v>
      </c>
      <c r="L26">
        <f t="shared" si="5"/>
        <v>249</v>
      </c>
      <c r="M26" t="str">
        <f t="shared" si="6"/>
        <v>240-249</v>
      </c>
      <c r="N26" s="3">
        <f>IFERROR(IF($L26="",NA(),COUNTIF(A:A,"&lt;"&amp;$L26)-SUM(N$2:N25)),NA())</f>
        <v>0</v>
      </c>
      <c r="O26" s="4">
        <f>IFERROR(IF($L26="",NA(),COUNTIF(B:B,"&lt;"&amp;$L26)-SUM(O$2:O25)),NA())</f>
        <v>0</v>
      </c>
      <c r="P26" s="5">
        <f>IFERROR(IF($L26="",NA(),COUNTIF(C:C,"&lt;"&amp;$L26)-SUM(P$2:P25)),NA())</f>
        <v>0</v>
      </c>
      <c r="Q26" s="6">
        <f>IFERROR(IF($L26="",NA(),COUNTIF(D:D,"&lt;"&amp;$L26)-SUM(Q$2:Q25)),NA())</f>
        <v>0</v>
      </c>
      <c r="R26" s="7">
        <f>IFERROR(IF($L26="",NA(),COUNTIF(E:E,"&lt;"&amp;$L26)-SUM(R$2:R25)),NA())</f>
        <v>0</v>
      </c>
      <c r="S26" s="8">
        <f>IFERROR(IF($L26="",NA(),COUNTIF(F:F,"&lt;"&amp;$L26)-SUM(S$2:S25)),NA())</f>
        <v>0</v>
      </c>
      <c r="T26" s="1">
        <f>IFERROR(IF($L26="",NA(),COUNTIF(H:H,"&lt;"&amp;$L26)-SUM(T$2:T25)),NA())</f>
        <v>0</v>
      </c>
    </row>
    <row r="27" spans="1:20" x14ac:dyDescent="0.35">
      <c r="A27" s="3">
        <v>30</v>
      </c>
      <c r="B27" s="4">
        <v>56</v>
      </c>
      <c r="C27" s="5">
        <v>35</v>
      </c>
      <c r="D27" s="6">
        <v>25</v>
      </c>
      <c r="E27" s="7">
        <v>35</v>
      </c>
      <c r="F27" s="8">
        <v>72</v>
      </c>
      <c r="G27" s="1">
        <v>253</v>
      </c>
      <c r="H27" s="19">
        <v>42.17</v>
      </c>
      <c r="K27">
        <f>IF(L26&gt;255,NA(),K26+$J$2)</f>
        <v>250</v>
      </c>
      <c r="L27">
        <f>IF(L26&lt;255,L26+$J$2,NA())</f>
        <v>259</v>
      </c>
      <c r="M27" t="str">
        <f>IFERROR(K27&amp;"-"&amp;L27,NA())</f>
        <v>250-259</v>
      </c>
      <c r="N27" s="3">
        <f>IFERROR(IF($L27="",NA(),COUNTIF(A:A,"&lt;"&amp;$L27)-SUM(N$2:N26)),NA())</f>
        <v>2</v>
      </c>
      <c r="O27" s="4">
        <f>IFERROR(IF($L27="",NA(),COUNTIF(B:B,"&lt;"&amp;$L27)-SUM(O$2:O26)),NA())</f>
        <v>0</v>
      </c>
      <c r="P27" s="5">
        <f>IFERROR(IF($L27="",NA(),COUNTIF(C:C,"&lt;"&amp;$L27)-SUM(P$2:P26)),NA())</f>
        <v>0</v>
      </c>
      <c r="Q27" s="6">
        <f>IFERROR(IF($L27="",NA(),COUNTIF(D:D,"&lt;"&amp;$L27)-SUM(Q$2:Q26)),NA())</f>
        <v>0</v>
      </c>
      <c r="R27" s="7">
        <f>IFERROR(IF($L27="",NA(),COUNTIF(E:E,"&lt;"&amp;$L27)-SUM(R$2:R26)),NA())</f>
        <v>0</v>
      </c>
      <c r="S27" s="8">
        <f>IFERROR(IF($L27="",NA(),COUNTIF(F:F,"&lt;"&amp;$L27)-SUM(S$2:S26)),NA())</f>
        <v>0</v>
      </c>
      <c r="T27" s="1">
        <f>IFERROR(IF($L27="",NA(),COUNTIF(H:H,"&lt;"&amp;$L27)-SUM(T$2:T26)),NA())</f>
        <v>0</v>
      </c>
    </row>
    <row r="28" spans="1:20" x14ac:dyDescent="0.35">
      <c r="A28" s="3">
        <v>55</v>
      </c>
      <c r="B28" s="4">
        <v>81</v>
      </c>
      <c r="C28" s="5">
        <v>60</v>
      </c>
      <c r="D28" s="6">
        <v>50</v>
      </c>
      <c r="E28" s="7">
        <v>70</v>
      </c>
      <c r="F28" s="8">
        <v>97</v>
      </c>
      <c r="G28" s="1">
        <v>413</v>
      </c>
      <c r="H28" s="19">
        <v>68.83</v>
      </c>
    </row>
    <row r="29" spans="1:20" x14ac:dyDescent="0.35">
      <c r="A29" s="3">
        <v>75</v>
      </c>
      <c r="B29" s="4">
        <v>71</v>
      </c>
      <c r="C29" s="5">
        <v>70</v>
      </c>
      <c r="D29" s="6">
        <v>40</v>
      </c>
      <c r="E29" s="7">
        <v>80</v>
      </c>
      <c r="F29" s="8">
        <v>77</v>
      </c>
      <c r="G29" s="1">
        <v>413</v>
      </c>
      <c r="H29" s="19">
        <v>68.83</v>
      </c>
    </row>
    <row r="30" spans="1:20" x14ac:dyDescent="0.35">
      <c r="A30" s="3">
        <v>40</v>
      </c>
      <c r="B30" s="4">
        <v>60</v>
      </c>
      <c r="C30" s="5">
        <v>30</v>
      </c>
      <c r="D30" s="6">
        <v>31</v>
      </c>
      <c r="E30" s="7">
        <v>31</v>
      </c>
      <c r="F30" s="8">
        <v>70</v>
      </c>
      <c r="G30" s="1">
        <v>262</v>
      </c>
      <c r="H30" s="19">
        <v>43.67</v>
      </c>
    </row>
    <row r="31" spans="1:20" x14ac:dyDescent="0.35">
      <c r="A31" s="3">
        <v>65</v>
      </c>
      <c r="B31" s="4">
        <v>90</v>
      </c>
      <c r="C31" s="5">
        <v>65</v>
      </c>
      <c r="D31" s="6">
        <v>61</v>
      </c>
      <c r="E31" s="7">
        <v>61</v>
      </c>
      <c r="F31" s="8">
        <v>100</v>
      </c>
      <c r="G31" s="1">
        <v>442</v>
      </c>
      <c r="H31" s="19">
        <v>73.67</v>
      </c>
    </row>
    <row r="32" spans="1:20" x14ac:dyDescent="0.35">
      <c r="A32" s="3">
        <v>35</v>
      </c>
      <c r="B32" s="4">
        <v>60</v>
      </c>
      <c r="C32" s="5">
        <v>44</v>
      </c>
      <c r="D32" s="6">
        <v>40</v>
      </c>
      <c r="E32" s="7">
        <v>54</v>
      </c>
      <c r="F32" s="8">
        <v>55</v>
      </c>
      <c r="G32" s="1">
        <v>288</v>
      </c>
      <c r="H32" s="19">
        <v>48</v>
      </c>
    </row>
    <row r="33" spans="1:8" x14ac:dyDescent="0.35">
      <c r="A33" s="3">
        <v>60</v>
      </c>
      <c r="B33" s="4">
        <v>95</v>
      </c>
      <c r="C33" s="5">
        <v>69</v>
      </c>
      <c r="D33" s="6">
        <v>65</v>
      </c>
      <c r="E33" s="7">
        <v>79</v>
      </c>
      <c r="F33" s="8">
        <v>80</v>
      </c>
      <c r="G33" s="1">
        <v>448</v>
      </c>
      <c r="H33" s="19">
        <v>74.67</v>
      </c>
    </row>
    <row r="34" spans="1:8" x14ac:dyDescent="0.35">
      <c r="A34" s="3">
        <v>35</v>
      </c>
      <c r="B34" s="4">
        <v>55</v>
      </c>
      <c r="C34" s="5">
        <v>40</v>
      </c>
      <c r="D34" s="6">
        <v>50</v>
      </c>
      <c r="E34" s="7">
        <v>50</v>
      </c>
      <c r="F34" s="8">
        <v>90</v>
      </c>
      <c r="G34" s="1">
        <v>320</v>
      </c>
      <c r="H34" s="19">
        <v>53.33</v>
      </c>
    </row>
    <row r="35" spans="1:8" x14ac:dyDescent="0.35">
      <c r="A35" s="3">
        <v>60</v>
      </c>
      <c r="B35" s="4">
        <v>90</v>
      </c>
      <c r="C35" s="5">
        <v>55</v>
      </c>
      <c r="D35" s="6">
        <v>90</v>
      </c>
      <c r="E35" s="7">
        <v>80</v>
      </c>
      <c r="F35" s="8">
        <v>110</v>
      </c>
      <c r="G35" s="1">
        <v>485</v>
      </c>
      <c r="H35" s="19">
        <v>80.83</v>
      </c>
    </row>
    <row r="36" spans="1:8" x14ac:dyDescent="0.35">
      <c r="A36" s="3">
        <v>60</v>
      </c>
      <c r="B36" s="4">
        <v>85</v>
      </c>
      <c r="C36" s="5">
        <v>50</v>
      </c>
      <c r="D36" s="6">
        <v>95</v>
      </c>
      <c r="E36" s="7">
        <v>85</v>
      </c>
      <c r="F36" s="8">
        <v>110</v>
      </c>
      <c r="G36" s="1">
        <v>485</v>
      </c>
      <c r="H36" s="19">
        <v>80.83</v>
      </c>
    </row>
    <row r="37" spans="1:8" x14ac:dyDescent="0.35">
      <c r="A37" s="3">
        <v>50</v>
      </c>
      <c r="B37" s="4">
        <v>75</v>
      </c>
      <c r="C37" s="5">
        <v>85</v>
      </c>
      <c r="D37" s="6">
        <v>20</v>
      </c>
      <c r="E37" s="7">
        <v>30</v>
      </c>
      <c r="F37" s="8">
        <v>40</v>
      </c>
      <c r="G37" s="1">
        <v>300</v>
      </c>
      <c r="H37" s="19">
        <v>50</v>
      </c>
    </row>
    <row r="38" spans="1:8" x14ac:dyDescent="0.35">
      <c r="A38" s="3">
        <v>50</v>
      </c>
      <c r="B38" s="4">
        <v>75</v>
      </c>
      <c r="C38" s="5">
        <v>90</v>
      </c>
      <c r="D38" s="6">
        <v>10</v>
      </c>
      <c r="E38" s="7">
        <v>35</v>
      </c>
      <c r="F38" s="8">
        <v>40</v>
      </c>
      <c r="G38" s="1">
        <v>300</v>
      </c>
      <c r="H38" s="19">
        <v>50</v>
      </c>
    </row>
    <row r="39" spans="1:8" x14ac:dyDescent="0.35">
      <c r="A39" s="3">
        <v>75</v>
      </c>
      <c r="B39" s="4">
        <v>100</v>
      </c>
      <c r="C39" s="5">
        <v>110</v>
      </c>
      <c r="D39" s="6">
        <v>45</v>
      </c>
      <c r="E39" s="7">
        <v>55</v>
      </c>
      <c r="F39" s="8">
        <v>65</v>
      </c>
      <c r="G39" s="1">
        <v>450</v>
      </c>
      <c r="H39" s="19">
        <v>75</v>
      </c>
    </row>
    <row r="40" spans="1:8" x14ac:dyDescent="0.35">
      <c r="A40" s="3">
        <v>75</v>
      </c>
      <c r="B40" s="4">
        <v>100</v>
      </c>
      <c r="C40" s="5">
        <v>120</v>
      </c>
      <c r="D40" s="6">
        <v>25</v>
      </c>
      <c r="E40" s="7">
        <v>65</v>
      </c>
      <c r="F40" s="8">
        <v>65</v>
      </c>
      <c r="G40" s="1">
        <v>450</v>
      </c>
      <c r="H40" s="19">
        <v>75</v>
      </c>
    </row>
    <row r="41" spans="1:8" x14ac:dyDescent="0.35">
      <c r="A41" s="3">
        <v>55</v>
      </c>
      <c r="B41" s="4">
        <v>47</v>
      </c>
      <c r="C41" s="5">
        <v>52</v>
      </c>
      <c r="D41" s="6">
        <v>40</v>
      </c>
      <c r="E41" s="7">
        <v>40</v>
      </c>
      <c r="F41" s="8">
        <v>41</v>
      </c>
      <c r="G41" s="1">
        <v>275</v>
      </c>
      <c r="H41" s="19">
        <v>45.83</v>
      </c>
    </row>
    <row r="42" spans="1:8" x14ac:dyDescent="0.35">
      <c r="A42" s="3">
        <v>70</v>
      </c>
      <c r="B42" s="4">
        <v>62</v>
      </c>
      <c r="C42" s="5">
        <v>67</v>
      </c>
      <c r="D42" s="6">
        <v>55</v>
      </c>
      <c r="E42" s="7">
        <v>55</v>
      </c>
      <c r="F42" s="8">
        <v>56</v>
      </c>
      <c r="G42" s="1">
        <v>365</v>
      </c>
      <c r="H42" s="19">
        <v>60.83</v>
      </c>
    </row>
    <row r="43" spans="1:8" x14ac:dyDescent="0.35">
      <c r="A43" s="3">
        <v>90</v>
      </c>
      <c r="B43" s="4">
        <v>92</v>
      </c>
      <c r="C43" s="5">
        <v>87</v>
      </c>
      <c r="D43" s="6">
        <v>75</v>
      </c>
      <c r="E43" s="7">
        <v>85</v>
      </c>
      <c r="F43" s="8">
        <v>76</v>
      </c>
      <c r="G43" s="1">
        <v>505</v>
      </c>
      <c r="H43" s="19">
        <v>84.17</v>
      </c>
    </row>
    <row r="44" spans="1:8" x14ac:dyDescent="0.35">
      <c r="A44" s="3">
        <v>46</v>
      </c>
      <c r="B44" s="4">
        <v>57</v>
      </c>
      <c r="C44" s="5">
        <v>40</v>
      </c>
      <c r="D44" s="6">
        <v>40</v>
      </c>
      <c r="E44" s="7">
        <v>40</v>
      </c>
      <c r="F44" s="8">
        <v>50</v>
      </c>
      <c r="G44" s="1">
        <v>273</v>
      </c>
      <c r="H44" s="19">
        <v>45.5</v>
      </c>
    </row>
    <row r="45" spans="1:8" x14ac:dyDescent="0.35">
      <c r="A45" s="3">
        <v>61</v>
      </c>
      <c r="B45" s="4">
        <v>72</v>
      </c>
      <c r="C45" s="5">
        <v>57</v>
      </c>
      <c r="D45" s="6">
        <v>55</v>
      </c>
      <c r="E45" s="7">
        <v>55</v>
      </c>
      <c r="F45" s="8">
        <v>65</v>
      </c>
      <c r="G45" s="1">
        <v>365</v>
      </c>
      <c r="H45" s="19">
        <v>60.83</v>
      </c>
    </row>
    <row r="46" spans="1:8" x14ac:dyDescent="0.35">
      <c r="A46" s="3">
        <v>81</v>
      </c>
      <c r="B46" s="4">
        <v>102</v>
      </c>
      <c r="C46" s="5">
        <v>77</v>
      </c>
      <c r="D46" s="6">
        <v>85</v>
      </c>
      <c r="E46" s="7">
        <v>75</v>
      </c>
      <c r="F46" s="8">
        <v>85</v>
      </c>
      <c r="G46" s="1">
        <v>505</v>
      </c>
      <c r="H46" s="19">
        <v>84.17</v>
      </c>
    </row>
    <row r="47" spans="1:8" x14ac:dyDescent="0.35">
      <c r="A47" s="3">
        <v>70</v>
      </c>
      <c r="B47" s="4">
        <v>45</v>
      </c>
      <c r="C47" s="5">
        <v>48</v>
      </c>
      <c r="D47" s="6">
        <v>60</v>
      </c>
      <c r="E47" s="7">
        <v>65</v>
      </c>
      <c r="F47" s="8">
        <v>35</v>
      </c>
      <c r="G47" s="1">
        <v>323</v>
      </c>
      <c r="H47" s="19">
        <v>53.83</v>
      </c>
    </row>
    <row r="48" spans="1:8" x14ac:dyDescent="0.35">
      <c r="A48" s="3">
        <v>95</v>
      </c>
      <c r="B48" s="4">
        <v>70</v>
      </c>
      <c r="C48" s="5">
        <v>73</v>
      </c>
      <c r="D48" s="6">
        <v>95</v>
      </c>
      <c r="E48" s="7">
        <v>90</v>
      </c>
      <c r="F48" s="8">
        <v>60</v>
      </c>
      <c r="G48" s="1">
        <v>483</v>
      </c>
      <c r="H48" s="19">
        <v>80.5</v>
      </c>
    </row>
    <row r="49" spans="1:8" x14ac:dyDescent="0.35">
      <c r="A49" s="3">
        <v>38</v>
      </c>
      <c r="B49" s="4">
        <v>41</v>
      </c>
      <c r="C49" s="5">
        <v>40</v>
      </c>
      <c r="D49" s="6">
        <v>50</v>
      </c>
      <c r="E49" s="7">
        <v>65</v>
      </c>
      <c r="F49" s="8">
        <v>65</v>
      </c>
      <c r="G49" s="1">
        <v>299</v>
      </c>
      <c r="H49" s="19">
        <v>49.83</v>
      </c>
    </row>
    <row r="50" spans="1:8" x14ac:dyDescent="0.35">
      <c r="A50" s="3">
        <v>38</v>
      </c>
      <c r="B50" s="4">
        <v>41</v>
      </c>
      <c r="C50" s="5">
        <v>40</v>
      </c>
      <c r="D50" s="6">
        <v>50</v>
      </c>
      <c r="E50" s="7">
        <v>65</v>
      </c>
      <c r="F50" s="8">
        <v>65</v>
      </c>
      <c r="G50" s="1">
        <v>299</v>
      </c>
      <c r="H50" s="19">
        <v>49.83</v>
      </c>
    </row>
    <row r="51" spans="1:8" x14ac:dyDescent="0.35">
      <c r="A51" s="3">
        <v>73</v>
      </c>
      <c r="B51" s="4">
        <v>76</v>
      </c>
      <c r="C51" s="5">
        <v>75</v>
      </c>
      <c r="D51" s="6">
        <v>81</v>
      </c>
      <c r="E51" s="7">
        <v>100</v>
      </c>
      <c r="F51" s="8">
        <v>100</v>
      </c>
      <c r="G51" s="1">
        <v>505</v>
      </c>
      <c r="H51" s="19">
        <v>84.17</v>
      </c>
    </row>
    <row r="52" spans="1:8" x14ac:dyDescent="0.35">
      <c r="A52" s="3">
        <v>73</v>
      </c>
      <c r="B52" s="4">
        <v>67</v>
      </c>
      <c r="C52" s="5">
        <v>75</v>
      </c>
      <c r="D52" s="6">
        <v>81</v>
      </c>
      <c r="E52" s="7">
        <v>100</v>
      </c>
      <c r="F52" s="8">
        <v>109</v>
      </c>
      <c r="G52" s="1">
        <v>505</v>
      </c>
      <c r="H52" s="19">
        <v>84.17</v>
      </c>
    </row>
    <row r="53" spans="1:8" x14ac:dyDescent="0.35">
      <c r="A53" s="3">
        <v>115</v>
      </c>
      <c r="B53" s="4">
        <v>45</v>
      </c>
      <c r="C53" s="5">
        <v>20</v>
      </c>
      <c r="D53" s="6">
        <v>45</v>
      </c>
      <c r="E53" s="7">
        <v>25</v>
      </c>
      <c r="F53" s="8">
        <v>20</v>
      </c>
      <c r="G53" s="1">
        <v>270</v>
      </c>
      <c r="H53" s="19">
        <v>45</v>
      </c>
    </row>
    <row r="54" spans="1:8" x14ac:dyDescent="0.35">
      <c r="A54" s="3">
        <v>140</v>
      </c>
      <c r="B54" s="4">
        <v>70</v>
      </c>
      <c r="C54" s="5">
        <v>45</v>
      </c>
      <c r="D54" s="6">
        <v>85</v>
      </c>
      <c r="E54" s="7">
        <v>50</v>
      </c>
      <c r="F54" s="8">
        <v>45</v>
      </c>
      <c r="G54" s="1">
        <v>435</v>
      </c>
      <c r="H54" s="19">
        <v>72.5</v>
      </c>
    </row>
    <row r="55" spans="1:8" x14ac:dyDescent="0.35">
      <c r="A55" s="3">
        <v>40</v>
      </c>
      <c r="B55" s="4">
        <v>45</v>
      </c>
      <c r="C55" s="5">
        <v>35</v>
      </c>
      <c r="D55" s="6">
        <v>30</v>
      </c>
      <c r="E55" s="7">
        <v>40</v>
      </c>
      <c r="F55" s="8">
        <v>55</v>
      </c>
      <c r="G55" s="1">
        <v>245</v>
      </c>
      <c r="H55" s="19">
        <v>40.83</v>
      </c>
    </row>
    <row r="56" spans="1:8" x14ac:dyDescent="0.35">
      <c r="A56" s="3">
        <v>75</v>
      </c>
      <c r="B56" s="4">
        <v>80</v>
      </c>
      <c r="C56" s="5">
        <v>70</v>
      </c>
      <c r="D56" s="6">
        <v>65</v>
      </c>
      <c r="E56" s="7">
        <v>75</v>
      </c>
      <c r="F56" s="8">
        <v>90</v>
      </c>
      <c r="G56" s="1">
        <v>455</v>
      </c>
      <c r="H56" s="19">
        <v>75.83</v>
      </c>
    </row>
    <row r="57" spans="1:8" x14ac:dyDescent="0.35">
      <c r="A57" s="3">
        <v>45</v>
      </c>
      <c r="B57" s="4">
        <v>50</v>
      </c>
      <c r="C57" s="5">
        <v>55</v>
      </c>
      <c r="D57" s="6">
        <v>75</v>
      </c>
      <c r="E57" s="7">
        <v>65</v>
      </c>
      <c r="F57" s="8">
        <v>30</v>
      </c>
      <c r="G57" s="1">
        <v>320</v>
      </c>
      <c r="H57" s="19">
        <v>53.33</v>
      </c>
    </row>
    <row r="58" spans="1:8" x14ac:dyDescent="0.35">
      <c r="A58" s="3">
        <v>60</v>
      </c>
      <c r="B58" s="4">
        <v>65</v>
      </c>
      <c r="C58" s="5">
        <v>70</v>
      </c>
      <c r="D58" s="6">
        <v>85</v>
      </c>
      <c r="E58" s="7">
        <v>75</v>
      </c>
      <c r="F58" s="8">
        <v>40</v>
      </c>
      <c r="G58" s="1">
        <v>395</v>
      </c>
      <c r="H58" s="19">
        <v>65.83</v>
      </c>
    </row>
    <row r="59" spans="1:8" x14ac:dyDescent="0.35">
      <c r="A59" s="3">
        <v>75</v>
      </c>
      <c r="B59" s="4">
        <v>80</v>
      </c>
      <c r="C59" s="5">
        <v>85</v>
      </c>
      <c r="D59" s="6">
        <v>110</v>
      </c>
      <c r="E59" s="7">
        <v>90</v>
      </c>
      <c r="F59" s="8">
        <v>50</v>
      </c>
      <c r="G59" s="1">
        <v>490</v>
      </c>
      <c r="H59" s="19">
        <v>81.67</v>
      </c>
    </row>
    <row r="60" spans="1:8" x14ac:dyDescent="0.35">
      <c r="A60" s="3">
        <v>35</v>
      </c>
      <c r="B60" s="4">
        <v>70</v>
      </c>
      <c r="C60" s="5">
        <v>55</v>
      </c>
      <c r="D60" s="6">
        <v>45</v>
      </c>
      <c r="E60" s="7">
        <v>55</v>
      </c>
      <c r="F60" s="8">
        <v>25</v>
      </c>
      <c r="G60" s="1">
        <v>285</v>
      </c>
      <c r="H60" s="19">
        <v>47.5</v>
      </c>
    </row>
    <row r="61" spans="1:8" x14ac:dyDescent="0.35">
      <c r="A61" s="3">
        <v>60</v>
      </c>
      <c r="B61" s="4">
        <v>95</v>
      </c>
      <c r="C61" s="5">
        <v>80</v>
      </c>
      <c r="D61" s="6">
        <v>60</v>
      </c>
      <c r="E61" s="7">
        <v>80</v>
      </c>
      <c r="F61" s="8">
        <v>30</v>
      </c>
      <c r="G61" s="1">
        <v>405</v>
      </c>
      <c r="H61" s="19">
        <v>67.5</v>
      </c>
    </row>
    <row r="62" spans="1:8" x14ac:dyDescent="0.35">
      <c r="A62" s="3">
        <v>60</v>
      </c>
      <c r="B62" s="4">
        <v>55</v>
      </c>
      <c r="C62" s="5">
        <v>50</v>
      </c>
      <c r="D62" s="6">
        <v>40</v>
      </c>
      <c r="E62" s="7">
        <v>55</v>
      </c>
      <c r="F62" s="8">
        <v>45</v>
      </c>
      <c r="G62" s="1">
        <v>305</v>
      </c>
      <c r="H62" s="19">
        <v>50.83</v>
      </c>
    </row>
    <row r="63" spans="1:8" x14ac:dyDescent="0.35">
      <c r="A63" s="3">
        <v>70</v>
      </c>
      <c r="B63" s="4">
        <v>65</v>
      </c>
      <c r="C63" s="5">
        <v>60</v>
      </c>
      <c r="D63" s="6">
        <v>90</v>
      </c>
      <c r="E63" s="7">
        <v>75</v>
      </c>
      <c r="F63" s="8">
        <v>90</v>
      </c>
      <c r="G63" s="1">
        <v>450</v>
      </c>
      <c r="H63" s="19">
        <v>75</v>
      </c>
    </row>
    <row r="64" spans="1:8" x14ac:dyDescent="0.35">
      <c r="A64" s="3">
        <v>10</v>
      </c>
      <c r="B64" s="4">
        <v>55</v>
      </c>
      <c r="C64" s="5">
        <v>25</v>
      </c>
      <c r="D64" s="6">
        <v>35</v>
      </c>
      <c r="E64" s="7">
        <v>45</v>
      </c>
      <c r="F64" s="8">
        <v>95</v>
      </c>
      <c r="G64" s="1">
        <v>265</v>
      </c>
      <c r="H64" s="19">
        <v>44.17</v>
      </c>
    </row>
    <row r="65" spans="1:8" x14ac:dyDescent="0.35">
      <c r="A65" s="3">
        <v>10</v>
      </c>
      <c r="B65" s="4">
        <v>55</v>
      </c>
      <c r="C65" s="5">
        <v>30</v>
      </c>
      <c r="D65" s="6">
        <v>35</v>
      </c>
      <c r="E65" s="7">
        <v>45</v>
      </c>
      <c r="F65" s="8">
        <v>90</v>
      </c>
      <c r="G65" s="1">
        <v>265</v>
      </c>
      <c r="H65" s="19">
        <v>44.17</v>
      </c>
    </row>
    <row r="66" spans="1:8" x14ac:dyDescent="0.35">
      <c r="A66" s="3">
        <v>35</v>
      </c>
      <c r="B66" s="4">
        <v>100</v>
      </c>
      <c r="C66" s="5">
        <v>50</v>
      </c>
      <c r="D66" s="6">
        <v>50</v>
      </c>
      <c r="E66" s="7">
        <v>70</v>
      </c>
      <c r="F66" s="8">
        <v>120</v>
      </c>
      <c r="G66" s="1">
        <v>425</v>
      </c>
      <c r="H66" s="19">
        <v>70.83</v>
      </c>
    </row>
    <row r="67" spans="1:8" x14ac:dyDescent="0.35">
      <c r="A67" s="3">
        <v>35</v>
      </c>
      <c r="B67" s="4">
        <v>100</v>
      </c>
      <c r="C67" s="5">
        <v>60</v>
      </c>
      <c r="D67" s="6">
        <v>50</v>
      </c>
      <c r="E67" s="7">
        <v>70</v>
      </c>
      <c r="F67" s="8">
        <v>110</v>
      </c>
      <c r="G67" s="1">
        <v>425</v>
      </c>
      <c r="H67" s="19">
        <v>70.83</v>
      </c>
    </row>
    <row r="68" spans="1:8" x14ac:dyDescent="0.35">
      <c r="A68" s="3">
        <v>40</v>
      </c>
      <c r="B68" s="4">
        <v>45</v>
      </c>
      <c r="C68" s="5">
        <v>35</v>
      </c>
      <c r="D68" s="6">
        <v>40</v>
      </c>
      <c r="E68" s="7">
        <v>40</v>
      </c>
      <c r="F68" s="8">
        <v>90</v>
      </c>
      <c r="G68" s="1">
        <v>290</v>
      </c>
      <c r="H68" s="19">
        <v>48.33</v>
      </c>
    </row>
    <row r="69" spans="1:8" x14ac:dyDescent="0.35">
      <c r="A69" s="3">
        <v>40</v>
      </c>
      <c r="B69" s="4">
        <v>35</v>
      </c>
      <c r="C69" s="5">
        <v>35</v>
      </c>
      <c r="D69" s="42">
        <v>50</v>
      </c>
      <c r="E69" s="7">
        <v>40</v>
      </c>
      <c r="F69" s="8">
        <v>90</v>
      </c>
      <c r="G69" s="1">
        <v>290</v>
      </c>
      <c r="H69" s="19">
        <v>48.33</v>
      </c>
    </row>
    <row r="70" spans="1:8" x14ac:dyDescent="0.35">
      <c r="A70" s="3">
        <v>65</v>
      </c>
      <c r="B70" s="4">
        <v>70</v>
      </c>
      <c r="C70" s="5">
        <v>60</v>
      </c>
      <c r="D70" s="6">
        <v>65</v>
      </c>
      <c r="E70" s="7">
        <v>65</v>
      </c>
      <c r="F70" s="8">
        <v>115</v>
      </c>
      <c r="G70" s="1">
        <v>440</v>
      </c>
      <c r="H70" s="19">
        <v>73.33</v>
      </c>
    </row>
    <row r="71" spans="1:8" x14ac:dyDescent="0.35">
      <c r="A71" s="3">
        <v>65</v>
      </c>
      <c r="B71" s="4">
        <v>60</v>
      </c>
      <c r="C71" s="5">
        <v>60</v>
      </c>
      <c r="D71" s="6">
        <v>75</v>
      </c>
      <c r="E71" s="7">
        <v>65</v>
      </c>
      <c r="F71" s="8">
        <v>115</v>
      </c>
      <c r="G71" s="1">
        <v>440</v>
      </c>
      <c r="H71" s="19">
        <v>73.33</v>
      </c>
    </row>
    <row r="72" spans="1:8" x14ac:dyDescent="0.35">
      <c r="A72" s="3">
        <v>50</v>
      </c>
      <c r="B72" s="4">
        <v>52</v>
      </c>
      <c r="C72" s="5">
        <v>48</v>
      </c>
      <c r="D72" s="6">
        <v>65</v>
      </c>
      <c r="E72" s="7">
        <v>50</v>
      </c>
      <c r="F72" s="8">
        <v>55</v>
      </c>
      <c r="G72" s="1">
        <v>320</v>
      </c>
      <c r="H72" s="19">
        <v>53.33</v>
      </c>
    </row>
    <row r="73" spans="1:8" x14ac:dyDescent="0.35">
      <c r="A73" s="3">
        <v>80</v>
      </c>
      <c r="B73" s="4">
        <v>82</v>
      </c>
      <c r="C73" s="5">
        <v>78</v>
      </c>
      <c r="D73" s="6">
        <v>95</v>
      </c>
      <c r="E73" s="7">
        <v>80</v>
      </c>
      <c r="F73" s="8">
        <v>85</v>
      </c>
      <c r="G73" s="1">
        <v>500</v>
      </c>
      <c r="H73" s="19">
        <v>83.33</v>
      </c>
    </row>
    <row r="74" spans="1:8" x14ac:dyDescent="0.35">
      <c r="A74" s="3">
        <v>40</v>
      </c>
      <c r="B74" s="4">
        <v>80</v>
      </c>
      <c r="C74" s="5">
        <v>35</v>
      </c>
      <c r="D74" s="6">
        <v>35</v>
      </c>
      <c r="E74" s="7">
        <v>45</v>
      </c>
      <c r="F74" s="8">
        <v>70</v>
      </c>
      <c r="G74" s="1">
        <v>305</v>
      </c>
      <c r="H74" s="19">
        <v>50.83</v>
      </c>
    </row>
    <row r="75" spans="1:8" x14ac:dyDescent="0.35">
      <c r="A75" s="3">
        <v>65</v>
      </c>
      <c r="B75" s="4">
        <v>105</v>
      </c>
      <c r="C75" s="5">
        <v>60</v>
      </c>
      <c r="D75" s="6">
        <v>60</v>
      </c>
      <c r="E75" s="7">
        <v>70</v>
      </c>
      <c r="F75" s="8">
        <v>95</v>
      </c>
      <c r="G75" s="1">
        <v>455</v>
      </c>
      <c r="H75" s="19">
        <v>75.83</v>
      </c>
    </row>
    <row r="76" spans="1:8" x14ac:dyDescent="0.35">
      <c r="A76" s="3">
        <v>55</v>
      </c>
      <c r="B76" s="4">
        <v>70</v>
      </c>
      <c r="C76" s="5">
        <v>45</v>
      </c>
      <c r="D76" s="6">
        <v>70</v>
      </c>
      <c r="E76" s="7">
        <v>50</v>
      </c>
      <c r="F76" s="8">
        <v>60</v>
      </c>
      <c r="G76" s="1">
        <v>350</v>
      </c>
      <c r="H76" s="19">
        <v>58.33</v>
      </c>
    </row>
    <row r="77" spans="1:8" x14ac:dyDescent="0.35">
      <c r="A77" s="3">
        <v>90</v>
      </c>
      <c r="B77" s="4">
        <v>110</v>
      </c>
      <c r="C77" s="5">
        <v>80</v>
      </c>
      <c r="D77" s="6">
        <v>100</v>
      </c>
      <c r="E77" s="7">
        <v>80</v>
      </c>
      <c r="F77" s="8">
        <v>95</v>
      </c>
      <c r="G77" s="1">
        <v>555</v>
      </c>
      <c r="H77" s="19">
        <v>92.5</v>
      </c>
    </row>
    <row r="78" spans="1:8" x14ac:dyDescent="0.35">
      <c r="A78" s="3">
        <v>40</v>
      </c>
      <c r="B78" s="4">
        <v>50</v>
      </c>
      <c r="C78" s="5">
        <v>40</v>
      </c>
      <c r="D78" s="6">
        <v>40</v>
      </c>
      <c r="E78" s="7">
        <v>40</v>
      </c>
      <c r="F78" s="8">
        <v>90</v>
      </c>
      <c r="G78" s="1">
        <v>300</v>
      </c>
      <c r="H78" s="19">
        <v>50</v>
      </c>
    </row>
    <row r="79" spans="1:8" x14ac:dyDescent="0.35">
      <c r="A79" s="3">
        <v>65</v>
      </c>
      <c r="B79" s="4">
        <v>65</v>
      </c>
      <c r="C79" s="5">
        <v>65</v>
      </c>
      <c r="D79" s="6">
        <v>50</v>
      </c>
      <c r="E79" s="7">
        <v>50</v>
      </c>
      <c r="F79" s="8">
        <v>90</v>
      </c>
      <c r="G79" s="1">
        <v>385</v>
      </c>
      <c r="H79" s="19">
        <v>64.17</v>
      </c>
    </row>
    <row r="80" spans="1:8" x14ac:dyDescent="0.35">
      <c r="A80" s="3">
        <v>90</v>
      </c>
      <c r="B80" s="4">
        <v>95</v>
      </c>
      <c r="C80" s="5">
        <v>95</v>
      </c>
      <c r="D80" s="6">
        <v>70</v>
      </c>
      <c r="E80" s="7">
        <v>90</v>
      </c>
      <c r="F80" s="8">
        <v>70</v>
      </c>
      <c r="G80" s="1">
        <v>510</v>
      </c>
      <c r="H80" s="19">
        <v>85</v>
      </c>
    </row>
    <row r="81" spans="1:8" x14ac:dyDescent="0.35">
      <c r="A81" s="3">
        <v>25</v>
      </c>
      <c r="B81" s="4">
        <v>20</v>
      </c>
      <c r="C81" s="5">
        <v>15</v>
      </c>
      <c r="D81" s="6">
        <v>105</v>
      </c>
      <c r="E81" s="7">
        <v>55</v>
      </c>
      <c r="F81" s="8">
        <v>90</v>
      </c>
      <c r="G81" s="1">
        <v>310</v>
      </c>
      <c r="H81" s="19">
        <v>51.67</v>
      </c>
    </row>
    <row r="82" spans="1:8" x14ac:dyDescent="0.35">
      <c r="A82" s="3">
        <v>40</v>
      </c>
      <c r="B82" s="4">
        <v>35</v>
      </c>
      <c r="C82" s="5">
        <v>30</v>
      </c>
      <c r="D82" s="6">
        <v>120</v>
      </c>
      <c r="E82" s="7">
        <v>70</v>
      </c>
      <c r="F82" s="8">
        <v>105</v>
      </c>
      <c r="G82" s="1">
        <v>400</v>
      </c>
      <c r="H82" s="19">
        <v>66.67</v>
      </c>
    </row>
    <row r="83" spans="1:8" x14ac:dyDescent="0.35">
      <c r="A83" s="3">
        <v>55</v>
      </c>
      <c r="B83" s="4">
        <v>50</v>
      </c>
      <c r="C83" s="5">
        <v>45</v>
      </c>
      <c r="D83" s="6">
        <v>135</v>
      </c>
      <c r="E83" s="7">
        <v>95</v>
      </c>
      <c r="F83" s="8">
        <v>120</v>
      </c>
      <c r="G83" s="1">
        <v>500</v>
      </c>
      <c r="H83" s="19">
        <v>83.33</v>
      </c>
    </row>
    <row r="84" spans="1:8" x14ac:dyDescent="0.35">
      <c r="A84" s="3">
        <v>55</v>
      </c>
      <c r="B84" s="4">
        <v>50</v>
      </c>
      <c r="C84" s="5">
        <v>65</v>
      </c>
      <c r="D84" s="6">
        <v>175</v>
      </c>
      <c r="E84" s="7">
        <v>105</v>
      </c>
      <c r="F84" s="8">
        <v>150</v>
      </c>
      <c r="G84" s="1">
        <v>600</v>
      </c>
      <c r="H84" s="19">
        <v>100</v>
      </c>
    </row>
    <row r="85" spans="1:8" x14ac:dyDescent="0.35">
      <c r="A85" s="3">
        <v>70</v>
      </c>
      <c r="B85" s="4">
        <v>80</v>
      </c>
      <c r="C85" s="5">
        <v>50</v>
      </c>
      <c r="D85" s="6">
        <v>35</v>
      </c>
      <c r="E85" s="7">
        <v>35</v>
      </c>
      <c r="F85" s="8">
        <v>35</v>
      </c>
      <c r="G85" s="1">
        <v>305</v>
      </c>
      <c r="H85" s="19">
        <v>50.83</v>
      </c>
    </row>
    <row r="86" spans="1:8" x14ac:dyDescent="0.35">
      <c r="A86" s="3">
        <v>80</v>
      </c>
      <c r="B86" s="4">
        <v>100</v>
      </c>
      <c r="C86" s="5">
        <v>70</v>
      </c>
      <c r="D86" s="6">
        <v>50</v>
      </c>
      <c r="E86" s="7">
        <v>60</v>
      </c>
      <c r="F86" s="8">
        <v>45</v>
      </c>
      <c r="G86" s="1">
        <v>405</v>
      </c>
      <c r="H86" s="19">
        <v>67.5</v>
      </c>
    </row>
    <row r="87" spans="1:8" x14ac:dyDescent="0.35">
      <c r="A87" s="3">
        <v>90</v>
      </c>
      <c r="B87" s="4">
        <v>130</v>
      </c>
      <c r="C87" s="5">
        <v>80</v>
      </c>
      <c r="D87" s="6">
        <v>65</v>
      </c>
      <c r="E87" s="7">
        <v>85</v>
      </c>
      <c r="F87" s="8">
        <v>55</v>
      </c>
      <c r="G87" s="1">
        <v>505</v>
      </c>
      <c r="H87" s="19">
        <v>84.17</v>
      </c>
    </row>
    <row r="88" spans="1:8" x14ac:dyDescent="0.35">
      <c r="A88" s="3">
        <v>50</v>
      </c>
      <c r="B88" s="4">
        <v>75</v>
      </c>
      <c r="C88" s="5">
        <v>35</v>
      </c>
      <c r="D88" s="6">
        <v>70</v>
      </c>
      <c r="E88" s="7">
        <v>30</v>
      </c>
      <c r="F88" s="8">
        <v>40</v>
      </c>
      <c r="G88" s="1">
        <v>300</v>
      </c>
      <c r="H88" s="19">
        <v>50</v>
      </c>
    </row>
    <row r="89" spans="1:8" x14ac:dyDescent="0.35">
      <c r="A89" s="3">
        <v>65</v>
      </c>
      <c r="B89" s="4">
        <v>90</v>
      </c>
      <c r="C89" s="5">
        <v>50</v>
      </c>
      <c r="D89" s="6">
        <v>85</v>
      </c>
      <c r="E89" s="7">
        <v>45</v>
      </c>
      <c r="F89" s="8">
        <v>55</v>
      </c>
      <c r="G89" s="1">
        <v>390</v>
      </c>
      <c r="H89" s="19">
        <v>65</v>
      </c>
    </row>
    <row r="90" spans="1:8" x14ac:dyDescent="0.35">
      <c r="A90" s="3">
        <v>80</v>
      </c>
      <c r="B90" s="4">
        <v>105</v>
      </c>
      <c r="C90" s="5">
        <v>65</v>
      </c>
      <c r="D90" s="6">
        <v>100</v>
      </c>
      <c r="E90" s="7">
        <v>70</v>
      </c>
      <c r="F90" s="8">
        <v>70</v>
      </c>
      <c r="G90" s="1">
        <v>490</v>
      </c>
      <c r="H90" s="19">
        <v>81.67</v>
      </c>
    </row>
    <row r="91" spans="1:8" x14ac:dyDescent="0.35">
      <c r="A91" s="3">
        <v>40</v>
      </c>
      <c r="B91" s="4">
        <v>40</v>
      </c>
      <c r="C91" s="5">
        <v>35</v>
      </c>
      <c r="D91" s="6">
        <v>50</v>
      </c>
      <c r="E91" s="7">
        <v>100</v>
      </c>
      <c r="F91" s="8">
        <v>70</v>
      </c>
      <c r="G91" s="1">
        <v>335</v>
      </c>
      <c r="H91" s="19">
        <v>55.83</v>
      </c>
    </row>
    <row r="92" spans="1:8" x14ac:dyDescent="0.35">
      <c r="A92" s="3">
        <v>80</v>
      </c>
      <c r="B92" s="4">
        <v>70</v>
      </c>
      <c r="C92" s="5">
        <v>65</v>
      </c>
      <c r="D92" s="6">
        <v>80</v>
      </c>
      <c r="E92" s="7">
        <v>120</v>
      </c>
      <c r="F92" s="8">
        <v>100</v>
      </c>
      <c r="G92" s="1">
        <v>515</v>
      </c>
      <c r="H92" s="19">
        <v>85.83</v>
      </c>
    </row>
    <row r="93" spans="1:8" x14ac:dyDescent="0.35">
      <c r="A93" s="3">
        <v>40</v>
      </c>
      <c r="B93" s="4">
        <v>80</v>
      </c>
      <c r="C93" s="5">
        <v>100</v>
      </c>
      <c r="D93" s="6">
        <v>30</v>
      </c>
      <c r="E93" s="7">
        <v>30</v>
      </c>
      <c r="F93" s="8">
        <v>20</v>
      </c>
      <c r="G93" s="1">
        <v>300</v>
      </c>
      <c r="H93" s="19">
        <v>50</v>
      </c>
    </row>
    <row r="94" spans="1:8" x14ac:dyDescent="0.35">
      <c r="A94" s="3">
        <v>40</v>
      </c>
      <c r="B94" s="4">
        <v>80</v>
      </c>
      <c r="C94" s="5">
        <v>100</v>
      </c>
      <c r="D94" s="6">
        <v>30</v>
      </c>
      <c r="E94" s="7">
        <v>30</v>
      </c>
      <c r="F94" s="8">
        <v>20</v>
      </c>
      <c r="G94" s="1">
        <v>300</v>
      </c>
      <c r="H94" s="19">
        <v>50</v>
      </c>
    </row>
    <row r="95" spans="1:8" x14ac:dyDescent="0.35">
      <c r="A95" s="3">
        <v>55</v>
      </c>
      <c r="B95" s="4">
        <v>95</v>
      </c>
      <c r="C95" s="5">
        <v>115</v>
      </c>
      <c r="D95" s="6">
        <v>45</v>
      </c>
      <c r="E95" s="7">
        <v>45</v>
      </c>
      <c r="F95" s="8">
        <v>35</v>
      </c>
      <c r="G95" s="1">
        <v>390</v>
      </c>
      <c r="H95" s="19">
        <v>65</v>
      </c>
    </row>
    <row r="96" spans="1:8" x14ac:dyDescent="0.35">
      <c r="A96" s="3">
        <v>55</v>
      </c>
      <c r="B96" s="4">
        <v>95</v>
      </c>
      <c r="C96" s="5">
        <v>115</v>
      </c>
      <c r="D96" s="6">
        <v>45</v>
      </c>
      <c r="E96" s="7">
        <v>45</v>
      </c>
      <c r="F96" s="8">
        <v>35</v>
      </c>
      <c r="G96" s="1">
        <v>390</v>
      </c>
      <c r="H96" s="19">
        <v>65</v>
      </c>
    </row>
    <row r="97" spans="1:8" x14ac:dyDescent="0.35">
      <c r="A97" s="3">
        <v>80</v>
      </c>
      <c r="B97" s="4">
        <v>120</v>
      </c>
      <c r="C97" s="5">
        <v>130</v>
      </c>
      <c r="D97" s="6">
        <v>55</v>
      </c>
      <c r="E97" s="7">
        <v>65</v>
      </c>
      <c r="F97" s="8">
        <v>45</v>
      </c>
      <c r="G97" s="1">
        <v>495</v>
      </c>
      <c r="H97" s="19">
        <v>82.5</v>
      </c>
    </row>
    <row r="98" spans="1:8" x14ac:dyDescent="0.35">
      <c r="A98" s="3">
        <v>80</v>
      </c>
      <c r="B98" s="4">
        <v>120</v>
      </c>
      <c r="C98" s="5">
        <v>130</v>
      </c>
      <c r="D98" s="6">
        <v>55</v>
      </c>
      <c r="E98" s="7">
        <v>65</v>
      </c>
      <c r="F98" s="8">
        <v>45</v>
      </c>
      <c r="G98" s="1">
        <v>495</v>
      </c>
      <c r="H98" s="19">
        <v>82.5</v>
      </c>
    </row>
    <row r="99" spans="1:8" x14ac:dyDescent="0.35">
      <c r="A99" s="3">
        <v>50</v>
      </c>
      <c r="B99" s="4">
        <v>85</v>
      </c>
      <c r="C99" s="5">
        <v>55</v>
      </c>
      <c r="D99" s="6">
        <v>65</v>
      </c>
      <c r="E99" s="7">
        <v>65</v>
      </c>
      <c r="F99" s="8">
        <v>90</v>
      </c>
      <c r="G99" s="1">
        <v>410</v>
      </c>
      <c r="H99" s="19">
        <v>68.33</v>
      </c>
    </row>
    <row r="100" spans="1:8" x14ac:dyDescent="0.35">
      <c r="A100" s="3">
        <v>65</v>
      </c>
      <c r="B100" s="4">
        <v>100</v>
      </c>
      <c r="C100" s="5">
        <v>70</v>
      </c>
      <c r="D100" s="6">
        <v>80</v>
      </c>
      <c r="E100" s="7">
        <v>80</v>
      </c>
      <c r="F100" s="8">
        <v>105</v>
      </c>
      <c r="G100" s="1">
        <v>500</v>
      </c>
      <c r="H100" s="19">
        <v>83.33</v>
      </c>
    </row>
    <row r="101" spans="1:8" x14ac:dyDescent="0.35">
      <c r="A101" s="3">
        <v>90</v>
      </c>
      <c r="B101" s="4">
        <v>65</v>
      </c>
      <c r="C101" s="5">
        <v>65</v>
      </c>
      <c r="D101" s="6">
        <v>40</v>
      </c>
      <c r="E101" s="7">
        <v>40</v>
      </c>
      <c r="F101" s="8">
        <v>15</v>
      </c>
      <c r="G101" s="1">
        <v>315</v>
      </c>
      <c r="H101" s="19">
        <v>52.5</v>
      </c>
    </row>
    <row r="102" spans="1:8" x14ac:dyDescent="0.35">
      <c r="A102" s="3">
        <v>95</v>
      </c>
      <c r="B102" s="4">
        <v>75</v>
      </c>
      <c r="C102" s="5">
        <v>110</v>
      </c>
      <c r="D102" s="6">
        <v>100</v>
      </c>
      <c r="E102" s="7">
        <v>80</v>
      </c>
      <c r="F102" s="8">
        <v>30</v>
      </c>
      <c r="G102" s="1">
        <v>490</v>
      </c>
      <c r="H102" s="19">
        <v>81.67</v>
      </c>
    </row>
    <row r="103" spans="1:8" x14ac:dyDescent="0.35">
      <c r="A103" s="3">
        <v>95</v>
      </c>
      <c r="B103" s="4">
        <v>75</v>
      </c>
      <c r="C103" s="5">
        <v>180</v>
      </c>
      <c r="D103" s="6">
        <v>130</v>
      </c>
      <c r="E103" s="7">
        <v>80</v>
      </c>
      <c r="F103" s="8">
        <v>30</v>
      </c>
      <c r="G103" s="1">
        <v>590</v>
      </c>
      <c r="H103" s="19">
        <v>98.33</v>
      </c>
    </row>
    <row r="104" spans="1:8" x14ac:dyDescent="0.35">
      <c r="A104" s="39">
        <v>25</v>
      </c>
      <c r="B104" s="4">
        <v>35</v>
      </c>
      <c r="C104" s="5">
        <v>70</v>
      </c>
      <c r="D104" s="6">
        <v>95</v>
      </c>
      <c r="E104" s="7">
        <v>55</v>
      </c>
      <c r="F104" s="8">
        <v>45</v>
      </c>
      <c r="G104" s="1">
        <v>325</v>
      </c>
      <c r="H104" s="19">
        <v>54.17</v>
      </c>
    </row>
    <row r="105" spans="1:8" x14ac:dyDescent="0.35">
      <c r="A105" s="3">
        <v>50</v>
      </c>
      <c r="B105" s="4">
        <v>60</v>
      </c>
      <c r="C105" s="5">
        <v>95</v>
      </c>
      <c r="D105" s="6">
        <v>120</v>
      </c>
      <c r="E105" s="7">
        <v>70</v>
      </c>
      <c r="F105" s="8">
        <v>70</v>
      </c>
      <c r="G105" s="1">
        <v>465</v>
      </c>
      <c r="H105" s="19">
        <v>77.5</v>
      </c>
    </row>
    <row r="106" spans="1:8" x14ac:dyDescent="0.35">
      <c r="A106" s="3">
        <v>52</v>
      </c>
      <c r="B106" s="4">
        <v>90</v>
      </c>
      <c r="C106" s="5">
        <v>55</v>
      </c>
      <c r="D106" s="6">
        <v>58</v>
      </c>
      <c r="E106" s="7">
        <v>62</v>
      </c>
      <c r="F106" s="8">
        <v>60</v>
      </c>
      <c r="G106" s="1">
        <v>377</v>
      </c>
      <c r="H106" s="19">
        <v>62.83</v>
      </c>
    </row>
    <row r="107" spans="1:8" x14ac:dyDescent="0.35">
      <c r="A107" s="3">
        <v>35</v>
      </c>
      <c r="B107" s="4">
        <v>85</v>
      </c>
      <c r="C107" s="5">
        <v>45</v>
      </c>
      <c r="D107" s="6">
        <v>35</v>
      </c>
      <c r="E107" s="7">
        <v>35</v>
      </c>
      <c r="F107" s="8">
        <v>75</v>
      </c>
      <c r="G107" s="1">
        <v>310</v>
      </c>
      <c r="H107" s="19">
        <v>51.67</v>
      </c>
    </row>
    <row r="108" spans="1:8" x14ac:dyDescent="0.35">
      <c r="A108" s="3">
        <v>60</v>
      </c>
      <c r="B108" s="4">
        <v>110</v>
      </c>
      <c r="C108" s="5">
        <v>70</v>
      </c>
      <c r="D108" s="6">
        <v>60</v>
      </c>
      <c r="E108" s="7">
        <v>60</v>
      </c>
      <c r="F108" s="8">
        <v>110</v>
      </c>
      <c r="G108" s="1">
        <v>470</v>
      </c>
      <c r="H108" s="19">
        <v>78.33</v>
      </c>
    </row>
    <row r="109" spans="1:8" x14ac:dyDescent="0.35">
      <c r="A109" s="3">
        <v>65</v>
      </c>
      <c r="B109" s="4">
        <v>45</v>
      </c>
      <c r="C109" s="5">
        <v>55</v>
      </c>
      <c r="D109" s="6">
        <v>45</v>
      </c>
      <c r="E109" s="7">
        <v>70</v>
      </c>
      <c r="F109" s="8">
        <v>45</v>
      </c>
      <c r="G109" s="1">
        <v>325</v>
      </c>
      <c r="H109" s="19">
        <v>54.17</v>
      </c>
    </row>
    <row r="110" spans="1:8" x14ac:dyDescent="0.35">
      <c r="A110" s="3">
        <v>90</v>
      </c>
      <c r="B110" s="4">
        <v>70</v>
      </c>
      <c r="C110" s="5">
        <v>80</v>
      </c>
      <c r="D110" s="6">
        <v>70</v>
      </c>
      <c r="E110" s="7">
        <v>95</v>
      </c>
      <c r="F110" s="8">
        <v>70</v>
      </c>
      <c r="G110" s="1">
        <v>475</v>
      </c>
      <c r="H110" s="19">
        <v>79.17</v>
      </c>
    </row>
    <row r="111" spans="1:8" x14ac:dyDescent="0.35">
      <c r="A111" s="3">
        <v>80</v>
      </c>
      <c r="B111" s="4">
        <v>80</v>
      </c>
      <c r="C111" s="5">
        <v>50</v>
      </c>
      <c r="D111" s="6">
        <v>40</v>
      </c>
      <c r="E111" s="7">
        <v>50</v>
      </c>
      <c r="F111" s="8">
        <v>25</v>
      </c>
      <c r="G111" s="1">
        <v>325</v>
      </c>
      <c r="H111" s="19">
        <v>54.17</v>
      </c>
    </row>
    <row r="112" spans="1:8" x14ac:dyDescent="0.35">
      <c r="A112" s="3">
        <v>80</v>
      </c>
      <c r="B112" s="4">
        <v>80</v>
      </c>
      <c r="C112" s="5">
        <v>50</v>
      </c>
      <c r="D112" s="6">
        <v>40</v>
      </c>
      <c r="E112" s="7">
        <v>50</v>
      </c>
      <c r="F112" s="8">
        <v>25</v>
      </c>
      <c r="G112" s="1">
        <v>325</v>
      </c>
      <c r="H112" s="19">
        <v>54.17</v>
      </c>
    </row>
    <row r="113" spans="1:8" x14ac:dyDescent="0.35">
      <c r="A113" s="3">
        <v>105</v>
      </c>
      <c r="B113" s="4">
        <v>105</v>
      </c>
      <c r="C113" s="5">
        <v>75</v>
      </c>
      <c r="D113" s="6">
        <v>65</v>
      </c>
      <c r="E113" s="7">
        <v>100</v>
      </c>
      <c r="F113" s="8">
        <v>50</v>
      </c>
      <c r="G113" s="1">
        <v>500</v>
      </c>
      <c r="H113" s="19">
        <v>83.33</v>
      </c>
    </row>
    <row r="114" spans="1:8" x14ac:dyDescent="0.35">
      <c r="A114" s="39">
        <v>105</v>
      </c>
      <c r="B114" s="4">
        <v>105</v>
      </c>
      <c r="C114" s="5">
        <v>75</v>
      </c>
      <c r="D114" s="6">
        <v>65</v>
      </c>
      <c r="E114" s="7">
        <v>100</v>
      </c>
      <c r="F114" s="8">
        <v>50</v>
      </c>
      <c r="G114" s="1">
        <v>500</v>
      </c>
      <c r="H114" s="19">
        <v>83.33</v>
      </c>
    </row>
    <row r="115" spans="1:8" x14ac:dyDescent="0.35">
      <c r="A115" s="3">
        <v>30</v>
      </c>
      <c r="B115" s="4">
        <v>65</v>
      </c>
      <c r="C115" s="5">
        <v>100</v>
      </c>
      <c r="D115" s="6">
        <v>45</v>
      </c>
      <c r="E115" s="7">
        <v>25</v>
      </c>
      <c r="F115" s="8">
        <v>40</v>
      </c>
      <c r="G115" s="1">
        <v>305</v>
      </c>
      <c r="H115" s="19">
        <v>50.83</v>
      </c>
    </row>
    <row r="116" spans="1:8" x14ac:dyDescent="0.35">
      <c r="A116" s="3">
        <v>50</v>
      </c>
      <c r="B116" s="4">
        <v>95</v>
      </c>
      <c r="C116" s="5">
        <v>180</v>
      </c>
      <c r="D116" s="6">
        <v>85</v>
      </c>
      <c r="E116" s="7">
        <v>45</v>
      </c>
      <c r="F116" s="8">
        <v>70</v>
      </c>
      <c r="G116" s="1">
        <v>525</v>
      </c>
      <c r="H116" s="19">
        <v>87.5</v>
      </c>
    </row>
    <row r="117" spans="1:8" x14ac:dyDescent="0.35">
      <c r="A117" s="3">
        <v>30</v>
      </c>
      <c r="B117" s="4">
        <v>35</v>
      </c>
      <c r="C117" s="5">
        <v>30</v>
      </c>
      <c r="D117" s="6">
        <v>100</v>
      </c>
      <c r="E117" s="7">
        <v>35</v>
      </c>
      <c r="F117" s="8">
        <v>80</v>
      </c>
      <c r="G117" s="1">
        <v>310</v>
      </c>
      <c r="H117" s="19">
        <v>51.67</v>
      </c>
    </row>
    <row r="118" spans="1:8" x14ac:dyDescent="0.35">
      <c r="A118" s="3">
        <v>45</v>
      </c>
      <c r="B118" s="4">
        <v>50</v>
      </c>
      <c r="C118" s="5">
        <v>45</v>
      </c>
      <c r="D118" s="6">
        <v>115</v>
      </c>
      <c r="E118" s="7">
        <v>55</v>
      </c>
      <c r="F118" s="8">
        <v>95</v>
      </c>
      <c r="G118" s="1">
        <v>405</v>
      </c>
      <c r="H118" s="19">
        <v>67.5</v>
      </c>
    </row>
    <row r="119" spans="1:8" x14ac:dyDescent="0.35">
      <c r="A119" s="3">
        <v>60</v>
      </c>
      <c r="B119" s="4">
        <v>65</v>
      </c>
      <c r="C119" s="5">
        <v>60</v>
      </c>
      <c r="D119" s="6">
        <v>130</v>
      </c>
      <c r="E119" s="7">
        <v>75</v>
      </c>
      <c r="F119" s="8">
        <v>110</v>
      </c>
      <c r="G119" s="1">
        <v>500</v>
      </c>
      <c r="H119" s="19">
        <v>83.33</v>
      </c>
    </row>
    <row r="120" spans="1:8" x14ac:dyDescent="0.35">
      <c r="A120" s="3">
        <v>60</v>
      </c>
      <c r="B120" s="4">
        <v>65</v>
      </c>
      <c r="C120" s="5">
        <v>80</v>
      </c>
      <c r="D120" s="6">
        <v>170</v>
      </c>
      <c r="E120" s="7">
        <v>95</v>
      </c>
      <c r="F120" s="8">
        <v>130</v>
      </c>
      <c r="G120" s="1">
        <v>600</v>
      </c>
      <c r="H120" s="19">
        <v>100</v>
      </c>
    </row>
    <row r="121" spans="1:8" x14ac:dyDescent="0.35">
      <c r="A121" s="3">
        <v>35</v>
      </c>
      <c r="B121" s="4">
        <v>45</v>
      </c>
      <c r="C121" s="5">
        <v>160</v>
      </c>
      <c r="D121" s="6">
        <v>30</v>
      </c>
      <c r="E121" s="7">
        <v>45</v>
      </c>
      <c r="F121" s="8">
        <v>70</v>
      </c>
      <c r="G121" s="1">
        <v>385</v>
      </c>
      <c r="H121" s="19">
        <v>64.17</v>
      </c>
    </row>
    <row r="122" spans="1:8" x14ac:dyDescent="0.35">
      <c r="A122" s="3">
        <v>60</v>
      </c>
      <c r="B122" s="4">
        <v>48</v>
      </c>
      <c r="C122" s="5">
        <v>45</v>
      </c>
      <c r="D122" s="6">
        <v>43</v>
      </c>
      <c r="E122" s="7">
        <v>90</v>
      </c>
      <c r="F122" s="8">
        <v>42</v>
      </c>
      <c r="G122" s="1">
        <v>328</v>
      </c>
      <c r="H122" s="19">
        <v>54.67</v>
      </c>
    </row>
    <row r="123" spans="1:8" x14ac:dyDescent="0.35">
      <c r="A123" s="3">
        <v>85</v>
      </c>
      <c r="B123" s="4">
        <v>73</v>
      </c>
      <c r="C123" s="5">
        <v>70</v>
      </c>
      <c r="D123" s="6">
        <v>73</v>
      </c>
      <c r="E123" s="7">
        <v>115</v>
      </c>
      <c r="F123" s="8">
        <v>67</v>
      </c>
      <c r="G123" s="1">
        <v>483</v>
      </c>
      <c r="H123" s="19">
        <v>80.5</v>
      </c>
    </row>
    <row r="124" spans="1:8" x14ac:dyDescent="0.35">
      <c r="A124" s="3">
        <v>30</v>
      </c>
      <c r="B124" s="4">
        <v>105</v>
      </c>
      <c r="C124" s="5">
        <v>90</v>
      </c>
      <c r="D124" s="6">
        <v>25</v>
      </c>
      <c r="E124" s="7">
        <v>25</v>
      </c>
      <c r="F124" s="8">
        <v>50</v>
      </c>
      <c r="G124" s="1">
        <v>325</v>
      </c>
      <c r="H124" s="19">
        <v>54.17</v>
      </c>
    </row>
    <row r="125" spans="1:8" x14ac:dyDescent="0.35">
      <c r="A125" s="3">
        <v>55</v>
      </c>
      <c r="B125" s="4">
        <v>130</v>
      </c>
      <c r="C125" s="5">
        <v>115</v>
      </c>
      <c r="D125" s="6">
        <v>50</v>
      </c>
      <c r="E125" s="7">
        <v>50</v>
      </c>
      <c r="F125" s="8">
        <v>75</v>
      </c>
      <c r="G125" s="1">
        <v>475</v>
      </c>
      <c r="H125" s="19">
        <v>79.17</v>
      </c>
    </row>
    <row r="126" spans="1:8" x14ac:dyDescent="0.35">
      <c r="A126" s="3">
        <v>40</v>
      </c>
      <c r="B126" s="4">
        <v>30</v>
      </c>
      <c r="C126" s="5">
        <v>50</v>
      </c>
      <c r="D126" s="6">
        <v>55</v>
      </c>
      <c r="E126" s="7">
        <v>55</v>
      </c>
      <c r="F126" s="8">
        <v>100</v>
      </c>
      <c r="G126" s="1">
        <v>330</v>
      </c>
      <c r="H126" s="19">
        <v>55</v>
      </c>
    </row>
    <row r="127" spans="1:8" x14ac:dyDescent="0.35">
      <c r="A127" s="3">
        <v>60</v>
      </c>
      <c r="B127" s="4">
        <v>50</v>
      </c>
      <c r="C127" s="5">
        <v>70</v>
      </c>
      <c r="D127" s="6">
        <v>80</v>
      </c>
      <c r="E127" s="7">
        <v>80</v>
      </c>
      <c r="F127" s="8">
        <v>150</v>
      </c>
      <c r="G127" s="1">
        <v>490</v>
      </c>
      <c r="H127" s="19">
        <v>81.67</v>
      </c>
    </row>
    <row r="128" spans="1:8" x14ac:dyDescent="0.35">
      <c r="A128" s="3">
        <v>60</v>
      </c>
      <c r="B128" s="4">
        <v>40</v>
      </c>
      <c r="C128" s="5">
        <v>80</v>
      </c>
      <c r="D128" s="6">
        <v>60</v>
      </c>
      <c r="E128" s="7">
        <v>45</v>
      </c>
      <c r="F128" s="8">
        <v>40</v>
      </c>
      <c r="G128" s="1">
        <v>325</v>
      </c>
      <c r="H128" s="19">
        <v>54.17</v>
      </c>
    </row>
    <row r="129" spans="1:8" x14ac:dyDescent="0.35">
      <c r="A129" s="3">
        <v>95</v>
      </c>
      <c r="B129" s="4">
        <v>95</v>
      </c>
      <c r="C129" s="5">
        <v>85</v>
      </c>
      <c r="D129" s="6">
        <v>125</v>
      </c>
      <c r="E129" s="7">
        <v>75</v>
      </c>
      <c r="F129" s="8">
        <v>55</v>
      </c>
      <c r="G129" s="1">
        <v>530</v>
      </c>
      <c r="H129" s="19">
        <v>88.33</v>
      </c>
    </row>
    <row r="130" spans="1:8" x14ac:dyDescent="0.35">
      <c r="A130" s="3">
        <v>95</v>
      </c>
      <c r="B130" s="4">
        <v>105</v>
      </c>
      <c r="C130" s="5">
        <v>85</v>
      </c>
      <c r="D130" s="6">
        <v>125</v>
      </c>
      <c r="E130" s="7">
        <v>75</v>
      </c>
      <c r="F130" s="8">
        <v>45</v>
      </c>
      <c r="G130" s="1">
        <v>530</v>
      </c>
      <c r="H130" s="19">
        <v>88.33</v>
      </c>
    </row>
    <row r="131" spans="1:8" x14ac:dyDescent="0.35">
      <c r="A131" s="3">
        <v>50</v>
      </c>
      <c r="B131" s="40">
        <v>50</v>
      </c>
      <c r="C131" s="5">
        <v>95</v>
      </c>
      <c r="D131" s="6">
        <v>40</v>
      </c>
      <c r="E131" s="7">
        <v>50</v>
      </c>
      <c r="F131" s="8">
        <v>35</v>
      </c>
      <c r="G131" s="1">
        <v>320</v>
      </c>
      <c r="H131" s="19">
        <v>53.33</v>
      </c>
    </row>
    <row r="132" spans="1:8" x14ac:dyDescent="0.35">
      <c r="A132" s="3">
        <v>60</v>
      </c>
      <c r="B132" s="4">
        <v>80</v>
      </c>
      <c r="C132" s="5">
        <v>110</v>
      </c>
      <c r="D132" s="6">
        <v>50</v>
      </c>
      <c r="E132" s="7">
        <v>80</v>
      </c>
      <c r="F132" s="8">
        <v>45</v>
      </c>
      <c r="G132" s="1">
        <v>425</v>
      </c>
      <c r="H132" s="19">
        <v>70.83</v>
      </c>
    </row>
    <row r="133" spans="1:8" x14ac:dyDescent="0.35">
      <c r="A133" s="3">
        <v>60</v>
      </c>
      <c r="B133" s="4">
        <v>80</v>
      </c>
      <c r="C133" s="5">
        <v>110</v>
      </c>
      <c r="D133" s="6">
        <v>50</v>
      </c>
      <c r="E133" s="7">
        <v>80</v>
      </c>
      <c r="F133" s="8">
        <v>45</v>
      </c>
      <c r="G133" s="1">
        <v>425</v>
      </c>
      <c r="H133" s="19">
        <v>70.83</v>
      </c>
    </row>
    <row r="134" spans="1:8" x14ac:dyDescent="0.35">
      <c r="A134" s="3">
        <v>50</v>
      </c>
      <c r="B134" s="4">
        <v>120</v>
      </c>
      <c r="C134" s="5">
        <v>53</v>
      </c>
      <c r="D134" s="6">
        <v>35</v>
      </c>
      <c r="E134" s="7">
        <v>110</v>
      </c>
      <c r="F134" s="8">
        <v>87</v>
      </c>
      <c r="G134" s="1">
        <v>455</v>
      </c>
      <c r="H134" s="19">
        <v>75.83</v>
      </c>
    </row>
    <row r="135" spans="1:8" x14ac:dyDescent="0.35">
      <c r="A135" s="3">
        <v>50</v>
      </c>
      <c r="B135" s="4">
        <v>105</v>
      </c>
      <c r="C135" s="5">
        <v>79</v>
      </c>
      <c r="D135" s="6">
        <v>35</v>
      </c>
      <c r="E135" s="7">
        <v>110</v>
      </c>
      <c r="F135" s="8">
        <v>76</v>
      </c>
      <c r="G135" s="1">
        <v>455</v>
      </c>
      <c r="H135" s="19">
        <v>75.83</v>
      </c>
    </row>
    <row r="136" spans="1:8" x14ac:dyDescent="0.35">
      <c r="A136" s="3">
        <v>90</v>
      </c>
      <c r="B136" s="4">
        <v>55</v>
      </c>
      <c r="C136" s="5">
        <v>75</v>
      </c>
      <c r="D136" s="6">
        <v>60</v>
      </c>
      <c r="E136" s="7">
        <v>75</v>
      </c>
      <c r="F136" s="8">
        <v>30</v>
      </c>
      <c r="G136" s="1">
        <v>385</v>
      </c>
      <c r="H136" s="19">
        <v>64.17</v>
      </c>
    </row>
    <row r="137" spans="1:8" x14ac:dyDescent="0.35">
      <c r="A137" s="3">
        <v>40</v>
      </c>
      <c r="B137" s="4">
        <v>65</v>
      </c>
      <c r="C137" s="5">
        <v>95</v>
      </c>
      <c r="D137" s="6">
        <v>60</v>
      </c>
      <c r="E137" s="7">
        <v>45</v>
      </c>
      <c r="F137" s="8">
        <v>35</v>
      </c>
      <c r="G137" s="1">
        <v>340</v>
      </c>
      <c r="H137" s="19">
        <v>56.67</v>
      </c>
    </row>
    <row r="138" spans="1:8" x14ac:dyDescent="0.35">
      <c r="A138" s="3">
        <v>65</v>
      </c>
      <c r="B138" s="4">
        <v>90</v>
      </c>
      <c r="C138" s="5">
        <v>120</v>
      </c>
      <c r="D138" s="6">
        <v>85</v>
      </c>
      <c r="E138" s="7">
        <v>70</v>
      </c>
      <c r="F138" s="8">
        <v>60</v>
      </c>
      <c r="G138" s="1">
        <v>490</v>
      </c>
      <c r="H138" s="19">
        <v>81.67</v>
      </c>
    </row>
    <row r="139" spans="1:8" x14ac:dyDescent="0.35">
      <c r="A139" s="3">
        <v>80</v>
      </c>
      <c r="B139" s="4">
        <v>85</v>
      </c>
      <c r="C139" s="5">
        <v>95</v>
      </c>
      <c r="D139" s="6">
        <v>30</v>
      </c>
      <c r="E139" s="7">
        <v>30</v>
      </c>
      <c r="F139" s="8">
        <v>25</v>
      </c>
      <c r="G139" s="1">
        <v>345</v>
      </c>
      <c r="H139" s="19">
        <v>57.5</v>
      </c>
    </row>
    <row r="140" spans="1:8" x14ac:dyDescent="0.35">
      <c r="A140" s="3">
        <v>105</v>
      </c>
      <c r="B140" s="4">
        <v>130</v>
      </c>
      <c r="C140" s="5">
        <v>120</v>
      </c>
      <c r="D140" s="6">
        <v>45</v>
      </c>
      <c r="E140" s="7">
        <v>45</v>
      </c>
      <c r="F140" s="8">
        <v>40</v>
      </c>
      <c r="G140" s="1">
        <v>485</v>
      </c>
      <c r="H140" s="19">
        <v>80.83</v>
      </c>
    </row>
    <row r="141" spans="1:8" x14ac:dyDescent="0.35">
      <c r="A141" s="3">
        <v>250</v>
      </c>
      <c r="B141" s="4">
        <v>5</v>
      </c>
      <c r="C141" s="5">
        <v>5</v>
      </c>
      <c r="D141" s="6">
        <v>35</v>
      </c>
      <c r="E141" s="7">
        <v>105</v>
      </c>
      <c r="F141" s="8">
        <v>50</v>
      </c>
      <c r="G141" s="1">
        <v>450</v>
      </c>
      <c r="H141" s="19">
        <v>75</v>
      </c>
    </row>
    <row r="142" spans="1:8" x14ac:dyDescent="0.35">
      <c r="A142" s="3">
        <v>65</v>
      </c>
      <c r="B142" s="4">
        <v>55</v>
      </c>
      <c r="C142" s="5">
        <v>115</v>
      </c>
      <c r="D142" s="6">
        <v>100</v>
      </c>
      <c r="E142" s="7">
        <v>40</v>
      </c>
      <c r="F142" s="8">
        <v>60</v>
      </c>
      <c r="G142" s="1">
        <v>435</v>
      </c>
      <c r="H142" s="19">
        <v>72.5</v>
      </c>
    </row>
    <row r="143" spans="1:8" x14ac:dyDescent="0.35">
      <c r="A143" s="3">
        <v>105</v>
      </c>
      <c r="B143" s="4">
        <v>95</v>
      </c>
      <c r="C143" s="5">
        <v>80</v>
      </c>
      <c r="D143" s="6">
        <v>40</v>
      </c>
      <c r="E143" s="7">
        <v>80</v>
      </c>
      <c r="F143" s="8">
        <v>90</v>
      </c>
      <c r="G143" s="1">
        <v>490</v>
      </c>
      <c r="H143" s="19">
        <v>81.67</v>
      </c>
    </row>
    <row r="144" spans="1:8" x14ac:dyDescent="0.35">
      <c r="A144" s="3">
        <v>105</v>
      </c>
      <c r="B144" s="4">
        <v>125</v>
      </c>
      <c r="C144" s="5">
        <v>100</v>
      </c>
      <c r="D144" s="6">
        <v>60</v>
      </c>
      <c r="E144" s="7">
        <v>100</v>
      </c>
      <c r="F144" s="8">
        <v>100</v>
      </c>
      <c r="G144" s="1">
        <v>590</v>
      </c>
      <c r="H144" s="19">
        <v>98.33</v>
      </c>
    </row>
    <row r="145" spans="1:8" x14ac:dyDescent="0.35">
      <c r="A145" s="3">
        <v>30</v>
      </c>
      <c r="B145" s="4">
        <v>40</v>
      </c>
      <c r="C145" s="5">
        <v>70</v>
      </c>
      <c r="D145" s="6">
        <v>70</v>
      </c>
      <c r="E145" s="7">
        <v>25</v>
      </c>
      <c r="F145" s="8">
        <v>60</v>
      </c>
      <c r="G145" s="1">
        <v>295</v>
      </c>
      <c r="H145" s="19">
        <v>49.17</v>
      </c>
    </row>
    <row r="146" spans="1:8" x14ac:dyDescent="0.35">
      <c r="A146" s="3">
        <v>55</v>
      </c>
      <c r="B146" s="4">
        <v>65</v>
      </c>
      <c r="C146" s="5">
        <v>95</v>
      </c>
      <c r="D146" s="6">
        <v>95</v>
      </c>
      <c r="E146" s="7">
        <v>45</v>
      </c>
      <c r="F146" s="8">
        <v>85</v>
      </c>
      <c r="G146" s="1">
        <v>440</v>
      </c>
      <c r="H146" s="19">
        <v>73.33</v>
      </c>
    </row>
    <row r="147" spans="1:8" x14ac:dyDescent="0.35">
      <c r="A147" s="3">
        <v>45</v>
      </c>
      <c r="B147" s="4">
        <v>67</v>
      </c>
      <c r="C147" s="5">
        <v>60</v>
      </c>
      <c r="D147" s="6">
        <v>35</v>
      </c>
      <c r="E147" s="7">
        <v>50</v>
      </c>
      <c r="F147" s="8">
        <v>63</v>
      </c>
      <c r="G147" s="1">
        <v>320</v>
      </c>
      <c r="H147" s="19">
        <v>53.33</v>
      </c>
    </row>
    <row r="148" spans="1:8" x14ac:dyDescent="0.35">
      <c r="A148" s="3">
        <v>80</v>
      </c>
      <c r="B148" s="4">
        <v>92</v>
      </c>
      <c r="C148" s="5">
        <v>65</v>
      </c>
      <c r="D148" s="6">
        <v>65</v>
      </c>
      <c r="E148" s="7">
        <v>80</v>
      </c>
      <c r="F148" s="8">
        <v>68</v>
      </c>
      <c r="G148" s="1">
        <v>450</v>
      </c>
      <c r="H148" s="19">
        <v>75</v>
      </c>
    </row>
    <row r="149" spans="1:8" x14ac:dyDescent="0.35">
      <c r="A149" s="3">
        <v>30</v>
      </c>
      <c r="B149" s="4">
        <v>45</v>
      </c>
      <c r="C149" s="5">
        <v>55</v>
      </c>
      <c r="D149" s="6">
        <v>70</v>
      </c>
      <c r="E149" s="7">
        <v>55</v>
      </c>
      <c r="F149" s="8">
        <v>85</v>
      </c>
      <c r="G149" s="1">
        <v>340</v>
      </c>
      <c r="H149" s="19">
        <v>56.67</v>
      </c>
    </row>
    <row r="150" spans="1:8" x14ac:dyDescent="0.35">
      <c r="A150" s="3">
        <v>60</v>
      </c>
      <c r="B150" s="4">
        <v>75</v>
      </c>
      <c r="C150" s="5">
        <v>85</v>
      </c>
      <c r="D150" s="6">
        <v>100</v>
      </c>
      <c r="E150" s="7">
        <v>85</v>
      </c>
      <c r="F150" s="8">
        <v>115</v>
      </c>
      <c r="G150" s="1">
        <v>520</v>
      </c>
      <c r="H150" s="19">
        <v>86.67</v>
      </c>
    </row>
    <row r="151" spans="1:8" x14ac:dyDescent="0.35">
      <c r="A151" s="3">
        <v>40</v>
      </c>
      <c r="B151" s="4">
        <v>45</v>
      </c>
      <c r="C151" s="5">
        <v>65</v>
      </c>
      <c r="D151" s="6">
        <v>100</v>
      </c>
      <c r="E151" s="7">
        <v>120</v>
      </c>
      <c r="F151" s="8">
        <v>90</v>
      </c>
      <c r="G151" s="1">
        <v>460</v>
      </c>
      <c r="H151" s="19">
        <v>76.67</v>
      </c>
    </row>
    <row r="152" spans="1:8" x14ac:dyDescent="0.35">
      <c r="A152" s="3">
        <v>70</v>
      </c>
      <c r="B152" s="4">
        <v>110</v>
      </c>
      <c r="C152" s="5">
        <v>80</v>
      </c>
      <c r="D152" s="6">
        <v>55</v>
      </c>
      <c r="E152" s="7">
        <v>80</v>
      </c>
      <c r="F152" s="8">
        <v>105</v>
      </c>
      <c r="G152" s="1">
        <v>500</v>
      </c>
      <c r="H152" s="19">
        <v>83.33</v>
      </c>
    </row>
    <row r="153" spans="1:8" x14ac:dyDescent="0.35">
      <c r="A153" s="3">
        <v>65</v>
      </c>
      <c r="B153" s="4">
        <v>50</v>
      </c>
      <c r="C153" s="5">
        <v>35</v>
      </c>
      <c r="D153" s="6">
        <v>115</v>
      </c>
      <c r="E153" s="7">
        <v>95</v>
      </c>
      <c r="F153" s="8">
        <v>95</v>
      </c>
      <c r="G153" s="1">
        <v>455</v>
      </c>
      <c r="H153" s="19">
        <v>75.83</v>
      </c>
    </row>
    <row r="154" spans="1:8" x14ac:dyDescent="0.35">
      <c r="A154" s="3">
        <v>65</v>
      </c>
      <c r="B154" s="4">
        <v>83</v>
      </c>
      <c r="C154" s="5">
        <v>57</v>
      </c>
      <c r="D154" s="6">
        <v>95</v>
      </c>
      <c r="E154" s="7">
        <v>85</v>
      </c>
      <c r="F154" s="8">
        <v>105</v>
      </c>
      <c r="G154" s="1">
        <v>490</v>
      </c>
      <c r="H154" s="19">
        <v>81.67</v>
      </c>
    </row>
    <row r="155" spans="1:8" x14ac:dyDescent="0.35">
      <c r="A155" s="3">
        <v>65</v>
      </c>
      <c r="B155" s="4">
        <v>95</v>
      </c>
      <c r="C155" s="5">
        <v>57</v>
      </c>
      <c r="D155" s="6">
        <v>100</v>
      </c>
      <c r="E155" s="7">
        <v>85</v>
      </c>
      <c r="F155" s="8">
        <v>93</v>
      </c>
      <c r="G155" s="1">
        <v>495</v>
      </c>
      <c r="H155" s="19">
        <v>82.5</v>
      </c>
    </row>
    <row r="156" spans="1:8" x14ac:dyDescent="0.35">
      <c r="A156" s="3">
        <v>65</v>
      </c>
      <c r="B156" s="4">
        <v>125</v>
      </c>
      <c r="C156" s="5">
        <v>100</v>
      </c>
      <c r="D156" s="6">
        <v>55</v>
      </c>
      <c r="E156" s="7">
        <v>70</v>
      </c>
      <c r="F156" s="8">
        <v>85</v>
      </c>
      <c r="G156" s="1">
        <v>500</v>
      </c>
      <c r="H156" s="19">
        <v>83.33</v>
      </c>
    </row>
    <row r="157" spans="1:8" x14ac:dyDescent="0.35">
      <c r="A157" s="3">
        <v>65</v>
      </c>
      <c r="B157" s="4">
        <v>155</v>
      </c>
      <c r="C157" s="5">
        <v>120</v>
      </c>
      <c r="D157" s="6">
        <v>65</v>
      </c>
      <c r="E157" s="7">
        <v>90</v>
      </c>
      <c r="F157" s="8">
        <v>105</v>
      </c>
      <c r="G157" s="1">
        <v>600</v>
      </c>
      <c r="H157" s="19">
        <v>100</v>
      </c>
    </row>
    <row r="158" spans="1:8" x14ac:dyDescent="0.35">
      <c r="A158" s="3">
        <v>75</v>
      </c>
      <c r="B158" s="4">
        <v>100</v>
      </c>
      <c r="C158" s="5">
        <v>95</v>
      </c>
      <c r="D158" s="6">
        <v>40</v>
      </c>
      <c r="E158" s="7">
        <v>70</v>
      </c>
      <c r="F158" s="8">
        <v>110</v>
      </c>
      <c r="G158" s="1">
        <v>490</v>
      </c>
      <c r="H158" s="19">
        <v>81.67</v>
      </c>
    </row>
    <row r="159" spans="1:8" x14ac:dyDescent="0.35">
      <c r="A159" s="3">
        <v>20</v>
      </c>
      <c r="B159" s="4">
        <v>10</v>
      </c>
      <c r="C159" s="5">
        <v>55</v>
      </c>
      <c r="D159" s="6">
        <v>15</v>
      </c>
      <c r="E159" s="7">
        <v>20</v>
      </c>
      <c r="F159" s="8">
        <v>80</v>
      </c>
      <c r="G159" s="1">
        <v>200</v>
      </c>
      <c r="H159" s="19">
        <v>33.33</v>
      </c>
    </row>
    <row r="160" spans="1:8" x14ac:dyDescent="0.35">
      <c r="A160" s="3">
        <v>95</v>
      </c>
      <c r="B160" s="4">
        <v>125</v>
      </c>
      <c r="C160" s="5">
        <v>79</v>
      </c>
      <c r="D160" s="6">
        <v>60</v>
      </c>
      <c r="E160" s="7">
        <v>100</v>
      </c>
      <c r="F160" s="8">
        <v>81</v>
      </c>
      <c r="G160" s="1">
        <v>540</v>
      </c>
      <c r="H160" s="19">
        <v>90</v>
      </c>
    </row>
    <row r="161" spans="1:8" x14ac:dyDescent="0.35">
      <c r="A161" s="3">
        <v>95</v>
      </c>
      <c r="B161" s="4">
        <v>155</v>
      </c>
      <c r="C161" s="5">
        <v>109</v>
      </c>
      <c r="D161" s="6">
        <v>70</v>
      </c>
      <c r="E161" s="7">
        <v>130</v>
      </c>
      <c r="F161" s="8">
        <v>81</v>
      </c>
      <c r="G161" s="1">
        <v>640</v>
      </c>
      <c r="H161" s="19">
        <v>106.67</v>
      </c>
    </row>
    <row r="162" spans="1:8" x14ac:dyDescent="0.35">
      <c r="A162" s="3">
        <v>130</v>
      </c>
      <c r="B162" s="4">
        <v>85</v>
      </c>
      <c r="C162" s="5">
        <v>80</v>
      </c>
      <c r="D162" s="6">
        <v>85</v>
      </c>
      <c r="E162" s="7">
        <v>95</v>
      </c>
      <c r="F162" s="8">
        <v>60</v>
      </c>
      <c r="G162" s="1">
        <v>535</v>
      </c>
      <c r="H162" s="19">
        <v>89.17</v>
      </c>
    </row>
    <row r="163" spans="1:8" x14ac:dyDescent="0.35">
      <c r="A163" s="3">
        <v>48</v>
      </c>
      <c r="B163" s="4">
        <v>48</v>
      </c>
      <c r="C163" s="41">
        <v>48</v>
      </c>
      <c r="D163" s="6">
        <v>48</v>
      </c>
      <c r="E163" s="7">
        <v>48</v>
      </c>
      <c r="F163" s="8">
        <v>48</v>
      </c>
      <c r="G163" s="1">
        <v>288</v>
      </c>
      <c r="H163" s="19">
        <v>48</v>
      </c>
    </row>
    <row r="164" spans="1:8" x14ac:dyDescent="0.35">
      <c r="A164" s="3">
        <v>55</v>
      </c>
      <c r="B164" s="4">
        <v>55</v>
      </c>
      <c r="C164" s="5">
        <v>50</v>
      </c>
      <c r="D164" s="6">
        <v>45</v>
      </c>
      <c r="E164" s="7">
        <v>65</v>
      </c>
      <c r="F164" s="8">
        <v>55</v>
      </c>
      <c r="G164" s="1">
        <v>325</v>
      </c>
      <c r="H164" s="19">
        <v>54.17</v>
      </c>
    </row>
    <row r="165" spans="1:8" x14ac:dyDescent="0.35">
      <c r="A165" s="3">
        <v>130</v>
      </c>
      <c r="B165" s="4">
        <v>65</v>
      </c>
      <c r="C165" s="5">
        <v>60</v>
      </c>
      <c r="D165" s="6">
        <v>110</v>
      </c>
      <c r="E165" s="7">
        <v>95</v>
      </c>
      <c r="F165" s="8">
        <v>65</v>
      </c>
      <c r="G165" s="1">
        <v>525</v>
      </c>
      <c r="H165" s="19">
        <v>87.5</v>
      </c>
    </row>
    <row r="166" spans="1:8" x14ac:dyDescent="0.35">
      <c r="A166" s="3">
        <v>65</v>
      </c>
      <c r="B166" s="4">
        <v>65</v>
      </c>
      <c r="C166" s="5">
        <v>60</v>
      </c>
      <c r="D166" s="6">
        <v>110</v>
      </c>
      <c r="E166" s="7">
        <v>95</v>
      </c>
      <c r="F166" s="8">
        <v>130</v>
      </c>
      <c r="G166" s="1">
        <v>525</v>
      </c>
      <c r="H166" s="19">
        <v>87.5</v>
      </c>
    </row>
    <row r="167" spans="1:8" x14ac:dyDescent="0.35">
      <c r="A167" s="3">
        <v>65</v>
      </c>
      <c r="B167" s="4">
        <v>130</v>
      </c>
      <c r="C167" s="5">
        <v>60</v>
      </c>
      <c r="D167" s="6">
        <v>95</v>
      </c>
      <c r="E167" s="7">
        <v>110</v>
      </c>
      <c r="F167" s="8">
        <v>65</v>
      </c>
      <c r="G167" s="1">
        <v>525</v>
      </c>
      <c r="H167" s="19">
        <v>87.5</v>
      </c>
    </row>
    <row r="168" spans="1:8" x14ac:dyDescent="0.35">
      <c r="A168" s="3">
        <v>65</v>
      </c>
      <c r="B168" s="4">
        <v>60</v>
      </c>
      <c r="C168" s="5">
        <v>70</v>
      </c>
      <c r="D168" s="6">
        <v>85</v>
      </c>
      <c r="E168" s="7">
        <v>75</v>
      </c>
      <c r="F168" s="8">
        <v>40</v>
      </c>
      <c r="G168" s="1">
        <v>395</v>
      </c>
      <c r="H168" s="19">
        <v>65.83</v>
      </c>
    </row>
    <row r="169" spans="1:8" x14ac:dyDescent="0.35">
      <c r="A169" s="3">
        <v>35</v>
      </c>
      <c r="B169" s="4">
        <v>40</v>
      </c>
      <c r="C169" s="5">
        <v>100</v>
      </c>
      <c r="D169" s="6">
        <v>90</v>
      </c>
      <c r="E169" s="7">
        <v>55</v>
      </c>
      <c r="F169" s="8">
        <v>35</v>
      </c>
      <c r="G169" s="1">
        <v>355</v>
      </c>
      <c r="H169" s="19">
        <v>59.17</v>
      </c>
    </row>
    <row r="170" spans="1:8" x14ac:dyDescent="0.35">
      <c r="A170" s="3">
        <v>70</v>
      </c>
      <c r="B170" s="4">
        <v>60</v>
      </c>
      <c r="C170" s="5">
        <v>125</v>
      </c>
      <c r="D170" s="6">
        <v>115</v>
      </c>
      <c r="E170" s="7">
        <v>70</v>
      </c>
      <c r="F170" s="8">
        <v>55</v>
      </c>
      <c r="G170" s="1">
        <v>495</v>
      </c>
      <c r="H170" s="19">
        <v>82.5</v>
      </c>
    </row>
    <row r="171" spans="1:8" x14ac:dyDescent="0.35">
      <c r="A171" s="3">
        <v>30</v>
      </c>
      <c r="B171" s="4">
        <v>80</v>
      </c>
      <c r="C171" s="5">
        <v>90</v>
      </c>
      <c r="D171" s="6">
        <v>55</v>
      </c>
      <c r="E171" s="7">
        <v>45</v>
      </c>
      <c r="F171" s="8">
        <v>55</v>
      </c>
      <c r="G171" s="1">
        <v>355</v>
      </c>
      <c r="H171" s="19">
        <v>59.17</v>
      </c>
    </row>
    <row r="172" spans="1:8" x14ac:dyDescent="0.35">
      <c r="A172" s="3">
        <v>60</v>
      </c>
      <c r="B172" s="4">
        <v>115</v>
      </c>
      <c r="C172" s="5">
        <v>105</v>
      </c>
      <c r="D172" s="6">
        <v>65</v>
      </c>
      <c r="E172" s="7">
        <v>70</v>
      </c>
      <c r="F172" s="8">
        <v>80</v>
      </c>
      <c r="G172" s="1">
        <v>495</v>
      </c>
      <c r="H172" s="19">
        <v>82.5</v>
      </c>
    </row>
    <row r="173" spans="1:8" x14ac:dyDescent="0.35">
      <c r="A173" s="3">
        <v>80</v>
      </c>
      <c r="B173" s="4">
        <v>105</v>
      </c>
      <c r="C173" s="5">
        <v>65</v>
      </c>
      <c r="D173" s="6">
        <v>60</v>
      </c>
      <c r="E173" s="7">
        <v>75</v>
      </c>
      <c r="F173" s="8">
        <v>130</v>
      </c>
      <c r="G173" s="45">
        <v>515</v>
      </c>
      <c r="H173" s="19">
        <v>85.83</v>
      </c>
    </row>
    <row r="174" spans="1:8" x14ac:dyDescent="0.35">
      <c r="A174" s="3">
        <v>80</v>
      </c>
      <c r="B174" s="4">
        <v>135</v>
      </c>
      <c r="C174" s="5">
        <v>85</v>
      </c>
      <c r="D174" s="6">
        <v>70</v>
      </c>
      <c r="E174" s="7">
        <v>95</v>
      </c>
      <c r="F174" s="8">
        <v>150</v>
      </c>
      <c r="G174" s="1">
        <v>615</v>
      </c>
      <c r="H174" s="19">
        <v>102.5</v>
      </c>
    </row>
    <row r="175" spans="1:8" x14ac:dyDescent="0.35">
      <c r="A175" s="3">
        <v>160</v>
      </c>
      <c r="B175" s="4">
        <v>110</v>
      </c>
      <c r="C175" s="5">
        <v>65</v>
      </c>
      <c r="D175" s="6">
        <v>65</v>
      </c>
      <c r="E175" s="7">
        <v>110</v>
      </c>
      <c r="F175" s="8">
        <v>30</v>
      </c>
      <c r="G175" s="1">
        <v>540</v>
      </c>
      <c r="H175" s="19">
        <v>90</v>
      </c>
    </row>
    <row r="176" spans="1:8" x14ac:dyDescent="0.35">
      <c r="A176" s="3">
        <v>90</v>
      </c>
      <c r="B176" s="4">
        <v>85</v>
      </c>
      <c r="C176" s="5">
        <v>100</v>
      </c>
      <c r="D176" s="6">
        <v>95</v>
      </c>
      <c r="E176" s="7">
        <v>125</v>
      </c>
      <c r="F176" s="8">
        <v>85</v>
      </c>
      <c r="G176" s="1">
        <v>580</v>
      </c>
      <c r="H176" s="19">
        <v>96.67</v>
      </c>
    </row>
    <row r="177" spans="1:8" x14ac:dyDescent="0.35">
      <c r="A177" s="3">
        <v>90</v>
      </c>
      <c r="B177" s="4">
        <v>90</v>
      </c>
      <c r="C177" s="5">
        <v>85</v>
      </c>
      <c r="D177" s="6">
        <v>125</v>
      </c>
      <c r="E177" s="7">
        <v>90</v>
      </c>
      <c r="F177" s="8">
        <v>100</v>
      </c>
      <c r="G177" s="1">
        <v>580</v>
      </c>
      <c r="H177" s="19">
        <v>96.67</v>
      </c>
    </row>
    <row r="178" spans="1:8" x14ac:dyDescent="0.35">
      <c r="A178" s="3">
        <v>90</v>
      </c>
      <c r="B178" s="4">
        <v>100</v>
      </c>
      <c r="C178" s="5">
        <v>90</v>
      </c>
      <c r="D178" s="6">
        <v>125</v>
      </c>
      <c r="E178" s="7">
        <v>85</v>
      </c>
      <c r="F178" s="44">
        <v>90</v>
      </c>
      <c r="G178" s="1">
        <v>580</v>
      </c>
      <c r="H178" s="19">
        <v>96.67</v>
      </c>
    </row>
    <row r="179" spans="1:8" x14ac:dyDescent="0.35">
      <c r="A179" s="3">
        <v>41</v>
      </c>
      <c r="B179" s="4">
        <v>64</v>
      </c>
      <c r="C179" s="5">
        <v>45</v>
      </c>
      <c r="D179" s="6">
        <v>50</v>
      </c>
      <c r="E179" s="7">
        <v>50</v>
      </c>
      <c r="F179" s="8">
        <v>50</v>
      </c>
      <c r="G179" s="1">
        <v>300</v>
      </c>
      <c r="H179" s="19">
        <v>50</v>
      </c>
    </row>
    <row r="180" spans="1:8" x14ac:dyDescent="0.35">
      <c r="A180" s="3">
        <v>61</v>
      </c>
      <c r="B180" s="4">
        <v>84</v>
      </c>
      <c r="C180" s="5">
        <v>65</v>
      </c>
      <c r="D180" s="6">
        <v>70</v>
      </c>
      <c r="E180" s="7">
        <v>70</v>
      </c>
      <c r="F180" s="8">
        <v>70</v>
      </c>
      <c r="G180" s="1">
        <v>420</v>
      </c>
      <c r="H180" s="19">
        <v>70</v>
      </c>
    </row>
    <row r="181" spans="1:8" x14ac:dyDescent="0.35">
      <c r="A181" s="3">
        <v>91</v>
      </c>
      <c r="B181" s="4">
        <v>134</v>
      </c>
      <c r="C181" s="5">
        <v>95</v>
      </c>
      <c r="D181" s="6">
        <v>100</v>
      </c>
      <c r="E181" s="7">
        <v>100</v>
      </c>
      <c r="F181" s="8">
        <v>80</v>
      </c>
      <c r="G181" s="1">
        <v>600</v>
      </c>
      <c r="H181" s="19">
        <v>100</v>
      </c>
    </row>
    <row r="182" spans="1:8" x14ac:dyDescent="0.35">
      <c r="A182" s="3">
        <v>106</v>
      </c>
      <c r="B182" s="4">
        <v>110</v>
      </c>
      <c r="C182" s="5">
        <v>90</v>
      </c>
      <c r="D182" s="6">
        <v>154</v>
      </c>
      <c r="E182" s="7">
        <v>90</v>
      </c>
      <c r="F182" s="8">
        <v>130</v>
      </c>
      <c r="G182" s="1">
        <v>680</v>
      </c>
      <c r="H182" s="19">
        <v>113.33</v>
      </c>
    </row>
    <row r="183" spans="1:8" x14ac:dyDescent="0.35">
      <c r="A183" s="3">
        <v>106</v>
      </c>
      <c r="B183" s="4">
        <v>150</v>
      </c>
      <c r="C183" s="5">
        <v>70</v>
      </c>
      <c r="D183" s="6">
        <v>194</v>
      </c>
      <c r="E183" s="7">
        <v>120</v>
      </c>
      <c r="F183" s="8">
        <v>140</v>
      </c>
      <c r="G183" s="1">
        <v>780</v>
      </c>
      <c r="H183" s="19">
        <v>130</v>
      </c>
    </row>
    <row r="184" spans="1:8" x14ac:dyDescent="0.35">
      <c r="A184" s="39">
        <v>106</v>
      </c>
      <c r="B184" s="4">
        <v>190</v>
      </c>
      <c r="C184" s="5">
        <v>100</v>
      </c>
      <c r="D184" s="6">
        <v>154</v>
      </c>
      <c r="E184" s="7">
        <v>100</v>
      </c>
      <c r="F184" s="8">
        <v>130</v>
      </c>
      <c r="G184" s="1">
        <v>780</v>
      </c>
      <c r="H184" s="19">
        <v>130</v>
      </c>
    </row>
    <row r="185" spans="1:8" x14ac:dyDescent="0.35">
      <c r="A185" s="3">
        <v>100</v>
      </c>
      <c r="B185" s="4">
        <v>100</v>
      </c>
      <c r="C185" s="5">
        <v>100</v>
      </c>
      <c r="D185" s="6">
        <v>100</v>
      </c>
      <c r="E185" s="7">
        <v>100</v>
      </c>
      <c r="F185" s="8">
        <v>100</v>
      </c>
      <c r="G185" s="1">
        <v>600</v>
      </c>
      <c r="H185" s="19">
        <v>100</v>
      </c>
    </row>
    <row r="186" spans="1:8" x14ac:dyDescent="0.35">
      <c r="A186" s="3">
        <v>45</v>
      </c>
      <c r="B186" s="4">
        <v>49</v>
      </c>
      <c r="C186" s="5">
        <v>65</v>
      </c>
      <c r="D186" s="6">
        <v>49</v>
      </c>
      <c r="E186" s="7">
        <v>65</v>
      </c>
      <c r="F186" s="8">
        <v>45</v>
      </c>
      <c r="G186" s="1">
        <v>318</v>
      </c>
      <c r="H186" s="19">
        <v>53</v>
      </c>
    </row>
    <row r="187" spans="1:8" x14ac:dyDescent="0.35">
      <c r="A187" s="3">
        <v>60</v>
      </c>
      <c r="B187" s="4">
        <v>62</v>
      </c>
      <c r="C187" s="5">
        <v>80</v>
      </c>
      <c r="D187" s="6">
        <v>63</v>
      </c>
      <c r="E187" s="7">
        <v>80</v>
      </c>
      <c r="F187" s="8">
        <v>60</v>
      </c>
      <c r="G187" s="1">
        <v>405</v>
      </c>
      <c r="H187" s="19">
        <v>67.5</v>
      </c>
    </row>
    <row r="188" spans="1:8" x14ac:dyDescent="0.35">
      <c r="A188" s="3">
        <v>80</v>
      </c>
      <c r="B188" s="4">
        <v>82</v>
      </c>
      <c r="C188" s="5">
        <v>100</v>
      </c>
      <c r="D188" s="6">
        <v>83</v>
      </c>
      <c r="E188" s="7">
        <v>100</v>
      </c>
      <c r="F188" s="8">
        <v>80</v>
      </c>
      <c r="G188" s="1">
        <v>525</v>
      </c>
      <c r="H188" s="19">
        <v>87.5</v>
      </c>
    </row>
    <row r="189" spans="1:8" x14ac:dyDescent="0.35">
      <c r="A189" s="3">
        <v>39</v>
      </c>
      <c r="B189" s="4">
        <v>52</v>
      </c>
      <c r="C189" s="5">
        <v>43</v>
      </c>
      <c r="D189" s="6">
        <v>60</v>
      </c>
      <c r="E189" s="7">
        <v>50</v>
      </c>
      <c r="F189" s="8">
        <v>65</v>
      </c>
      <c r="G189" s="1">
        <v>309</v>
      </c>
      <c r="H189" s="19">
        <v>51.5</v>
      </c>
    </row>
    <row r="190" spans="1:8" x14ac:dyDescent="0.35">
      <c r="A190" s="3">
        <v>58</v>
      </c>
      <c r="B190" s="4">
        <v>64</v>
      </c>
      <c r="C190" s="5">
        <v>58</v>
      </c>
      <c r="D190" s="6">
        <v>80</v>
      </c>
      <c r="E190" s="7">
        <v>65</v>
      </c>
      <c r="F190" s="8">
        <v>80</v>
      </c>
      <c r="G190" s="1">
        <v>405</v>
      </c>
      <c r="H190" s="19">
        <v>67.5</v>
      </c>
    </row>
    <row r="191" spans="1:8" x14ac:dyDescent="0.35">
      <c r="A191" s="3">
        <v>78</v>
      </c>
      <c r="B191" s="4">
        <v>84</v>
      </c>
      <c r="C191" s="5">
        <v>78</v>
      </c>
      <c r="D191" s="6">
        <v>109</v>
      </c>
      <c r="E191" s="7">
        <v>85</v>
      </c>
      <c r="F191" s="8">
        <v>100</v>
      </c>
      <c r="G191" s="1">
        <v>534</v>
      </c>
      <c r="H191" s="19">
        <v>89</v>
      </c>
    </row>
    <row r="192" spans="1:8" x14ac:dyDescent="0.35">
      <c r="A192" s="3">
        <v>50</v>
      </c>
      <c r="B192" s="4">
        <v>65</v>
      </c>
      <c r="C192" s="5">
        <v>64</v>
      </c>
      <c r="D192" s="6">
        <v>44</v>
      </c>
      <c r="E192" s="7">
        <v>48</v>
      </c>
      <c r="F192" s="8">
        <v>43</v>
      </c>
      <c r="G192" s="1">
        <v>314</v>
      </c>
      <c r="H192" s="19">
        <v>52.33</v>
      </c>
    </row>
    <row r="193" spans="1:8" x14ac:dyDescent="0.35">
      <c r="A193" s="3">
        <v>65</v>
      </c>
      <c r="B193" s="4">
        <v>80</v>
      </c>
      <c r="C193" s="5">
        <v>80</v>
      </c>
      <c r="D193" s="6">
        <v>59</v>
      </c>
      <c r="E193" s="7">
        <v>63</v>
      </c>
      <c r="F193" s="8">
        <v>58</v>
      </c>
      <c r="G193" s="1">
        <v>405</v>
      </c>
      <c r="H193" s="19">
        <v>67.5</v>
      </c>
    </row>
    <row r="194" spans="1:8" x14ac:dyDescent="0.35">
      <c r="A194" s="3">
        <v>85</v>
      </c>
      <c r="B194" s="4">
        <v>105</v>
      </c>
      <c r="C194" s="5">
        <v>100</v>
      </c>
      <c r="D194" s="6">
        <v>79</v>
      </c>
      <c r="E194" s="7">
        <v>83</v>
      </c>
      <c r="F194" s="8">
        <v>78</v>
      </c>
      <c r="G194" s="1">
        <v>530</v>
      </c>
      <c r="H194" s="19">
        <v>88.33</v>
      </c>
    </row>
    <row r="195" spans="1:8" x14ac:dyDescent="0.35">
      <c r="A195" s="3">
        <v>35</v>
      </c>
      <c r="B195" s="4">
        <v>46</v>
      </c>
      <c r="C195" s="5">
        <v>34</v>
      </c>
      <c r="D195" s="6">
        <v>35</v>
      </c>
      <c r="E195" s="7">
        <v>45</v>
      </c>
      <c r="F195" s="8">
        <v>20</v>
      </c>
      <c r="G195" s="1">
        <v>215</v>
      </c>
      <c r="H195" s="19">
        <v>35.83</v>
      </c>
    </row>
    <row r="196" spans="1:8" x14ac:dyDescent="0.35">
      <c r="A196" s="3">
        <v>85</v>
      </c>
      <c r="B196" s="4">
        <v>76</v>
      </c>
      <c r="C196" s="5">
        <v>64</v>
      </c>
      <c r="D196" s="6">
        <v>45</v>
      </c>
      <c r="E196" s="7">
        <v>55</v>
      </c>
      <c r="F196" s="8">
        <v>90</v>
      </c>
      <c r="G196" s="1">
        <v>415</v>
      </c>
      <c r="H196" s="19">
        <v>69.17</v>
      </c>
    </row>
    <row r="197" spans="1:8" x14ac:dyDescent="0.35">
      <c r="A197" s="3">
        <v>60</v>
      </c>
      <c r="B197" s="4">
        <v>30</v>
      </c>
      <c r="C197" s="5">
        <v>30</v>
      </c>
      <c r="D197" s="6">
        <v>36</v>
      </c>
      <c r="E197" s="7">
        <v>56</v>
      </c>
      <c r="F197" s="8">
        <v>50</v>
      </c>
      <c r="G197" s="1">
        <v>262</v>
      </c>
      <c r="H197" s="19">
        <v>43.67</v>
      </c>
    </row>
    <row r="198" spans="1:8" x14ac:dyDescent="0.35">
      <c r="A198" s="3">
        <v>100</v>
      </c>
      <c r="B198" s="4">
        <v>50</v>
      </c>
      <c r="C198" s="5">
        <v>50</v>
      </c>
      <c r="D198" s="6">
        <v>86</v>
      </c>
      <c r="E198" s="7">
        <v>96</v>
      </c>
      <c r="F198" s="8">
        <v>70</v>
      </c>
      <c r="G198" s="1">
        <v>452</v>
      </c>
      <c r="H198" s="19">
        <v>75.33</v>
      </c>
    </row>
    <row r="199" spans="1:8" x14ac:dyDescent="0.35">
      <c r="A199" s="3">
        <v>40</v>
      </c>
      <c r="B199" s="4">
        <v>20</v>
      </c>
      <c r="C199" s="5">
        <v>30</v>
      </c>
      <c r="D199" s="6">
        <v>40</v>
      </c>
      <c r="E199" s="7">
        <v>80</v>
      </c>
      <c r="F199" s="8">
        <v>55</v>
      </c>
      <c r="G199" s="1">
        <v>265</v>
      </c>
      <c r="H199" s="19">
        <v>44.17</v>
      </c>
    </row>
    <row r="200" spans="1:8" x14ac:dyDescent="0.35">
      <c r="A200" s="3">
        <v>55</v>
      </c>
      <c r="B200" s="4">
        <v>35</v>
      </c>
      <c r="C200" s="5">
        <v>50</v>
      </c>
      <c r="D200" s="6">
        <v>55</v>
      </c>
      <c r="E200" s="7">
        <v>110</v>
      </c>
      <c r="F200" s="8">
        <v>85</v>
      </c>
      <c r="G200" s="1">
        <v>390</v>
      </c>
      <c r="H200" s="19">
        <v>65</v>
      </c>
    </row>
    <row r="201" spans="1:8" x14ac:dyDescent="0.35">
      <c r="A201" s="3">
        <v>40</v>
      </c>
      <c r="B201" s="4">
        <v>60</v>
      </c>
      <c r="C201" s="5">
        <v>40</v>
      </c>
      <c r="D201" s="6">
        <v>40</v>
      </c>
      <c r="E201" s="7">
        <v>40</v>
      </c>
      <c r="F201" s="8">
        <v>30</v>
      </c>
      <c r="G201" s="1">
        <v>250</v>
      </c>
      <c r="H201" s="19">
        <v>41.67</v>
      </c>
    </row>
    <row r="202" spans="1:8" x14ac:dyDescent="0.35">
      <c r="A202" s="3">
        <v>70</v>
      </c>
      <c r="B202" s="4">
        <v>90</v>
      </c>
      <c r="C202" s="5">
        <v>70</v>
      </c>
      <c r="D202" s="6">
        <v>60</v>
      </c>
      <c r="E202" s="7">
        <v>70</v>
      </c>
      <c r="F202" s="8">
        <v>40</v>
      </c>
      <c r="G202" s="1">
        <v>400</v>
      </c>
      <c r="H202" s="19">
        <v>66.67</v>
      </c>
    </row>
    <row r="203" spans="1:8" x14ac:dyDescent="0.35">
      <c r="A203" s="3">
        <v>85</v>
      </c>
      <c r="B203" s="4">
        <v>90</v>
      </c>
      <c r="C203" s="5">
        <v>80</v>
      </c>
      <c r="D203" s="6">
        <v>70</v>
      </c>
      <c r="E203" s="7">
        <v>80</v>
      </c>
      <c r="F203" s="8">
        <v>130</v>
      </c>
      <c r="G203" s="1">
        <v>535</v>
      </c>
      <c r="H203" s="19">
        <v>89.17</v>
      </c>
    </row>
    <row r="204" spans="1:8" x14ac:dyDescent="0.35">
      <c r="A204" s="3">
        <v>75</v>
      </c>
      <c r="B204" s="4">
        <v>38</v>
      </c>
      <c r="C204" s="5">
        <v>38</v>
      </c>
      <c r="D204" s="6">
        <v>56</v>
      </c>
      <c r="E204" s="7">
        <v>56</v>
      </c>
      <c r="F204" s="8">
        <v>67</v>
      </c>
      <c r="G204" s="1">
        <v>330</v>
      </c>
      <c r="H204" s="19">
        <v>55</v>
      </c>
    </row>
    <row r="205" spans="1:8" x14ac:dyDescent="0.35">
      <c r="A205" s="3">
        <v>125</v>
      </c>
      <c r="B205" s="4">
        <v>58</v>
      </c>
      <c r="C205" s="5">
        <v>58</v>
      </c>
      <c r="D205" s="6">
        <v>76</v>
      </c>
      <c r="E205" s="7">
        <v>76</v>
      </c>
      <c r="F205" s="8">
        <v>67</v>
      </c>
      <c r="G205" s="1">
        <v>460</v>
      </c>
      <c r="H205" s="19">
        <v>76.67</v>
      </c>
    </row>
    <row r="206" spans="1:8" x14ac:dyDescent="0.35">
      <c r="A206" s="3">
        <v>20</v>
      </c>
      <c r="B206" s="4">
        <v>40</v>
      </c>
      <c r="C206" s="5">
        <v>15</v>
      </c>
      <c r="D206" s="6">
        <v>35</v>
      </c>
      <c r="E206" s="7">
        <v>35</v>
      </c>
      <c r="F206" s="8">
        <v>60</v>
      </c>
      <c r="G206" s="1">
        <v>205</v>
      </c>
      <c r="H206" s="19">
        <v>34.17</v>
      </c>
    </row>
    <row r="207" spans="1:8" x14ac:dyDescent="0.35">
      <c r="A207" s="3">
        <v>50</v>
      </c>
      <c r="B207" s="4">
        <v>25</v>
      </c>
      <c r="C207" s="5">
        <v>28</v>
      </c>
      <c r="D207" s="6">
        <v>45</v>
      </c>
      <c r="E207" s="7">
        <v>55</v>
      </c>
      <c r="F207" s="8">
        <v>15</v>
      </c>
      <c r="G207" s="1">
        <v>218</v>
      </c>
      <c r="H207" s="19">
        <v>36.33</v>
      </c>
    </row>
    <row r="208" spans="1:8" x14ac:dyDescent="0.35">
      <c r="A208" s="3">
        <v>90</v>
      </c>
      <c r="B208" s="4">
        <v>30</v>
      </c>
      <c r="C208" s="5">
        <v>15</v>
      </c>
      <c r="D208" s="6">
        <v>40</v>
      </c>
      <c r="E208" s="7">
        <v>20</v>
      </c>
      <c r="F208" s="8">
        <v>15</v>
      </c>
      <c r="G208" s="1">
        <v>210</v>
      </c>
      <c r="H208" s="19">
        <v>35</v>
      </c>
    </row>
    <row r="209" spans="1:8" x14ac:dyDescent="0.35">
      <c r="A209" s="3">
        <v>35</v>
      </c>
      <c r="B209" s="4">
        <v>20</v>
      </c>
      <c r="C209" s="5">
        <v>65</v>
      </c>
      <c r="D209" s="6">
        <v>40</v>
      </c>
      <c r="E209" s="7">
        <v>65</v>
      </c>
      <c r="F209" s="8">
        <v>20</v>
      </c>
      <c r="G209" s="1">
        <v>245</v>
      </c>
      <c r="H209" s="19">
        <v>40.83</v>
      </c>
    </row>
    <row r="210" spans="1:8" x14ac:dyDescent="0.35">
      <c r="A210" s="3">
        <v>55</v>
      </c>
      <c r="B210" s="4">
        <v>40</v>
      </c>
      <c r="C210" s="5">
        <v>85</v>
      </c>
      <c r="D210" s="6">
        <v>80</v>
      </c>
      <c r="E210" s="7">
        <v>105</v>
      </c>
      <c r="F210" s="8">
        <v>40</v>
      </c>
      <c r="G210" s="1">
        <v>405</v>
      </c>
      <c r="H210" s="19">
        <v>67.5</v>
      </c>
    </row>
    <row r="211" spans="1:8" x14ac:dyDescent="0.35">
      <c r="A211" s="3">
        <v>40</v>
      </c>
      <c r="B211" s="4">
        <v>50</v>
      </c>
      <c r="C211" s="5">
        <v>45</v>
      </c>
      <c r="D211" s="6">
        <v>70</v>
      </c>
      <c r="E211" s="7">
        <v>45</v>
      </c>
      <c r="F211" s="8">
        <v>70</v>
      </c>
      <c r="G211" s="1">
        <v>320</v>
      </c>
      <c r="H211" s="19">
        <v>53.33</v>
      </c>
    </row>
    <row r="212" spans="1:8" x14ac:dyDescent="0.35">
      <c r="A212" s="3">
        <v>65</v>
      </c>
      <c r="B212" s="4">
        <v>75</v>
      </c>
      <c r="C212" s="5">
        <v>70</v>
      </c>
      <c r="D212" s="6">
        <v>95</v>
      </c>
      <c r="E212" s="7">
        <v>70</v>
      </c>
      <c r="F212" s="8">
        <v>95</v>
      </c>
      <c r="G212" s="1">
        <v>470</v>
      </c>
      <c r="H212" s="19">
        <v>78.33</v>
      </c>
    </row>
    <row r="213" spans="1:8" x14ac:dyDescent="0.35">
      <c r="A213" s="3">
        <v>55</v>
      </c>
      <c r="B213" s="4">
        <v>40</v>
      </c>
      <c r="C213" s="5">
        <v>40</v>
      </c>
      <c r="D213" s="6">
        <v>65</v>
      </c>
      <c r="E213" s="7">
        <v>45</v>
      </c>
      <c r="F213" s="8">
        <v>35</v>
      </c>
      <c r="G213" s="1">
        <v>280</v>
      </c>
      <c r="H213" s="19">
        <v>46.67</v>
      </c>
    </row>
    <row r="214" spans="1:8" x14ac:dyDescent="0.35">
      <c r="A214" s="3">
        <v>70</v>
      </c>
      <c r="B214" s="4">
        <v>55</v>
      </c>
      <c r="C214" s="5">
        <v>55</v>
      </c>
      <c r="D214" s="6">
        <v>80</v>
      </c>
      <c r="E214" s="7">
        <v>60</v>
      </c>
      <c r="F214" s="8">
        <v>45</v>
      </c>
      <c r="G214" s="1">
        <v>365</v>
      </c>
      <c r="H214" s="19">
        <v>60.83</v>
      </c>
    </row>
    <row r="215" spans="1:8" x14ac:dyDescent="0.35">
      <c r="A215" s="3">
        <v>90</v>
      </c>
      <c r="B215" s="4">
        <v>75</v>
      </c>
      <c r="C215" s="5">
        <v>85</v>
      </c>
      <c r="D215" s="6">
        <v>115</v>
      </c>
      <c r="E215" s="7">
        <v>90</v>
      </c>
      <c r="F215" s="8">
        <v>55</v>
      </c>
      <c r="G215" s="1">
        <v>510</v>
      </c>
      <c r="H215" s="19">
        <v>85</v>
      </c>
    </row>
    <row r="216" spans="1:8" x14ac:dyDescent="0.35">
      <c r="A216" s="3">
        <v>90</v>
      </c>
      <c r="B216" s="4">
        <v>95</v>
      </c>
      <c r="C216" s="5">
        <v>105</v>
      </c>
      <c r="D216" s="6">
        <v>165</v>
      </c>
      <c r="E216" s="7">
        <v>110</v>
      </c>
      <c r="F216" s="8">
        <v>45</v>
      </c>
      <c r="G216" s="1">
        <v>610</v>
      </c>
      <c r="H216" s="19">
        <v>101.67</v>
      </c>
    </row>
    <row r="217" spans="1:8" x14ac:dyDescent="0.35">
      <c r="A217" s="3">
        <v>75</v>
      </c>
      <c r="B217" s="4">
        <v>80</v>
      </c>
      <c r="C217" s="5">
        <v>95</v>
      </c>
      <c r="D217" s="6">
        <v>90</v>
      </c>
      <c r="E217" s="7">
        <v>100</v>
      </c>
      <c r="F217" s="8">
        <v>50</v>
      </c>
      <c r="G217" s="1">
        <v>490</v>
      </c>
      <c r="H217" s="19">
        <v>81.67</v>
      </c>
    </row>
    <row r="218" spans="1:8" x14ac:dyDescent="0.35">
      <c r="A218" s="3">
        <v>70</v>
      </c>
      <c r="B218" s="4">
        <v>20</v>
      </c>
      <c r="C218" s="5">
        <v>50</v>
      </c>
      <c r="D218" s="6">
        <v>20</v>
      </c>
      <c r="E218" s="7">
        <v>50</v>
      </c>
      <c r="F218" s="8">
        <v>40</v>
      </c>
      <c r="G218" s="1">
        <v>250</v>
      </c>
      <c r="H218" s="19">
        <v>41.67</v>
      </c>
    </row>
    <row r="219" spans="1:8" x14ac:dyDescent="0.35">
      <c r="A219" s="3">
        <v>100</v>
      </c>
      <c r="B219" s="4">
        <v>50</v>
      </c>
      <c r="C219" s="5">
        <v>80</v>
      </c>
      <c r="D219" s="6">
        <v>60</v>
      </c>
      <c r="E219" s="7">
        <v>80</v>
      </c>
      <c r="F219" s="8">
        <v>50</v>
      </c>
      <c r="G219" s="1">
        <v>420</v>
      </c>
      <c r="H219" s="19">
        <v>70</v>
      </c>
    </row>
    <row r="220" spans="1:8" x14ac:dyDescent="0.35">
      <c r="A220" s="3">
        <v>70</v>
      </c>
      <c r="B220" s="4">
        <v>100</v>
      </c>
      <c r="C220" s="5">
        <v>115</v>
      </c>
      <c r="D220" s="6">
        <v>30</v>
      </c>
      <c r="E220" s="7">
        <v>65</v>
      </c>
      <c r="F220" s="8">
        <v>30</v>
      </c>
      <c r="G220" s="1">
        <v>410</v>
      </c>
      <c r="H220" s="19">
        <v>68.33</v>
      </c>
    </row>
    <row r="221" spans="1:8" x14ac:dyDescent="0.35">
      <c r="A221" s="3">
        <v>90</v>
      </c>
      <c r="B221" s="4">
        <v>75</v>
      </c>
      <c r="C221" s="5">
        <v>75</v>
      </c>
      <c r="D221" s="6">
        <v>90</v>
      </c>
      <c r="E221" s="7">
        <v>100</v>
      </c>
      <c r="F221" s="8">
        <v>70</v>
      </c>
      <c r="G221" s="1">
        <v>500</v>
      </c>
      <c r="H221" s="19">
        <v>83.33</v>
      </c>
    </row>
    <row r="222" spans="1:8" x14ac:dyDescent="0.35">
      <c r="A222" s="3">
        <v>35</v>
      </c>
      <c r="B222" s="4">
        <v>35</v>
      </c>
      <c r="C222" s="5">
        <v>40</v>
      </c>
      <c r="D222" s="6">
        <v>35</v>
      </c>
      <c r="E222" s="7">
        <v>55</v>
      </c>
      <c r="F222" s="8">
        <v>50</v>
      </c>
      <c r="G222" s="1">
        <v>250</v>
      </c>
      <c r="H222" s="19">
        <v>41.67</v>
      </c>
    </row>
    <row r="223" spans="1:8" x14ac:dyDescent="0.35">
      <c r="A223" s="3">
        <v>55</v>
      </c>
      <c r="B223" s="4">
        <v>45</v>
      </c>
      <c r="C223" s="5">
        <v>50</v>
      </c>
      <c r="D223" s="6">
        <v>45</v>
      </c>
      <c r="E223" s="7">
        <v>65</v>
      </c>
      <c r="F223" s="8">
        <v>80</v>
      </c>
      <c r="G223" s="1">
        <v>340</v>
      </c>
      <c r="H223" s="19">
        <v>56.67</v>
      </c>
    </row>
    <row r="224" spans="1:8" x14ac:dyDescent="0.35">
      <c r="A224" s="3">
        <v>75</v>
      </c>
      <c r="B224" s="4">
        <v>55</v>
      </c>
      <c r="C224" s="5">
        <v>70</v>
      </c>
      <c r="D224" s="6">
        <v>55</v>
      </c>
      <c r="E224" s="7">
        <v>95</v>
      </c>
      <c r="F224" s="44">
        <v>110</v>
      </c>
      <c r="G224" s="1">
        <v>460</v>
      </c>
      <c r="H224" s="19">
        <v>76.67</v>
      </c>
    </row>
    <row r="225" spans="1:8" x14ac:dyDescent="0.35">
      <c r="A225" s="3">
        <v>55</v>
      </c>
      <c r="B225" s="4">
        <v>70</v>
      </c>
      <c r="C225" s="5">
        <v>55</v>
      </c>
      <c r="D225" s="6">
        <v>40</v>
      </c>
      <c r="E225" s="7">
        <v>55</v>
      </c>
      <c r="F225" s="8">
        <v>85</v>
      </c>
      <c r="G225" s="1">
        <v>360</v>
      </c>
      <c r="H225" s="19">
        <v>60</v>
      </c>
    </row>
    <row r="226" spans="1:8" x14ac:dyDescent="0.35">
      <c r="A226" s="3">
        <v>30</v>
      </c>
      <c r="B226" s="4">
        <v>30</v>
      </c>
      <c r="C226" s="5">
        <v>30</v>
      </c>
      <c r="D226" s="6">
        <v>30</v>
      </c>
      <c r="E226" s="7">
        <v>30</v>
      </c>
      <c r="F226" s="8">
        <v>30</v>
      </c>
      <c r="G226" s="1">
        <v>180</v>
      </c>
      <c r="H226" s="19">
        <v>30</v>
      </c>
    </row>
    <row r="227" spans="1:8" x14ac:dyDescent="0.35">
      <c r="A227" s="3">
        <v>75</v>
      </c>
      <c r="B227" s="4">
        <v>75</v>
      </c>
      <c r="C227" s="5">
        <v>55</v>
      </c>
      <c r="D227" s="6">
        <v>105</v>
      </c>
      <c r="E227" s="7">
        <v>85</v>
      </c>
      <c r="F227" s="8">
        <v>30</v>
      </c>
      <c r="G227" s="1">
        <v>425</v>
      </c>
      <c r="H227" s="19">
        <v>70.83</v>
      </c>
    </row>
    <row r="228" spans="1:8" x14ac:dyDescent="0.35">
      <c r="A228" s="3">
        <v>65</v>
      </c>
      <c r="B228" s="4">
        <v>65</v>
      </c>
      <c r="C228" s="5">
        <v>45</v>
      </c>
      <c r="D228" s="6">
        <v>75</v>
      </c>
      <c r="E228" s="7">
        <v>45</v>
      </c>
      <c r="F228" s="8">
        <v>95</v>
      </c>
      <c r="G228" s="1">
        <v>390</v>
      </c>
      <c r="H228" s="19">
        <v>65</v>
      </c>
    </row>
    <row r="229" spans="1:8" x14ac:dyDescent="0.35">
      <c r="A229" s="3">
        <v>55</v>
      </c>
      <c r="B229" s="4">
        <v>45</v>
      </c>
      <c r="C229" s="5">
        <v>45</v>
      </c>
      <c r="D229" s="6">
        <v>25</v>
      </c>
      <c r="E229" s="7">
        <v>25</v>
      </c>
      <c r="F229" s="8">
        <v>15</v>
      </c>
      <c r="G229" s="1">
        <v>210</v>
      </c>
      <c r="H229" s="19">
        <v>35</v>
      </c>
    </row>
    <row r="230" spans="1:8" x14ac:dyDescent="0.35">
      <c r="A230" s="3">
        <v>95</v>
      </c>
      <c r="B230" s="4">
        <v>85</v>
      </c>
      <c r="C230" s="5">
        <v>85</v>
      </c>
      <c r="D230" s="6">
        <v>65</v>
      </c>
      <c r="E230" s="7">
        <v>65</v>
      </c>
      <c r="F230" s="8">
        <v>35</v>
      </c>
      <c r="G230" s="1">
        <v>430</v>
      </c>
      <c r="H230" s="19">
        <v>71.67</v>
      </c>
    </row>
    <row r="231" spans="1:8" x14ac:dyDescent="0.35">
      <c r="A231" s="3">
        <v>65</v>
      </c>
      <c r="B231" s="4">
        <v>65</v>
      </c>
      <c r="C231" s="5">
        <v>60</v>
      </c>
      <c r="D231" s="6">
        <v>130</v>
      </c>
      <c r="E231" s="7">
        <v>95</v>
      </c>
      <c r="F231" s="8">
        <v>110</v>
      </c>
      <c r="G231" s="1">
        <v>525</v>
      </c>
      <c r="H231" s="19">
        <v>87.5</v>
      </c>
    </row>
    <row r="232" spans="1:8" x14ac:dyDescent="0.35">
      <c r="A232" s="3">
        <v>95</v>
      </c>
      <c r="B232" s="4">
        <v>65</v>
      </c>
      <c r="C232" s="5">
        <v>110</v>
      </c>
      <c r="D232" s="6">
        <v>60</v>
      </c>
      <c r="E232" s="7">
        <v>130</v>
      </c>
      <c r="F232" s="8">
        <v>65</v>
      </c>
      <c r="G232" s="1">
        <v>525</v>
      </c>
      <c r="H232" s="19">
        <v>87.5</v>
      </c>
    </row>
    <row r="233" spans="1:8" x14ac:dyDescent="0.35">
      <c r="A233" s="3">
        <v>60</v>
      </c>
      <c r="B233" s="4">
        <v>85</v>
      </c>
      <c r="C233" s="5">
        <v>42</v>
      </c>
      <c r="D233" s="6">
        <v>85</v>
      </c>
      <c r="E233" s="7">
        <v>42</v>
      </c>
      <c r="F233" s="8">
        <v>91</v>
      </c>
      <c r="G233" s="1">
        <v>405</v>
      </c>
      <c r="H233" s="19">
        <v>67.5</v>
      </c>
    </row>
    <row r="234" spans="1:8" x14ac:dyDescent="0.35">
      <c r="A234" s="3">
        <v>95</v>
      </c>
      <c r="B234" s="4">
        <v>75</v>
      </c>
      <c r="C234" s="5">
        <v>80</v>
      </c>
      <c r="D234" s="6">
        <v>100</v>
      </c>
      <c r="E234" s="7">
        <v>110</v>
      </c>
      <c r="F234" s="8">
        <v>30</v>
      </c>
      <c r="G234" s="1">
        <v>490</v>
      </c>
      <c r="H234" s="19">
        <v>81.67</v>
      </c>
    </row>
    <row r="235" spans="1:8" x14ac:dyDescent="0.35">
      <c r="A235" s="3">
        <v>60</v>
      </c>
      <c r="B235" s="4">
        <v>60</v>
      </c>
      <c r="C235" s="5">
        <v>60</v>
      </c>
      <c r="D235" s="6">
        <v>85</v>
      </c>
      <c r="E235" s="7">
        <v>85</v>
      </c>
      <c r="F235" s="8">
        <v>85</v>
      </c>
      <c r="G235" s="1">
        <v>435</v>
      </c>
      <c r="H235" s="19">
        <v>72.5</v>
      </c>
    </row>
    <row r="236" spans="1:8" x14ac:dyDescent="0.35">
      <c r="A236" s="3">
        <v>48</v>
      </c>
      <c r="B236" s="4">
        <v>72</v>
      </c>
      <c r="C236" s="5">
        <v>48</v>
      </c>
      <c r="D236" s="6">
        <v>72</v>
      </c>
      <c r="E236" s="7">
        <v>48</v>
      </c>
      <c r="F236" s="8">
        <v>48</v>
      </c>
      <c r="G236" s="1">
        <v>336</v>
      </c>
      <c r="H236" s="19">
        <v>56</v>
      </c>
    </row>
    <row r="237" spans="1:8" x14ac:dyDescent="0.35">
      <c r="A237" s="3">
        <v>190</v>
      </c>
      <c r="B237" s="4">
        <v>33</v>
      </c>
      <c r="C237" s="5">
        <v>58</v>
      </c>
      <c r="D237" s="6">
        <v>33</v>
      </c>
      <c r="E237" s="7">
        <v>58</v>
      </c>
      <c r="F237" s="8">
        <v>33</v>
      </c>
      <c r="G237" s="1">
        <v>405</v>
      </c>
      <c r="H237" s="19">
        <v>67.5</v>
      </c>
    </row>
    <row r="238" spans="1:8" x14ac:dyDescent="0.35">
      <c r="A238" s="3">
        <v>70</v>
      </c>
      <c r="B238" s="4">
        <v>80</v>
      </c>
      <c r="C238" s="5">
        <v>65</v>
      </c>
      <c r="D238" s="6">
        <v>90</v>
      </c>
      <c r="E238" s="7">
        <v>65</v>
      </c>
      <c r="F238" s="8">
        <v>85</v>
      </c>
      <c r="G238" s="1">
        <v>455</v>
      </c>
      <c r="H238" s="19">
        <v>75.83</v>
      </c>
    </row>
    <row r="239" spans="1:8" x14ac:dyDescent="0.35">
      <c r="A239" s="3">
        <v>50</v>
      </c>
      <c r="B239" s="4">
        <v>65</v>
      </c>
      <c r="C239" s="5">
        <v>90</v>
      </c>
      <c r="D239" s="6">
        <v>35</v>
      </c>
      <c r="E239" s="7">
        <v>35</v>
      </c>
      <c r="F239" s="8">
        <v>15</v>
      </c>
      <c r="G239" s="1">
        <v>290</v>
      </c>
      <c r="H239" s="19">
        <v>48.33</v>
      </c>
    </row>
    <row r="240" spans="1:8" x14ac:dyDescent="0.35">
      <c r="A240" s="3">
        <v>75</v>
      </c>
      <c r="B240" s="4">
        <v>90</v>
      </c>
      <c r="C240" s="5">
        <v>140</v>
      </c>
      <c r="D240" s="6">
        <v>60</v>
      </c>
      <c r="E240" s="7">
        <v>60</v>
      </c>
      <c r="F240" s="8">
        <v>40</v>
      </c>
      <c r="G240" s="1">
        <v>465</v>
      </c>
      <c r="H240" s="19">
        <v>77.5</v>
      </c>
    </row>
    <row r="241" spans="1:8" x14ac:dyDescent="0.35">
      <c r="A241" s="3">
        <v>100</v>
      </c>
      <c r="B241" s="4">
        <v>70</v>
      </c>
      <c r="C241" s="5">
        <v>70</v>
      </c>
      <c r="D241" s="6">
        <v>65</v>
      </c>
      <c r="E241" s="7">
        <v>65</v>
      </c>
      <c r="F241" s="8">
        <v>45</v>
      </c>
      <c r="G241" s="1">
        <v>415</v>
      </c>
      <c r="H241" s="19">
        <v>69.17</v>
      </c>
    </row>
    <row r="242" spans="1:8" x14ac:dyDescent="0.35">
      <c r="A242" s="3">
        <v>65</v>
      </c>
      <c r="B242" s="4">
        <v>75</v>
      </c>
      <c r="C242" s="5">
        <v>105</v>
      </c>
      <c r="D242" s="6">
        <v>35</v>
      </c>
      <c r="E242" s="7">
        <v>65</v>
      </c>
      <c r="F242" s="8">
        <v>85</v>
      </c>
      <c r="G242" s="1">
        <v>430</v>
      </c>
      <c r="H242" s="19">
        <v>71.67</v>
      </c>
    </row>
    <row r="243" spans="1:8" x14ac:dyDescent="0.35">
      <c r="A243" s="3">
        <v>75</v>
      </c>
      <c r="B243" s="4">
        <v>85</v>
      </c>
      <c r="C243" s="5">
        <v>200</v>
      </c>
      <c r="D243" s="6">
        <v>55</v>
      </c>
      <c r="E243" s="7">
        <v>65</v>
      </c>
      <c r="F243" s="8">
        <v>30</v>
      </c>
      <c r="G243" s="1">
        <v>510</v>
      </c>
      <c r="H243" s="19">
        <v>85</v>
      </c>
    </row>
    <row r="244" spans="1:8" x14ac:dyDescent="0.35">
      <c r="A244" s="3">
        <v>75</v>
      </c>
      <c r="B244" s="4">
        <v>125</v>
      </c>
      <c r="C244" s="5">
        <v>230</v>
      </c>
      <c r="D244" s="6">
        <v>55</v>
      </c>
      <c r="E244" s="7">
        <v>95</v>
      </c>
      <c r="F244" s="8">
        <v>30</v>
      </c>
      <c r="G244" s="1">
        <v>610</v>
      </c>
      <c r="H244" s="19">
        <v>101.67</v>
      </c>
    </row>
    <row r="245" spans="1:8" x14ac:dyDescent="0.35">
      <c r="A245" s="3">
        <v>60</v>
      </c>
      <c r="B245" s="4">
        <v>80</v>
      </c>
      <c r="C245" s="5">
        <v>50</v>
      </c>
      <c r="D245" s="6">
        <v>40</v>
      </c>
      <c r="E245" s="7">
        <v>40</v>
      </c>
      <c r="F245" s="8">
        <v>30</v>
      </c>
      <c r="G245" s="1">
        <v>300</v>
      </c>
      <c r="H245" s="19">
        <v>50</v>
      </c>
    </row>
    <row r="246" spans="1:8" x14ac:dyDescent="0.35">
      <c r="A246" s="3">
        <v>90</v>
      </c>
      <c r="B246" s="4">
        <v>120</v>
      </c>
      <c r="C246" s="5">
        <v>75</v>
      </c>
      <c r="D246" s="6">
        <v>60</v>
      </c>
      <c r="E246" s="7">
        <v>60</v>
      </c>
      <c r="F246" s="8">
        <v>45</v>
      </c>
      <c r="G246" s="1">
        <v>450</v>
      </c>
      <c r="H246" s="19">
        <v>75</v>
      </c>
    </row>
    <row r="247" spans="1:8" x14ac:dyDescent="0.35">
      <c r="A247" s="3">
        <v>65</v>
      </c>
      <c r="B247" s="4">
        <v>95</v>
      </c>
      <c r="C247" s="5">
        <v>85</v>
      </c>
      <c r="D247" s="6">
        <v>55</v>
      </c>
      <c r="E247" s="7">
        <v>55</v>
      </c>
      <c r="F247" s="8">
        <v>85</v>
      </c>
      <c r="G247" s="1">
        <v>440</v>
      </c>
      <c r="H247" s="19">
        <v>73.33</v>
      </c>
    </row>
    <row r="248" spans="1:8" x14ac:dyDescent="0.35">
      <c r="A248" s="3">
        <v>70</v>
      </c>
      <c r="B248" s="4">
        <v>130</v>
      </c>
      <c r="C248" s="5">
        <v>100</v>
      </c>
      <c r="D248" s="6">
        <v>55</v>
      </c>
      <c r="E248" s="7">
        <v>80</v>
      </c>
      <c r="F248" s="8">
        <v>65</v>
      </c>
      <c r="G248" s="1">
        <v>500</v>
      </c>
      <c r="H248" s="19">
        <v>83.33</v>
      </c>
    </row>
    <row r="249" spans="1:8" x14ac:dyDescent="0.35">
      <c r="A249" s="3">
        <v>70</v>
      </c>
      <c r="B249" s="4">
        <v>150</v>
      </c>
      <c r="C249" s="5">
        <v>140</v>
      </c>
      <c r="D249" s="6">
        <v>65</v>
      </c>
      <c r="E249" s="7">
        <v>100</v>
      </c>
      <c r="F249" s="8">
        <v>75</v>
      </c>
      <c r="G249" s="1">
        <v>600</v>
      </c>
      <c r="H249" s="19">
        <v>100</v>
      </c>
    </row>
    <row r="250" spans="1:8" x14ac:dyDescent="0.35">
      <c r="A250" s="3">
        <v>20</v>
      </c>
      <c r="B250" s="4">
        <v>10</v>
      </c>
      <c r="C250" s="5">
        <v>230</v>
      </c>
      <c r="D250" s="6">
        <v>10</v>
      </c>
      <c r="E250" s="7">
        <v>230</v>
      </c>
      <c r="F250" s="8">
        <v>5</v>
      </c>
      <c r="G250" s="1">
        <v>505</v>
      </c>
      <c r="H250" s="19">
        <v>84.17</v>
      </c>
    </row>
    <row r="251" spans="1:8" x14ac:dyDescent="0.35">
      <c r="A251" s="3">
        <v>80</v>
      </c>
      <c r="B251" s="4">
        <v>125</v>
      </c>
      <c r="C251" s="5">
        <v>75</v>
      </c>
      <c r="D251" s="6">
        <v>40</v>
      </c>
      <c r="E251" s="7">
        <v>95</v>
      </c>
      <c r="F251" s="8">
        <v>85</v>
      </c>
      <c r="G251" s="1">
        <v>500</v>
      </c>
      <c r="H251" s="19">
        <v>83.33</v>
      </c>
    </row>
    <row r="252" spans="1:8" x14ac:dyDescent="0.35">
      <c r="A252" s="3">
        <v>80</v>
      </c>
      <c r="B252" s="4">
        <v>185</v>
      </c>
      <c r="C252" s="5">
        <v>115</v>
      </c>
      <c r="D252" s="6">
        <v>40</v>
      </c>
      <c r="E252" s="7">
        <v>105</v>
      </c>
      <c r="F252" s="8">
        <v>75</v>
      </c>
      <c r="G252" s="1">
        <v>600</v>
      </c>
      <c r="H252" s="19">
        <v>100</v>
      </c>
    </row>
    <row r="253" spans="1:8" x14ac:dyDescent="0.35">
      <c r="A253" s="3">
        <v>55</v>
      </c>
      <c r="B253" s="4">
        <v>95</v>
      </c>
      <c r="C253" s="5">
        <v>55</v>
      </c>
      <c r="D253" s="6">
        <v>35</v>
      </c>
      <c r="E253" s="7">
        <v>75</v>
      </c>
      <c r="F253" s="8">
        <v>115</v>
      </c>
      <c r="G253" s="1">
        <v>430</v>
      </c>
      <c r="H253" s="19">
        <v>71.67</v>
      </c>
    </row>
    <row r="254" spans="1:8" x14ac:dyDescent="0.35">
      <c r="A254" s="3">
        <v>60</v>
      </c>
      <c r="B254" s="4">
        <v>80</v>
      </c>
      <c r="C254" s="5">
        <v>50</v>
      </c>
      <c r="D254" s="6">
        <v>50</v>
      </c>
      <c r="E254" s="7">
        <v>50</v>
      </c>
      <c r="F254" s="8">
        <v>40</v>
      </c>
      <c r="G254" s="1">
        <v>330</v>
      </c>
      <c r="H254" s="19">
        <v>55</v>
      </c>
    </row>
    <row r="255" spans="1:8" x14ac:dyDescent="0.35">
      <c r="A255" s="3">
        <v>90</v>
      </c>
      <c r="B255" s="4">
        <v>130</v>
      </c>
      <c r="C255" s="5">
        <v>75</v>
      </c>
      <c r="D255" s="6">
        <v>75</v>
      </c>
      <c r="E255" s="7">
        <v>75</v>
      </c>
      <c r="F255" s="8">
        <v>55</v>
      </c>
      <c r="G255" s="1">
        <v>500</v>
      </c>
      <c r="H255" s="19">
        <v>83.33</v>
      </c>
    </row>
    <row r="256" spans="1:8" x14ac:dyDescent="0.35">
      <c r="A256" s="3">
        <v>40</v>
      </c>
      <c r="B256" s="4">
        <v>40</v>
      </c>
      <c r="C256" s="5">
        <v>40</v>
      </c>
      <c r="D256" s="6">
        <v>70</v>
      </c>
      <c r="E256" s="7">
        <v>40</v>
      </c>
      <c r="F256" s="8">
        <v>20</v>
      </c>
      <c r="G256" s="1">
        <v>250</v>
      </c>
      <c r="H256" s="19">
        <v>41.67</v>
      </c>
    </row>
    <row r="257" spans="1:8" x14ac:dyDescent="0.35">
      <c r="A257" s="3">
        <v>60</v>
      </c>
      <c r="B257" s="4">
        <v>50</v>
      </c>
      <c r="C257" s="5">
        <v>120</v>
      </c>
      <c r="D257" s="6">
        <v>90</v>
      </c>
      <c r="E257" s="7">
        <v>80</v>
      </c>
      <c r="F257" s="8">
        <v>30</v>
      </c>
      <c r="G257" s="1">
        <v>430</v>
      </c>
      <c r="H257" s="19">
        <v>71.67</v>
      </c>
    </row>
    <row r="258" spans="1:8" x14ac:dyDescent="0.35">
      <c r="A258" s="3">
        <v>50</v>
      </c>
      <c r="B258" s="4">
        <v>50</v>
      </c>
      <c r="C258" s="5">
        <v>40</v>
      </c>
      <c r="D258" s="6">
        <v>30</v>
      </c>
      <c r="E258" s="7">
        <v>30</v>
      </c>
      <c r="F258" s="8">
        <v>50</v>
      </c>
      <c r="G258" s="1">
        <v>250</v>
      </c>
      <c r="H258" s="19">
        <v>41.67</v>
      </c>
    </row>
    <row r="259" spans="1:8" x14ac:dyDescent="0.35">
      <c r="A259" s="39">
        <v>100</v>
      </c>
      <c r="B259" s="40">
        <v>100</v>
      </c>
      <c r="C259" s="41">
        <v>80</v>
      </c>
      <c r="D259" s="42">
        <v>60</v>
      </c>
      <c r="E259" s="43">
        <v>60</v>
      </c>
      <c r="F259" s="44">
        <v>50</v>
      </c>
      <c r="G259" s="45">
        <v>450</v>
      </c>
      <c r="H259" s="19">
        <v>75</v>
      </c>
    </row>
    <row r="260" spans="1:8" x14ac:dyDescent="0.35">
      <c r="A260" s="3">
        <v>65</v>
      </c>
      <c r="B260" s="4">
        <v>55</v>
      </c>
      <c r="C260" s="5">
        <v>95</v>
      </c>
      <c r="D260" s="6">
        <v>65</v>
      </c>
      <c r="E260" s="7">
        <v>95</v>
      </c>
      <c r="F260" s="8">
        <v>35</v>
      </c>
      <c r="G260" s="1">
        <v>410</v>
      </c>
      <c r="H260" s="19">
        <v>68.33</v>
      </c>
    </row>
    <row r="261" spans="1:8" x14ac:dyDescent="0.35">
      <c r="A261" s="3">
        <v>35</v>
      </c>
      <c r="B261" s="4">
        <v>65</v>
      </c>
      <c r="C261" s="5">
        <v>35</v>
      </c>
      <c r="D261" s="6">
        <v>65</v>
      </c>
      <c r="E261" s="7">
        <v>35</v>
      </c>
      <c r="F261" s="8">
        <v>65</v>
      </c>
      <c r="G261" s="1">
        <v>300</v>
      </c>
      <c r="H261" s="19">
        <v>50</v>
      </c>
    </row>
    <row r="262" spans="1:8" x14ac:dyDescent="0.35">
      <c r="A262" s="3">
        <v>75</v>
      </c>
      <c r="B262" s="4">
        <v>105</v>
      </c>
      <c r="C262" s="5">
        <v>75</v>
      </c>
      <c r="D262" s="6">
        <v>105</v>
      </c>
      <c r="E262" s="7">
        <v>75</v>
      </c>
      <c r="F262" s="8">
        <v>45</v>
      </c>
      <c r="G262" s="1">
        <v>480</v>
      </c>
      <c r="H262" s="19">
        <v>80</v>
      </c>
    </row>
    <row r="263" spans="1:8" x14ac:dyDescent="0.35">
      <c r="A263" s="3">
        <v>45</v>
      </c>
      <c r="B263" s="4">
        <v>55</v>
      </c>
      <c r="C263" s="5">
        <v>45</v>
      </c>
      <c r="D263" s="6">
        <v>65</v>
      </c>
      <c r="E263" s="7">
        <v>45</v>
      </c>
      <c r="F263" s="8">
        <v>75</v>
      </c>
      <c r="G263" s="1">
        <v>330</v>
      </c>
      <c r="H263" s="19">
        <v>55</v>
      </c>
    </row>
    <row r="264" spans="1:8" x14ac:dyDescent="0.35">
      <c r="A264" s="3">
        <v>85</v>
      </c>
      <c r="B264" s="4">
        <v>40</v>
      </c>
      <c r="C264" s="5">
        <v>70</v>
      </c>
      <c r="D264" s="6">
        <v>80</v>
      </c>
      <c r="E264" s="7">
        <v>140</v>
      </c>
      <c r="F264" s="8">
        <v>70</v>
      </c>
      <c r="G264" s="1">
        <v>485</v>
      </c>
      <c r="H264" s="19">
        <v>80.83</v>
      </c>
    </row>
    <row r="265" spans="1:8" x14ac:dyDescent="0.35">
      <c r="A265" s="3">
        <v>65</v>
      </c>
      <c r="B265" s="4">
        <v>80</v>
      </c>
      <c r="C265" s="5">
        <v>140</v>
      </c>
      <c r="D265" s="6">
        <v>40</v>
      </c>
      <c r="E265" s="7">
        <v>70</v>
      </c>
      <c r="F265" s="8">
        <v>70</v>
      </c>
      <c r="G265" s="1">
        <v>465</v>
      </c>
      <c r="H265" s="19">
        <v>77.5</v>
      </c>
    </row>
    <row r="266" spans="1:8" x14ac:dyDescent="0.35">
      <c r="A266" s="3">
        <v>45</v>
      </c>
      <c r="B266" s="4">
        <v>60</v>
      </c>
      <c r="C266" s="5">
        <v>30</v>
      </c>
      <c r="D266" s="6">
        <v>80</v>
      </c>
      <c r="E266" s="7">
        <v>50</v>
      </c>
      <c r="F266" s="8">
        <v>65</v>
      </c>
      <c r="G266" s="1">
        <v>330</v>
      </c>
      <c r="H266" s="19">
        <v>55</v>
      </c>
    </row>
    <row r="267" spans="1:8" x14ac:dyDescent="0.35">
      <c r="A267" s="3">
        <v>75</v>
      </c>
      <c r="B267" s="4">
        <v>90</v>
      </c>
      <c r="C267" s="5">
        <v>50</v>
      </c>
      <c r="D267" s="6">
        <v>110</v>
      </c>
      <c r="E267" s="7">
        <v>80</v>
      </c>
      <c r="F267" s="8">
        <v>95</v>
      </c>
      <c r="G267" s="1">
        <v>500</v>
      </c>
      <c r="H267" s="19">
        <v>83.33</v>
      </c>
    </row>
    <row r="268" spans="1:8" x14ac:dyDescent="0.35">
      <c r="A268" s="3">
        <v>75</v>
      </c>
      <c r="B268" s="4">
        <v>90</v>
      </c>
      <c r="C268" s="5">
        <v>90</v>
      </c>
      <c r="D268" s="6">
        <v>140</v>
      </c>
      <c r="E268" s="7">
        <v>90</v>
      </c>
      <c r="F268" s="8">
        <v>115</v>
      </c>
      <c r="G268" s="1">
        <v>600</v>
      </c>
      <c r="H268" s="19">
        <v>100</v>
      </c>
    </row>
    <row r="269" spans="1:8" x14ac:dyDescent="0.35">
      <c r="A269" s="3">
        <v>75</v>
      </c>
      <c r="B269" s="4">
        <v>95</v>
      </c>
      <c r="C269" s="5">
        <v>95</v>
      </c>
      <c r="D269" s="6">
        <v>95</v>
      </c>
      <c r="E269" s="7">
        <v>95</v>
      </c>
      <c r="F269" s="8">
        <v>85</v>
      </c>
      <c r="G269" s="1">
        <v>540</v>
      </c>
      <c r="H269" s="19">
        <v>90</v>
      </c>
    </row>
    <row r="270" spans="1:8" x14ac:dyDescent="0.35">
      <c r="A270" s="3">
        <v>90</v>
      </c>
      <c r="B270" s="4">
        <v>60</v>
      </c>
      <c r="C270" s="5">
        <v>60</v>
      </c>
      <c r="D270" s="6">
        <v>40</v>
      </c>
      <c r="E270" s="7">
        <v>40</v>
      </c>
      <c r="F270" s="8">
        <v>40</v>
      </c>
      <c r="G270" s="1">
        <v>330</v>
      </c>
      <c r="H270" s="19">
        <v>55</v>
      </c>
    </row>
    <row r="271" spans="1:8" x14ac:dyDescent="0.35">
      <c r="A271" s="3">
        <v>90</v>
      </c>
      <c r="B271" s="4">
        <v>120</v>
      </c>
      <c r="C271" s="5">
        <v>120</v>
      </c>
      <c r="D271" s="6">
        <v>60</v>
      </c>
      <c r="E271" s="7">
        <v>60</v>
      </c>
      <c r="F271" s="8">
        <v>50</v>
      </c>
      <c r="G271" s="1">
        <v>500</v>
      </c>
      <c r="H271" s="19">
        <v>83.33</v>
      </c>
    </row>
    <row r="272" spans="1:8" x14ac:dyDescent="0.35">
      <c r="A272" s="3">
        <v>85</v>
      </c>
      <c r="B272" s="4">
        <v>80</v>
      </c>
      <c r="C272" s="5">
        <v>90</v>
      </c>
      <c r="D272" s="6">
        <v>105</v>
      </c>
      <c r="E272" s="7">
        <v>95</v>
      </c>
      <c r="F272" s="8">
        <v>60</v>
      </c>
      <c r="G272" s="1">
        <v>515</v>
      </c>
      <c r="H272" s="19">
        <v>85.83</v>
      </c>
    </row>
    <row r="273" spans="1:8" x14ac:dyDescent="0.35">
      <c r="A273" s="3">
        <v>73</v>
      </c>
      <c r="B273" s="4">
        <v>95</v>
      </c>
      <c r="C273" s="5">
        <v>62</v>
      </c>
      <c r="D273" s="6">
        <v>85</v>
      </c>
      <c r="E273" s="7">
        <v>65</v>
      </c>
      <c r="F273" s="8">
        <v>85</v>
      </c>
      <c r="G273" s="1">
        <v>465</v>
      </c>
      <c r="H273" s="19">
        <v>77.5</v>
      </c>
    </row>
    <row r="274" spans="1:8" x14ac:dyDescent="0.35">
      <c r="A274" s="3">
        <v>55</v>
      </c>
      <c r="B274" s="4">
        <v>20</v>
      </c>
      <c r="C274" s="5">
        <v>35</v>
      </c>
      <c r="D274" s="6">
        <v>20</v>
      </c>
      <c r="E274" s="7">
        <v>45</v>
      </c>
      <c r="F274" s="8">
        <v>75</v>
      </c>
      <c r="G274" s="1">
        <v>250</v>
      </c>
      <c r="H274" s="19">
        <v>41.67</v>
      </c>
    </row>
    <row r="275" spans="1:8" x14ac:dyDescent="0.35">
      <c r="A275" s="3">
        <v>35</v>
      </c>
      <c r="B275" s="4">
        <v>35</v>
      </c>
      <c r="C275" s="5">
        <v>35</v>
      </c>
      <c r="D275" s="6">
        <v>35</v>
      </c>
      <c r="E275" s="7">
        <v>35</v>
      </c>
      <c r="F275" s="8">
        <v>35</v>
      </c>
      <c r="G275" s="1">
        <v>210</v>
      </c>
      <c r="H275" s="19">
        <v>35</v>
      </c>
    </row>
    <row r="276" spans="1:8" x14ac:dyDescent="0.35">
      <c r="A276" s="3">
        <v>50</v>
      </c>
      <c r="B276" s="4">
        <v>95</v>
      </c>
      <c r="C276" s="5">
        <v>95</v>
      </c>
      <c r="D276" s="6">
        <v>35</v>
      </c>
      <c r="E276" s="7">
        <v>110</v>
      </c>
      <c r="F276" s="8">
        <v>70</v>
      </c>
      <c r="G276" s="1">
        <v>455</v>
      </c>
      <c r="H276" s="19">
        <v>75.83</v>
      </c>
    </row>
    <row r="277" spans="1:8" x14ac:dyDescent="0.35">
      <c r="A277" s="3">
        <v>45</v>
      </c>
      <c r="B277" s="4">
        <v>30</v>
      </c>
      <c r="C277" s="5">
        <v>15</v>
      </c>
      <c r="D277" s="6">
        <v>85</v>
      </c>
      <c r="E277" s="7">
        <v>65</v>
      </c>
      <c r="F277" s="8">
        <v>65</v>
      </c>
      <c r="G277" s="1">
        <v>305</v>
      </c>
      <c r="H277" s="19">
        <v>50.83</v>
      </c>
    </row>
    <row r="278" spans="1:8" x14ac:dyDescent="0.35">
      <c r="A278" s="3">
        <v>45</v>
      </c>
      <c r="B278" s="4">
        <v>63</v>
      </c>
      <c r="C278" s="5">
        <v>37</v>
      </c>
      <c r="D278" s="6">
        <v>65</v>
      </c>
      <c r="E278" s="7">
        <v>55</v>
      </c>
      <c r="F278" s="8">
        <v>95</v>
      </c>
      <c r="G278" s="1">
        <v>360</v>
      </c>
      <c r="H278" s="19">
        <v>60</v>
      </c>
    </row>
    <row r="279" spans="1:8" x14ac:dyDescent="0.35">
      <c r="A279" s="3">
        <v>45</v>
      </c>
      <c r="B279" s="4">
        <v>75</v>
      </c>
      <c r="C279" s="5">
        <v>37</v>
      </c>
      <c r="D279" s="6">
        <v>70</v>
      </c>
      <c r="E279" s="7">
        <v>55</v>
      </c>
      <c r="F279" s="8">
        <v>83</v>
      </c>
      <c r="G279" s="1">
        <v>365</v>
      </c>
      <c r="H279" s="19">
        <v>60.83</v>
      </c>
    </row>
    <row r="280" spans="1:8" x14ac:dyDescent="0.35">
      <c r="A280" s="3">
        <v>95</v>
      </c>
      <c r="B280" s="4">
        <v>80</v>
      </c>
      <c r="C280" s="5">
        <v>105</v>
      </c>
      <c r="D280" s="6">
        <v>40</v>
      </c>
      <c r="E280" s="7">
        <v>70</v>
      </c>
      <c r="F280" s="8">
        <v>100</v>
      </c>
      <c r="G280" s="1">
        <v>490</v>
      </c>
      <c r="H280" s="19">
        <v>81.67</v>
      </c>
    </row>
    <row r="281" spans="1:8" x14ac:dyDescent="0.35">
      <c r="A281" s="3">
        <v>255</v>
      </c>
      <c r="B281" s="4">
        <v>10</v>
      </c>
      <c r="C281" s="5">
        <v>10</v>
      </c>
      <c r="D281" s="6">
        <v>75</v>
      </c>
      <c r="E281" s="7">
        <v>135</v>
      </c>
      <c r="F281" s="8">
        <v>55</v>
      </c>
      <c r="G281" s="1">
        <v>540</v>
      </c>
      <c r="H281" s="19">
        <v>90</v>
      </c>
    </row>
    <row r="282" spans="1:8" x14ac:dyDescent="0.35">
      <c r="A282" s="3">
        <v>90</v>
      </c>
      <c r="B282" s="4">
        <v>85</v>
      </c>
      <c r="C282" s="5">
        <v>75</v>
      </c>
      <c r="D282" s="6">
        <v>115</v>
      </c>
      <c r="E282" s="7">
        <v>100</v>
      </c>
      <c r="F282" s="8">
        <v>115</v>
      </c>
      <c r="G282" s="1">
        <v>580</v>
      </c>
      <c r="H282" s="19">
        <v>96.67</v>
      </c>
    </row>
    <row r="283" spans="1:8" x14ac:dyDescent="0.35">
      <c r="A283" s="3">
        <v>115</v>
      </c>
      <c r="B283" s="4">
        <v>115</v>
      </c>
      <c r="C283" s="5">
        <v>85</v>
      </c>
      <c r="D283" s="6">
        <v>90</v>
      </c>
      <c r="E283" s="7">
        <v>75</v>
      </c>
      <c r="F283" s="8">
        <v>100</v>
      </c>
      <c r="G283" s="1">
        <v>580</v>
      </c>
      <c r="H283" s="19">
        <v>96.67</v>
      </c>
    </row>
    <row r="284" spans="1:8" x14ac:dyDescent="0.35">
      <c r="A284" s="3">
        <v>100</v>
      </c>
      <c r="B284" s="4">
        <v>75</v>
      </c>
      <c r="C284" s="5">
        <v>115</v>
      </c>
      <c r="D284" s="6">
        <v>90</v>
      </c>
      <c r="E284" s="7">
        <v>115</v>
      </c>
      <c r="F284" s="8">
        <v>85</v>
      </c>
      <c r="G284" s="1">
        <v>580</v>
      </c>
      <c r="H284" s="19">
        <v>96.67</v>
      </c>
    </row>
    <row r="285" spans="1:8" x14ac:dyDescent="0.35">
      <c r="A285" s="3">
        <v>50</v>
      </c>
      <c r="B285" s="4">
        <v>64</v>
      </c>
      <c r="C285" s="5">
        <v>50</v>
      </c>
      <c r="D285" s="6">
        <v>45</v>
      </c>
      <c r="E285" s="7">
        <v>50</v>
      </c>
      <c r="F285" s="8">
        <v>41</v>
      </c>
      <c r="G285" s="1">
        <v>300</v>
      </c>
      <c r="H285" s="19">
        <v>50</v>
      </c>
    </row>
    <row r="286" spans="1:8" x14ac:dyDescent="0.35">
      <c r="A286" s="3">
        <v>70</v>
      </c>
      <c r="B286" s="4">
        <v>84</v>
      </c>
      <c r="C286" s="5">
        <v>70</v>
      </c>
      <c r="D286" s="6">
        <v>65</v>
      </c>
      <c r="E286" s="7">
        <v>70</v>
      </c>
      <c r="F286" s="8">
        <v>51</v>
      </c>
      <c r="G286" s="1">
        <v>410</v>
      </c>
      <c r="H286" s="19">
        <v>68.33</v>
      </c>
    </row>
    <row r="287" spans="1:8" x14ac:dyDescent="0.35">
      <c r="A287" s="3">
        <v>100</v>
      </c>
      <c r="B287" s="4">
        <v>134</v>
      </c>
      <c r="C287" s="5">
        <v>110</v>
      </c>
      <c r="D287" s="6">
        <v>95</v>
      </c>
      <c r="E287" s="7">
        <v>100</v>
      </c>
      <c r="F287" s="8">
        <v>61</v>
      </c>
      <c r="G287" s="1">
        <v>600</v>
      </c>
      <c r="H287" s="19">
        <v>100</v>
      </c>
    </row>
    <row r="288" spans="1:8" x14ac:dyDescent="0.35">
      <c r="A288" s="3">
        <v>100</v>
      </c>
      <c r="B288" s="4">
        <v>164</v>
      </c>
      <c r="C288" s="5">
        <v>150</v>
      </c>
      <c r="D288" s="6">
        <v>95</v>
      </c>
      <c r="E288" s="7">
        <v>120</v>
      </c>
      <c r="F288" s="8">
        <v>71</v>
      </c>
      <c r="G288" s="1">
        <v>700</v>
      </c>
      <c r="H288" s="19">
        <v>116.67</v>
      </c>
    </row>
    <row r="289" spans="1:8" x14ac:dyDescent="0.35">
      <c r="A289" s="3">
        <v>106</v>
      </c>
      <c r="B289" s="4">
        <v>90</v>
      </c>
      <c r="C289" s="5">
        <v>130</v>
      </c>
      <c r="D289" s="6">
        <v>90</v>
      </c>
      <c r="E289" s="7">
        <v>154</v>
      </c>
      <c r="F289" s="8">
        <v>110</v>
      </c>
      <c r="G289" s="1">
        <v>680</v>
      </c>
      <c r="H289" s="19">
        <v>113.33</v>
      </c>
    </row>
    <row r="290" spans="1:8" x14ac:dyDescent="0.35">
      <c r="A290" s="3">
        <v>106</v>
      </c>
      <c r="B290" s="4">
        <v>130</v>
      </c>
      <c r="C290" s="5">
        <v>90</v>
      </c>
      <c r="D290" s="6">
        <v>110</v>
      </c>
      <c r="E290" s="7">
        <v>154</v>
      </c>
      <c r="F290" s="8">
        <v>90</v>
      </c>
      <c r="G290" s="1">
        <v>680</v>
      </c>
      <c r="H290" s="19">
        <v>113.33</v>
      </c>
    </row>
    <row r="291" spans="1:8" x14ac:dyDescent="0.35">
      <c r="A291" s="3">
        <v>100</v>
      </c>
      <c r="B291" s="4">
        <v>100</v>
      </c>
      <c r="C291" s="5">
        <v>100</v>
      </c>
      <c r="D291" s="6">
        <v>100</v>
      </c>
      <c r="E291" s="7">
        <v>100</v>
      </c>
      <c r="F291" s="8">
        <v>100</v>
      </c>
      <c r="G291" s="1">
        <v>600</v>
      </c>
      <c r="H291" s="19">
        <v>100</v>
      </c>
    </row>
    <row r="292" spans="1:8" x14ac:dyDescent="0.35">
      <c r="A292" s="3">
        <v>40</v>
      </c>
      <c r="B292" s="4">
        <v>45</v>
      </c>
      <c r="C292" s="5">
        <v>35</v>
      </c>
      <c r="D292" s="6">
        <v>65</v>
      </c>
      <c r="E292" s="7">
        <v>55</v>
      </c>
      <c r="F292" s="8">
        <v>70</v>
      </c>
      <c r="G292" s="1">
        <v>310</v>
      </c>
      <c r="H292" s="19">
        <v>51.67</v>
      </c>
    </row>
    <row r="293" spans="1:8" x14ac:dyDescent="0.35">
      <c r="A293" s="3">
        <v>50</v>
      </c>
      <c r="B293" s="4">
        <v>65</v>
      </c>
      <c r="C293" s="5">
        <v>45</v>
      </c>
      <c r="D293" s="6">
        <v>85</v>
      </c>
      <c r="E293" s="7">
        <v>65</v>
      </c>
      <c r="F293" s="8">
        <v>95</v>
      </c>
      <c r="G293" s="1">
        <v>405</v>
      </c>
      <c r="H293" s="19">
        <v>67.5</v>
      </c>
    </row>
    <row r="294" spans="1:8" x14ac:dyDescent="0.35">
      <c r="A294" s="3">
        <v>70</v>
      </c>
      <c r="B294" s="4">
        <v>85</v>
      </c>
      <c r="C294" s="5">
        <v>65</v>
      </c>
      <c r="D294" s="6">
        <v>105</v>
      </c>
      <c r="E294" s="7">
        <v>85</v>
      </c>
      <c r="F294" s="8">
        <v>120</v>
      </c>
      <c r="G294" s="1">
        <v>530</v>
      </c>
      <c r="H294" s="19">
        <v>88.33</v>
      </c>
    </row>
    <row r="295" spans="1:8" x14ac:dyDescent="0.35">
      <c r="A295" s="3">
        <v>70</v>
      </c>
      <c r="B295" s="4">
        <v>110</v>
      </c>
      <c r="C295" s="5">
        <v>75</v>
      </c>
      <c r="D295" s="6">
        <v>145</v>
      </c>
      <c r="E295" s="7">
        <v>85</v>
      </c>
      <c r="F295" s="8">
        <v>145</v>
      </c>
      <c r="G295" s="1">
        <v>630</v>
      </c>
      <c r="H295" s="19">
        <v>105</v>
      </c>
    </row>
    <row r="296" spans="1:8" x14ac:dyDescent="0.35">
      <c r="A296" s="3">
        <v>45</v>
      </c>
      <c r="B296" s="4">
        <v>60</v>
      </c>
      <c r="C296" s="5">
        <v>40</v>
      </c>
      <c r="D296" s="6">
        <v>70</v>
      </c>
      <c r="E296" s="7">
        <v>50</v>
      </c>
      <c r="F296" s="8">
        <v>45</v>
      </c>
      <c r="G296" s="1">
        <v>310</v>
      </c>
      <c r="H296" s="19">
        <v>51.67</v>
      </c>
    </row>
    <row r="297" spans="1:8" x14ac:dyDescent="0.35">
      <c r="A297" s="3">
        <v>60</v>
      </c>
      <c r="B297" s="4">
        <v>85</v>
      </c>
      <c r="C297" s="5">
        <v>60</v>
      </c>
      <c r="D297" s="6">
        <v>85</v>
      </c>
      <c r="E297" s="7">
        <v>60</v>
      </c>
      <c r="F297" s="8">
        <v>55</v>
      </c>
      <c r="G297" s="1">
        <v>405</v>
      </c>
      <c r="H297" s="19">
        <v>67.5</v>
      </c>
    </row>
    <row r="298" spans="1:8" x14ac:dyDescent="0.35">
      <c r="A298" s="3">
        <v>80</v>
      </c>
      <c r="B298" s="4">
        <v>120</v>
      </c>
      <c r="C298" s="5">
        <v>70</v>
      </c>
      <c r="D298" s="6">
        <v>110</v>
      </c>
      <c r="E298" s="7">
        <v>70</v>
      </c>
      <c r="F298" s="8">
        <v>80</v>
      </c>
      <c r="G298" s="1">
        <v>530</v>
      </c>
      <c r="H298" s="19">
        <v>88.33</v>
      </c>
    </row>
    <row r="299" spans="1:8" x14ac:dyDescent="0.35">
      <c r="A299" s="3">
        <v>80</v>
      </c>
      <c r="B299" s="4">
        <v>160</v>
      </c>
      <c r="C299" s="5">
        <v>80</v>
      </c>
      <c r="D299" s="6">
        <v>130</v>
      </c>
      <c r="E299" s="7">
        <v>80</v>
      </c>
      <c r="F299" s="8">
        <v>100</v>
      </c>
      <c r="G299" s="1">
        <v>630</v>
      </c>
      <c r="H299" s="19">
        <v>105</v>
      </c>
    </row>
    <row r="300" spans="1:8" x14ac:dyDescent="0.35">
      <c r="A300" s="3">
        <v>50</v>
      </c>
      <c r="B300" s="4">
        <v>70</v>
      </c>
      <c r="C300" s="5">
        <v>50</v>
      </c>
      <c r="D300" s="6">
        <v>50</v>
      </c>
      <c r="E300" s="7">
        <v>50</v>
      </c>
      <c r="F300" s="8">
        <v>40</v>
      </c>
      <c r="G300" s="1">
        <v>310</v>
      </c>
      <c r="H300" s="19">
        <v>51.67</v>
      </c>
    </row>
    <row r="301" spans="1:8" x14ac:dyDescent="0.35">
      <c r="A301" s="3">
        <v>70</v>
      </c>
      <c r="B301" s="4">
        <v>85</v>
      </c>
      <c r="C301" s="5">
        <v>70</v>
      </c>
      <c r="D301" s="6">
        <v>60</v>
      </c>
      <c r="E301" s="7">
        <v>70</v>
      </c>
      <c r="F301" s="8">
        <v>50</v>
      </c>
      <c r="G301" s="1">
        <v>405</v>
      </c>
      <c r="H301" s="19">
        <v>67.5</v>
      </c>
    </row>
    <row r="302" spans="1:8" x14ac:dyDescent="0.35">
      <c r="A302" s="3">
        <v>100</v>
      </c>
      <c r="B302" s="4">
        <v>110</v>
      </c>
      <c r="C302" s="5">
        <v>90</v>
      </c>
      <c r="D302" s="6">
        <v>85</v>
      </c>
      <c r="E302" s="7">
        <v>90</v>
      </c>
      <c r="F302" s="8">
        <v>60</v>
      </c>
      <c r="G302" s="1">
        <v>535</v>
      </c>
      <c r="H302" s="19">
        <v>89.17</v>
      </c>
    </row>
    <row r="303" spans="1:8" x14ac:dyDescent="0.35">
      <c r="A303" s="3">
        <v>100</v>
      </c>
      <c r="B303" s="4">
        <v>150</v>
      </c>
      <c r="C303" s="5">
        <v>110</v>
      </c>
      <c r="D303" s="6">
        <v>95</v>
      </c>
      <c r="E303" s="7">
        <v>110</v>
      </c>
      <c r="F303" s="8">
        <v>70</v>
      </c>
      <c r="G303" s="1">
        <v>635</v>
      </c>
      <c r="H303" s="19">
        <v>105.83</v>
      </c>
    </row>
    <row r="304" spans="1:8" x14ac:dyDescent="0.35">
      <c r="A304" s="3">
        <v>35</v>
      </c>
      <c r="B304" s="4">
        <v>55</v>
      </c>
      <c r="C304" s="5">
        <v>35</v>
      </c>
      <c r="D304" s="6">
        <v>30</v>
      </c>
      <c r="E304" s="7">
        <v>30</v>
      </c>
      <c r="F304" s="8">
        <v>35</v>
      </c>
      <c r="G304" s="1">
        <v>220</v>
      </c>
      <c r="H304" s="19">
        <v>36.67</v>
      </c>
    </row>
    <row r="305" spans="1:8" x14ac:dyDescent="0.35">
      <c r="A305" s="3">
        <v>70</v>
      </c>
      <c r="B305" s="4">
        <v>90</v>
      </c>
      <c r="C305" s="5">
        <v>70</v>
      </c>
      <c r="D305" s="6">
        <v>60</v>
      </c>
      <c r="E305" s="7">
        <v>60</v>
      </c>
      <c r="F305" s="8">
        <v>70</v>
      </c>
      <c r="G305" s="1">
        <v>420</v>
      </c>
      <c r="H305" s="19">
        <v>70</v>
      </c>
    </row>
    <row r="306" spans="1:8" x14ac:dyDescent="0.35">
      <c r="A306" s="3">
        <v>38</v>
      </c>
      <c r="B306" s="4">
        <v>30</v>
      </c>
      <c r="C306" s="5">
        <v>41</v>
      </c>
      <c r="D306" s="6">
        <v>30</v>
      </c>
      <c r="E306" s="7">
        <v>41</v>
      </c>
      <c r="F306" s="8">
        <v>60</v>
      </c>
      <c r="G306" s="1">
        <v>240</v>
      </c>
      <c r="H306" s="19">
        <v>40</v>
      </c>
    </row>
    <row r="307" spans="1:8" x14ac:dyDescent="0.35">
      <c r="A307" s="3">
        <v>78</v>
      </c>
      <c r="B307" s="4">
        <v>70</v>
      </c>
      <c r="C307" s="5">
        <v>61</v>
      </c>
      <c r="D307" s="6">
        <v>50</v>
      </c>
      <c r="E307" s="7">
        <v>61</v>
      </c>
      <c r="F307" s="8">
        <v>100</v>
      </c>
      <c r="G307" s="1">
        <v>420</v>
      </c>
      <c r="H307" s="19">
        <v>70</v>
      </c>
    </row>
    <row r="308" spans="1:8" x14ac:dyDescent="0.35">
      <c r="A308" s="3">
        <v>45</v>
      </c>
      <c r="B308" s="4">
        <v>45</v>
      </c>
      <c r="C308" s="5">
        <v>35</v>
      </c>
      <c r="D308" s="6">
        <v>20</v>
      </c>
      <c r="E308" s="7">
        <v>30</v>
      </c>
      <c r="F308" s="8">
        <v>20</v>
      </c>
      <c r="G308" s="1">
        <v>195</v>
      </c>
      <c r="H308" s="19">
        <v>32.5</v>
      </c>
    </row>
    <row r="309" spans="1:8" x14ac:dyDescent="0.35">
      <c r="A309" s="3">
        <v>50</v>
      </c>
      <c r="B309" s="4">
        <v>35</v>
      </c>
      <c r="C309" s="5">
        <v>55</v>
      </c>
      <c r="D309" s="6">
        <v>25</v>
      </c>
      <c r="E309" s="7">
        <v>25</v>
      </c>
      <c r="F309" s="8">
        <v>15</v>
      </c>
      <c r="G309" s="1">
        <v>205</v>
      </c>
      <c r="H309" s="19">
        <v>34.17</v>
      </c>
    </row>
    <row r="310" spans="1:8" x14ac:dyDescent="0.35">
      <c r="A310" s="3">
        <v>60</v>
      </c>
      <c r="B310" s="4">
        <v>70</v>
      </c>
      <c r="C310" s="5">
        <v>50</v>
      </c>
      <c r="D310" s="6">
        <v>100</v>
      </c>
      <c r="E310" s="7">
        <v>50</v>
      </c>
      <c r="F310" s="8">
        <v>65</v>
      </c>
      <c r="G310" s="1">
        <v>395</v>
      </c>
      <c r="H310" s="19">
        <v>65.83</v>
      </c>
    </row>
    <row r="311" spans="1:8" x14ac:dyDescent="0.35">
      <c r="A311" s="3">
        <v>50</v>
      </c>
      <c r="B311" s="4">
        <v>35</v>
      </c>
      <c r="C311" s="5">
        <v>55</v>
      </c>
      <c r="D311" s="6">
        <v>25</v>
      </c>
      <c r="E311" s="7">
        <v>25</v>
      </c>
      <c r="F311" s="8">
        <v>15</v>
      </c>
      <c r="G311" s="1">
        <v>205</v>
      </c>
      <c r="H311" s="19">
        <v>34.17</v>
      </c>
    </row>
    <row r="312" spans="1:8" x14ac:dyDescent="0.35">
      <c r="A312" s="3">
        <v>60</v>
      </c>
      <c r="B312" s="4">
        <v>50</v>
      </c>
      <c r="C312" s="5">
        <v>70</v>
      </c>
      <c r="D312" s="6">
        <v>50</v>
      </c>
      <c r="E312" s="7">
        <v>90</v>
      </c>
      <c r="F312" s="8">
        <v>65</v>
      </c>
      <c r="G312" s="1">
        <v>385</v>
      </c>
      <c r="H312" s="19">
        <v>64.17</v>
      </c>
    </row>
    <row r="313" spans="1:8" x14ac:dyDescent="0.35">
      <c r="A313" s="3">
        <v>40</v>
      </c>
      <c r="B313" s="4">
        <v>30</v>
      </c>
      <c r="C313" s="5">
        <v>30</v>
      </c>
      <c r="D313" s="6">
        <v>40</v>
      </c>
      <c r="E313" s="7">
        <v>50</v>
      </c>
      <c r="F313" s="8">
        <v>30</v>
      </c>
      <c r="G313" s="1">
        <v>220</v>
      </c>
      <c r="H313" s="19">
        <v>36.67</v>
      </c>
    </row>
    <row r="314" spans="1:8" x14ac:dyDescent="0.35">
      <c r="A314" s="3">
        <v>60</v>
      </c>
      <c r="B314" s="4">
        <v>50</v>
      </c>
      <c r="C314" s="5">
        <v>50</v>
      </c>
      <c r="D314" s="6">
        <v>60</v>
      </c>
      <c r="E314" s="7">
        <v>70</v>
      </c>
      <c r="F314" s="8">
        <v>50</v>
      </c>
      <c r="G314" s="1">
        <v>340</v>
      </c>
      <c r="H314" s="19">
        <v>56.67</v>
      </c>
    </row>
    <row r="315" spans="1:8" x14ac:dyDescent="0.35">
      <c r="A315" s="3">
        <v>80</v>
      </c>
      <c r="B315" s="4">
        <v>70</v>
      </c>
      <c r="C315" s="41">
        <v>70</v>
      </c>
      <c r="D315" s="6">
        <v>90</v>
      </c>
      <c r="E315" s="7">
        <v>100</v>
      </c>
      <c r="F315" s="8">
        <v>70</v>
      </c>
      <c r="G315" s="1">
        <v>480</v>
      </c>
      <c r="H315" s="19">
        <v>80</v>
      </c>
    </row>
    <row r="316" spans="1:8" x14ac:dyDescent="0.35">
      <c r="A316" s="3">
        <v>40</v>
      </c>
      <c r="B316" s="4">
        <v>40</v>
      </c>
      <c r="C316" s="5">
        <v>50</v>
      </c>
      <c r="D316" s="6">
        <v>30</v>
      </c>
      <c r="E316" s="7">
        <v>30</v>
      </c>
      <c r="F316" s="8">
        <v>30</v>
      </c>
      <c r="G316" s="1">
        <v>220</v>
      </c>
      <c r="H316" s="19">
        <v>36.67</v>
      </c>
    </row>
    <row r="317" spans="1:8" x14ac:dyDescent="0.35">
      <c r="A317" s="3">
        <v>70</v>
      </c>
      <c r="B317" s="4">
        <v>70</v>
      </c>
      <c r="C317" s="5">
        <v>40</v>
      </c>
      <c r="D317" s="6">
        <v>60</v>
      </c>
      <c r="E317" s="7">
        <v>40</v>
      </c>
      <c r="F317" s="8">
        <v>60</v>
      </c>
      <c r="G317" s="1">
        <v>340</v>
      </c>
      <c r="H317" s="19">
        <v>56.67</v>
      </c>
    </row>
    <row r="318" spans="1:8" x14ac:dyDescent="0.35">
      <c r="A318" s="3">
        <v>90</v>
      </c>
      <c r="B318" s="4">
        <v>100</v>
      </c>
      <c r="C318" s="5">
        <v>60</v>
      </c>
      <c r="D318" s="6">
        <v>90</v>
      </c>
      <c r="E318" s="7">
        <v>60</v>
      </c>
      <c r="F318" s="8">
        <v>80</v>
      </c>
      <c r="G318" s="1">
        <v>480</v>
      </c>
      <c r="H318" s="19">
        <v>80</v>
      </c>
    </row>
    <row r="319" spans="1:8" x14ac:dyDescent="0.35">
      <c r="A319" s="3">
        <v>40</v>
      </c>
      <c r="B319" s="4">
        <v>55</v>
      </c>
      <c r="C319" s="5">
        <v>30</v>
      </c>
      <c r="D319" s="6">
        <v>30</v>
      </c>
      <c r="E319" s="7">
        <v>30</v>
      </c>
      <c r="F319" s="8">
        <v>85</v>
      </c>
      <c r="G319" s="1">
        <v>270</v>
      </c>
      <c r="H319" s="19">
        <v>45</v>
      </c>
    </row>
    <row r="320" spans="1:8" x14ac:dyDescent="0.35">
      <c r="A320" s="3">
        <v>60</v>
      </c>
      <c r="B320" s="4">
        <v>85</v>
      </c>
      <c r="C320" s="5">
        <v>60</v>
      </c>
      <c r="D320" s="6">
        <v>75</v>
      </c>
      <c r="E320" s="7">
        <v>50</v>
      </c>
      <c r="F320" s="8">
        <v>125</v>
      </c>
      <c r="G320" s="1">
        <v>455</v>
      </c>
      <c r="H320" s="19">
        <v>75.83</v>
      </c>
    </row>
    <row r="321" spans="1:8" x14ac:dyDescent="0.35">
      <c r="A321" s="3">
        <v>40</v>
      </c>
      <c r="B321" s="4">
        <v>30</v>
      </c>
      <c r="C321" s="5">
        <v>30</v>
      </c>
      <c r="D321" s="6">
        <v>55</v>
      </c>
      <c r="E321" s="7">
        <v>30</v>
      </c>
      <c r="F321" s="8">
        <v>85</v>
      </c>
      <c r="G321" s="1">
        <v>270</v>
      </c>
      <c r="H321" s="19">
        <v>45</v>
      </c>
    </row>
    <row r="322" spans="1:8" x14ac:dyDescent="0.35">
      <c r="A322" s="3">
        <v>60</v>
      </c>
      <c r="B322" s="4">
        <v>50</v>
      </c>
      <c r="C322" s="5">
        <v>100</v>
      </c>
      <c r="D322" s="6">
        <v>95</v>
      </c>
      <c r="E322" s="7">
        <v>70</v>
      </c>
      <c r="F322" s="8">
        <v>65</v>
      </c>
      <c r="G322" s="1">
        <v>440</v>
      </c>
      <c r="H322" s="19">
        <v>73.33</v>
      </c>
    </row>
    <row r="323" spans="1:8" x14ac:dyDescent="0.35">
      <c r="A323" s="3">
        <v>28</v>
      </c>
      <c r="B323" s="4">
        <v>25</v>
      </c>
      <c r="C323" s="5">
        <v>25</v>
      </c>
      <c r="D323" s="6">
        <v>45</v>
      </c>
      <c r="E323" s="7">
        <v>35</v>
      </c>
      <c r="F323" s="8">
        <v>40</v>
      </c>
      <c r="G323" s="1">
        <v>198</v>
      </c>
      <c r="H323" s="19">
        <v>33</v>
      </c>
    </row>
    <row r="324" spans="1:8" x14ac:dyDescent="0.35">
      <c r="A324" s="3">
        <v>38</v>
      </c>
      <c r="B324" s="4">
        <v>35</v>
      </c>
      <c r="C324" s="5">
        <v>35</v>
      </c>
      <c r="D324" s="6">
        <v>65</v>
      </c>
      <c r="E324" s="7">
        <v>55</v>
      </c>
      <c r="F324" s="8">
        <v>50</v>
      </c>
      <c r="G324" s="1">
        <v>278</v>
      </c>
      <c r="H324" s="19">
        <v>46.33</v>
      </c>
    </row>
    <row r="325" spans="1:8" x14ac:dyDescent="0.35">
      <c r="A325" s="3">
        <v>68</v>
      </c>
      <c r="B325" s="4">
        <v>65</v>
      </c>
      <c r="C325" s="5">
        <v>65</v>
      </c>
      <c r="D325" s="6">
        <v>125</v>
      </c>
      <c r="E325" s="7">
        <v>115</v>
      </c>
      <c r="F325" s="8">
        <v>80</v>
      </c>
      <c r="G325" s="1">
        <v>518</v>
      </c>
      <c r="H325" s="19">
        <v>86.33</v>
      </c>
    </row>
    <row r="326" spans="1:8" x14ac:dyDescent="0.35">
      <c r="A326" s="3">
        <v>68</v>
      </c>
      <c r="B326" s="4">
        <v>85</v>
      </c>
      <c r="C326" s="5">
        <v>65</v>
      </c>
      <c r="D326" s="6">
        <v>165</v>
      </c>
      <c r="E326" s="7">
        <v>135</v>
      </c>
      <c r="F326" s="8">
        <v>100</v>
      </c>
      <c r="G326" s="1">
        <v>618</v>
      </c>
      <c r="H326" s="19">
        <v>103</v>
      </c>
    </row>
    <row r="327" spans="1:8" x14ac:dyDescent="0.35">
      <c r="A327" s="3">
        <v>40</v>
      </c>
      <c r="B327" s="4">
        <v>30</v>
      </c>
      <c r="C327" s="5">
        <v>32</v>
      </c>
      <c r="D327" s="6">
        <v>50</v>
      </c>
      <c r="E327" s="7">
        <v>52</v>
      </c>
      <c r="F327" s="8">
        <v>65</v>
      </c>
      <c r="G327" s="1">
        <v>269</v>
      </c>
      <c r="H327" s="19">
        <v>44.83</v>
      </c>
    </row>
    <row r="328" spans="1:8" x14ac:dyDescent="0.35">
      <c r="A328" s="3">
        <v>70</v>
      </c>
      <c r="B328" s="4">
        <v>60</v>
      </c>
      <c r="C328" s="5">
        <v>62</v>
      </c>
      <c r="D328" s="6">
        <v>100</v>
      </c>
      <c r="E328" s="7">
        <v>82</v>
      </c>
      <c r="F328" s="8">
        <v>80</v>
      </c>
      <c r="G328" s="1">
        <v>454</v>
      </c>
      <c r="H328" s="19">
        <v>75.67</v>
      </c>
    </row>
    <row r="329" spans="1:8" x14ac:dyDescent="0.35">
      <c r="A329" s="3">
        <v>60</v>
      </c>
      <c r="B329" s="4">
        <v>40</v>
      </c>
      <c r="C329" s="5">
        <v>60</v>
      </c>
      <c r="D329" s="6">
        <v>40</v>
      </c>
      <c r="E329" s="7">
        <v>60</v>
      </c>
      <c r="F329" s="8">
        <v>35</v>
      </c>
      <c r="G329" s="1">
        <v>295</v>
      </c>
      <c r="H329" s="19">
        <v>49.17</v>
      </c>
    </row>
    <row r="330" spans="1:8" x14ac:dyDescent="0.35">
      <c r="A330" s="3">
        <v>60</v>
      </c>
      <c r="B330" s="4">
        <v>130</v>
      </c>
      <c r="C330" s="5">
        <v>80</v>
      </c>
      <c r="D330" s="6">
        <v>60</v>
      </c>
      <c r="E330" s="7">
        <v>60</v>
      </c>
      <c r="F330" s="8">
        <v>70</v>
      </c>
      <c r="G330" s="1">
        <v>460</v>
      </c>
      <c r="H330" s="19">
        <v>76.67</v>
      </c>
    </row>
    <row r="331" spans="1:8" x14ac:dyDescent="0.35">
      <c r="A331" s="3">
        <v>60</v>
      </c>
      <c r="B331" s="4">
        <v>60</v>
      </c>
      <c r="C331" s="5">
        <v>60</v>
      </c>
      <c r="D331" s="6">
        <v>35</v>
      </c>
      <c r="E331" s="7">
        <v>35</v>
      </c>
      <c r="F331" s="8">
        <v>30</v>
      </c>
      <c r="G331" s="1">
        <v>280</v>
      </c>
      <c r="H331" s="19">
        <v>46.67</v>
      </c>
    </row>
    <row r="332" spans="1:8" x14ac:dyDescent="0.35">
      <c r="A332" s="3">
        <v>80</v>
      </c>
      <c r="B332" s="4">
        <v>80</v>
      </c>
      <c r="C332" s="5">
        <v>80</v>
      </c>
      <c r="D332" s="6">
        <v>55</v>
      </c>
      <c r="E332" s="7">
        <v>55</v>
      </c>
      <c r="F332" s="8">
        <v>90</v>
      </c>
      <c r="G332" s="1">
        <v>440</v>
      </c>
      <c r="H332" s="19">
        <v>73.33</v>
      </c>
    </row>
    <row r="333" spans="1:8" x14ac:dyDescent="0.35">
      <c r="A333" s="3">
        <v>150</v>
      </c>
      <c r="B333" s="4">
        <v>160</v>
      </c>
      <c r="C333" s="5">
        <v>100</v>
      </c>
      <c r="D333" s="6">
        <v>95</v>
      </c>
      <c r="E333" s="7">
        <v>65</v>
      </c>
      <c r="F333" s="8">
        <v>100</v>
      </c>
      <c r="G333" s="1">
        <v>670</v>
      </c>
      <c r="H333" s="19">
        <v>111.67</v>
      </c>
    </row>
    <row r="334" spans="1:8" x14ac:dyDescent="0.35">
      <c r="A334" s="3">
        <v>31</v>
      </c>
      <c r="B334" s="4">
        <v>45</v>
      </c>
      <c r="C334" s="5">
        <v>90</v>
      </c>
      <c r="D334" s="6">
        <v>30</v>
      </c>
      <c r="E334" s="7">
        <v>30</v>
      </c>
      <c r="F334" s="8">
        <v>40</v>
      </c>
      <c r="G334" s="1">
        <v>266</v>
      </c>
      <c r="H334" s="19">
        <v>44.33</v>
      </c>
    </row>
    <row r="335" spans="1:8" x14ac:dyDescent="0.35">
      <c r="A335" s="3">
        <v>61</v>
      </c>
      <c r="B335" s="4">
        <v>90</v>
      </c>
      <c r="C335" s="5">
        <v>45</v>
      </c>
      <c r="D335" s="6">
        <v>50</v>
      </c>
      <c r="E335" s="7">
        <v>50</v>
      </c>
      <c r="F335" s="8">
        <v>160</v>
      </c>
      <c r="G335" s="1">
        <v>456</v>
      </c>
      <c r="H335" s="19">
        <v>76</v>
      </c>
    </row>
    <row r="336" spans="1:8" x14ac:dyDescent="0.35">
      <c r="A336" s="39">
        <v>1</v>
      </c>
      <c r="B336" s="40">
        <v>90</v>
      </c>
      <c r="C336" s="41">
        <v>45</v>
      </c>
      <c r="D336" s="42">
        <v>30</v>
      </c>
      <c r="E336" s="43">
        <v>30</v>
      </c>
      <c r="F336" s="44">
        <v>40</v>
      </c>
      <c r="G336" s="45">
        <v>236</v>
      </c>
      <c r="H336" s="19">
        <v>39.33</v>
      </c>
    </row>
    <row r="337" spans="1:8" x14ac:dyDescent="0.35">
      <c r="A337" s="3">
        <v>64</v>
      </c>
      <c r="B337" s="4">
        <v>51</v>
      </c>
      <c r="C337" s="5">
        <v>23</v>
      </c>
      <c r="D337" s="6">
        <v>51</v>
      </c>
      <c r="E337" s="7">
        <v>23</v>
      </c>
      <c r="F337" s="8">
        <v>28</v>
      </c>
      <c r="G337" s="1">
        <v>240</v>
      </c>
      <c r="H337" s="19">
        <v>40</v>
      </c>
    </row>
    <row r="338" spans="1:8" x14ac:dyDescent="0.35">
      <c r="A338" s="3">
        <v>84</v>
      </c>
      <c r="B338" s="4">
        <v>71</v>
      </c>
      <c r="C338" s="5">
        <v>43</v>
      </c>
      <c r="D338" s="6">
        <v>71</v>
      </c>
      <c r="E338" s="7">
        <v>43</v>
      </c>
      <c r="F338" s="8">
        <v>48</v>
      </c>
      <c r="G338" s="1">
        <v>360</v>
      </c>
      <c r="H338" s="19">
        <v>60</v>
      </c>
    </row>
    <row r="339" spans="1:8" x14ac:dyDescent="0.35">
      <c r="A339" s="3">
        <v>104</v>
      </c>
      <c r="B339" s="4">
        <v>91</v>
      </c>
      <c r="C339" s="5">
        <v>63</v>
      </c>
      <c r="D339" s="6">
        <v>91</v>
      </c>
      <c r="E339" s="7">
        <v>73</v>
      </c>
      <c r="F339" s="8">
        <v>68</v>
      </c>
      <c r="G339" s="1">
        <v>490</v>
      </c>
      <c r="H339" s="19">
        <v>81.67</v>
      </c>
    </row>
    <row r="340" spans="1:8" x14ac:dyDescent="0.35">
      <c r="A340" s="3">
        <v>72</v>
      </c>
      <c r="B340" s="4">
        <v>60</v>
      </c>
      <c r="C340" s="5">
        <v>30</v>
      </c>
      <c r="D340" s="6">
        <v>20</v>
      </c>
      <c r="E340" s="7">
        <v>30</v>
      </c>
      <c r="F340" s="8">
        <v>25</v>
      </c>
      <c r="G340" s="1">
        <v>237</v>
      </c>
      <c r="H340" s="19">
        <v>39.5</v>
      </c>
    </row>
    <row r="341" spans="1:8" x14ac:dyDescent="0.35">
      <c r="A341" s="3">
        <v>144</v>
      </c>
      <c r="B341" s="4">
        <v>120</v>
      </c>
      <c r="C341" s="5">
        <v>60</v>
      </c>
      <c r="D341" s="6">
        <v>40</v>
      </c>
      <c r="E341" s="7">
        <v>60</v>
      </c>
      <c r="F341" s="8">
        <v>50</v>
      </c>
      <c r="G341" s="1">
        <v>474</v>
      </c>
      <c r="H341" s="19">
        <v>79</v>
      </c>
    </row>
    <row r="342" spans="1:8" x14ac:dyDescent="0.35">
      <c r="A342" s="3">
        <v>50</v>
      </c>
      <c r="B342" s="4">
        <v>20</v>
      </c>
      <c r="C342" s="5">
        <v>40</v>
      </c>
      <c r="D342" s="6">
        <v>20</v>
      </c>
      <c r="E342" s="7">
        <v>40</v>
      </c>
      <c r="F342" s="8">
        <v>20</v>
      </c>
      <c r="G342" s="1">
        <v>190</v>
      </c>
      <c r="H342" s="19">
        <v>31.67</v>
      </c>
    </row>
    <row r="343" spans="1:8" x14ac:dyDescent="0.35">
      <c r="A343" s="3">
        <v>30</v>
      </c>
      <c r="B343" s="4">
        <v>45</v>
      </c>
      <c r="C343" s="5">
        <v>135</v>
      </c>
      <c r="D343" s="6">
        <v>45</v>
      </c>
      <c r="E343" s="43">
        <v>90</v>
      </c>
      <c r="F343" s="8">
        <v>30</v>
      </c>
      <c r="G343" s="1">
        <v>375</v>
      </c>
      <c r="H343" s="19">
        <v>62.5</v>
      </c>
    </row>
    <row r="344" spans="1:8" x14ac:dyDescent="0.35">
      <c r="A344" s="3">
        <v>50</v>
      </c>
      <c r="B344" s="4">
        <v>45</v>
      </c>
      <c r="C344" s="5">
        <v>45</v>
      </c>
      <c r="D344" s="6">
        <v>35</v>
      </c>
      <c r="E344" s="7">
        <v>35</v>
      </c>
      <c r="F344" s="8">
        <v>50</v>
      </c>
      <c r="G344" s="1">
        <v>260</v>
      </c>
      <c r="H344" s="19">
        <v>43.33</v>
      </c>
    </row>
    <row r="345" spans="1:8" x14ac:dyDescent="0.35">
      <c r="A345" s="3">
        <v>70</v>
      </c>
      <c r="B345" s="4">
        <v>65</v>
      </c>
      <c r="C345" s="5">
        <v>65</v>
      </c>
      <c r="D345" s="6">
        <v>55</v>
      </c>
      <c r="E345" s="7">
        <v>55</v>
      </c>
      <c r="F345" s="8">
        <v>90</v>
      </c>
      <c r="G345" s="1">
        <v>400</v>
      </c>
      <c r="H345" s="19">
        <v>66.67</v>
      </c>
    </row>
    <row r="346" spans="1:8" x14ac:dyDescent="0.35">
      <c r="A346" s="3">
        <v>50</v>
      </c>
      <c r="B346" s="4">
        <v>75</v>
      </c>
      <c r="C346" s="5">
        <v>75</v>
      </c>
      <c r="D346" s="6">
        <v>65</v>
      </c>
      <c r="E346" s="7">
        <v>65</v>
      </c>
      <c r="F346" s="8">
        <v>50</v>
      </c>
      <c r="G346" s="1">
        <v>380</v>
      </c>
      <c r="H346" s="19">
        <v>63.33</v>
      </c>
    </row>
    <row r="347" spans="1:8" x14ac:dyDescent="0.35">
      <c r="A347" s="3">
        <v>50</v>
      </c>
      <c r="B347" s="4">
        <v>85</v>
      </c>
      <c r="C347" s="5">
        <v>125</v>
      </c>
      <c r="D347" s="6">
        <v>85</v>
      </c>
      <c r="E347" s="7">
        <v>115</v>
      </c>
      <c r="F347" s="8">
        <v>20</v>
      </c>
      <c r="G347" s="1">
        <v>480</v>
      </c>
      <c r="H347" s="19">
        <v>80</v>
      </c>
    </row>
    <row r="348" spans="1:8" x14ac:dyDescent="0.35">
      <c r="A348" s="3">
        <v>50</v>
      </c>
      <c r="B348" s="4">
        <v>85</v>
      </c>
      <c r="C348" s="5">
        <v>85</v>
      </c>
      <c r="D348" s="6">
        <v>55</v>
      </c>
      <c r="E348" s="7">
        <v>55</v>
      </c>
      <c r="F348" s="8">
        <v>50</v>
      </c>
      <c r="G348" s="1">
        <v>380</v>
      </c>
      <c r="H348" s="19">
        <v>63.33</v>
      </c>
    </row>
    <row r="349" spans="1:8" x14ac:dyDescent="0.35">
      <c r="A349" s="3">
        <v>50</v>
      </c>
      <c r="B349" s="4">
        <v>105</v>
      </c>
      <c r="C349" s="5">
        <v>125</v>
      </c>
      <c r="D349" s="6">
        <v>55</v>
      </c>
      <c r="E349" s="7">
        <v>95</v>
      </c>
      <c r="F349" s="8">
        <v>50</v>
      </c>
      <c r="G349" s="1">
        <v>480</v>
      </c>
      <c r="H349" s="19">
        <v>80</v>
      </c>
    </row>
    <row r="350" spans="1:8" x14ac:dyDescent="0.35">
      <c r="A350" s="3">
        <v>50</v>
      </c>
      <c r="B350" s="4">
        <v>70</v>
      </c>
      <c r="C350" s="5">
        <v>100</v>
      </c>
      <c r="D350" s="6">
        <v>40</v>
      </c>
      <c r="E350" s="7">
        <v>40</v>
      </c>
      <c r="F350" s="8">
        <v>30</v>
      </c>
      <c r="G350" s="1">
        <v>330</v>
      </c>
      <c r="H350" s="19">
        <v>55</v>
      </c>
    </row>
    <row r="351" spans="1:8" x14ac:dyDescent="0.35">
      <c r="A351" s="3">
        <v>60</v>
      </c>
      <c r="B351" s="4">
        <v>90</v>
      </c>
      <c r="C351" s="5">
        <v>140</v>
      </c>
      <c r="D351" s="6">
        <v>50</v>
      </c>
      <c r="E351" s="7">
        <v>50</v>
      </c>
      <c r="F351" s="8">
        <v>40</v>
      </c>
      <c r="G351" s="1">
        <v>430</v>
      </c>
      <c r="H351" s="19">
        <v>71.67</v>
      </c>
    </row>
    <row r="352" spans="1:8" x14ac:dyDescent="0.35">
      <c r="A352" s="3">
        <v>70</v>
      </c>
      <c r="B352" s="4">
        <v>110</v>
      </c>
      <c r="C352" s="5">
        <v>180</v>
      </c>
      <c r="D352" s="6">
        <v>60</v>
      </c>
      <c r="E352" s="7">
        <v>60</v>
      </c>
      <c r="F352" s="8">
        <v>50</v>
      </c>
      <c r="G352" s="1">
        <v>530</v>
      </c>
      <c r="H352" s="19">
        <v>88.33</v>
      </c>
    </row>
    <row r="353" spans="1:8" x14ac:dyDescent="0.35">
      <c r="A353" s="3">
        <v>70</v>
      </c>
      <c r="B353" s="4">
        <v>140</v>
      </c>
      <c r="C353" s="5">
        <v>230</v>
      </c>
      <c r="D353" s="6">
        <v>60</v>
      </c>
      <c r="E353" s="7">
        <v>80</v>
      </c>
      <c r="F353" s="8">
        <v>50</v>
      </c>
      <c r="G353" s="1">
        <v>630</v>
      </c>
      <c r="H353" s="19">
        <v>105</v>
      </c>
    </row>
    <row r="354" spans="1:8" x14ac:dyDescent="0.35">
      <c r="A354" s="3">
        <v>30</v>
      </c>
      <c r="B354" s="4">
        <v>40</v>
      </c>
      <c r="C354" s="5">
        <v>55</v>
      </c>
      <c r="D354" s="6">
        <v>40</v>
      </c>
      <c r="E354" s="7">
        <v>55</v>
      </c>
      <c r="F354" s="8">
        <v>60</v>
      </c>
      <c r="G354" s="1">
        <v>280</v>
      </c>
      <c r="H354" s="19">
        <v>46.67</v>
      </c>
    </row>
    <row r="355" spans="1:8" x14ac:dyDescent="0.35">
      <c r="A355" s="3">
        <v>60</v>
      </c>
      <c r="B355" s="4">
        <v>60</v>
      </c>
      <c r="C355" s="5">
        <v>75</v>
      </c>
      <c r="D355" s="6">
        <v>60</v>
      </c>
      <c r="E355" s="7">
        <v>75</v>
      </c>
      <c r="F355" s="8">
        <v>80</v>
      </c>
      <c r="G355" s="1">
        <v>410</v>
      </c>
      <c r="H355" s="19">
        <v>68.33</v>
      </c>
    </row>
    <row r="356" spans="1:8" x14ac:dyDescent="0.35">
      <c r="A356" s="3">
        <v>60</v>
      </c>
      <c r="B356" s="4">
        <v>100</v>
      </c>
      <c r="C356" s="5">
        <v>85</v>
      </c>
      <c r="D356" s="6">
        <v>80</v>
      </c>
      <c r="E356" s="7">
        <v>85</v>
      </c>
      <c r="F356" s="8">
        <v>100</v>
      </c>
      <c r="G356" s="1">
        <v>510</v>
      </c>
      <c r="H356" s="19">
        <v>85</v>
      </c>
    </row>
    <row r="357" spans="1:8" x14ac:dyDescent="0.35">
      <c r="A357" s="3">
        <v>40</v>
      </c>
      <c r="B357" s="4">
        <v>45</v>
      </c>
      <c r="C357" s="5">
        <v>40</v>
      </c>
      <c r="D357" s="6">
        <v>65</v>
      </c>
      <c r="E357" s="7">
        <v>40</v>
      </c>
      <c r="F357" s="8">
        <v>65</v>
      </c>
      <c r="G357" s="1">
        <v>295</v>
      </c>
      <c r="H357" s="19">
        <v>49.17</v>
      </c>
    </row>
    <row r="358" spans="1:8" x14ac:dyDescent="0.35">
      <c r="A358" s="3">
        <v>70</v>
      </c>
      <c r="B358" s="4">
        <v>75</v>
      </c>
      <c r="C358" s="5">
        <v>60</v>
      </c>
      <c r="D358" s="6">
        <v>105</v>
      </c>
      <c r="E358" s="7">
        <v>60</v>
      </c>
      <c r="F358" s="8">
        <v>105</v>
      </c>
      <c r="G358" s="1">
        <v>475</v>
      </c>
      <c r="H358" s="19">
        <v>79.17</v>
      </c>
    </row>
    <row r="359" spans="1:8" x14ac:dyDescent="0.35">
      <c r="A359" s="3">
        <v>70</v>
      </c>
      <c r="B359" s="4">
        <v>75</v>
      </c>
      <c r="C359" s="5">
        <v>80</v>
      </c>
      <c r="D359" s="6">
        <v>135</v>
      </c>
      <c r="E359" s="7">
        <v>80</v>
      </c>
      <c r="F359" s="8">
        <v>135</v>
      </c>
      <c r="G359" s="1">
        <v>575</v>
      </c>
      <c r="H359" s="19">
        <v>95.83</v>
      </c>
    </row>
    <row r="360" spans="1:8" x14ac:dyDescent="0.35">
      <c r="A360" s="3">
        <v>60</v>
      </c>
      <c r="B360" s="4">
        <v>50</v>
      </c>
      <c r="C360" s="5">
        <v>40</v>
      </c>
      <c r="D360" s="6">
        <v>85</v>
      </c>
      <c r="E360" s="7">
        <v>75</v>
      </c>
      <c r="F360" s="8">
        <v>95</v>
      </c>
      <c r="G360" s="1">
        <v>405</v>
      </c>
      <c r="H360" s="19">
        <v>67.5</v>
      </c>
    </row>
    <row r="361" spans="1:8" x14ac:dyDescent="0.35">
      <c r="A361" s="3">
        <v>60</v>
      </c>
      <c r="B361" s="4">
        <v>40</v>
      </c>
      <c r="C361" s="5">
        <v>50</v>
      </c>
      <c r="D361" s="6">
        <v>75</v>
      </c>
      <c r="E361" s="7">
        <v>85</v>
      </c>
      <c r="F361" s="8">
        <v>95</v>
      </c>
      <c r="G361" s="1">
        <v>405</v>
      </c>
      <c r="H361" s="19">
        <v>67.5</v>
      </c>
    </row>
    <row r="362" spans="1:8" x14ac:dyDescent="0.35">
      <c r="A362" s="3">
        <v>65</v>
      </c>
      <c r="B362" s="4">
        <v>73</v>
      </c>
      <c r="C362" s="5">
        <v>75</v>
      </c>
      <c r="D362" s="6">
        <v>47</v>
      </c>
      <c r="E362" s="7">
        <v>85</v>
      </c>
      <c r="F362" s="8">
        <v>85</v>
      </c>
      <c r="G362" s="1">
        <v>430</v>
      </c>
      <c r="H362" s="19">
        <v>71.67</v>
      </c>
    </row>
    <row r="363" spans="1:8" x14ac:dyDescent="0.35">
      <c r="A363" s="3">
        <v>65</v>
      </c>
      <c r="B363" s="4">
        <v>47</v>
      </c>
      <c r="C363" s="5">
        <v>75</v>
      </c>
      <c r="D363" s="6">
        <v>73</v>
      </c>
      <c r="E363" s="7">
        <v>85</v>
      </c>
      <c r="F363" s="8">
        <v>85</v>
      </c>
      <c r="G363" s="1">
        <v>430</v>
      </c>
      <c r="H363" s="19">
        <v>71.67</v>
      </c>
    </row>
    <row r="364" spans="1:8" x14ac:dyDescent="0.35">
      <c r="A364" s="3">
        <v>50</v>
      </c>
      <c r="B364" s="4">
        <v>60</v>
      </c>
      <c r="C364" s="5">
        <v>45</v>
      </c>
      <c r="D364" s="6">
        <v>100</v>
      </c>
      <c r="E364" s="7">
        <v>80</v>
      </c>
      <c r="F364" s="8">
        <v>65</v>
      </c>
      <c r="G364" s="1">
        <v>400</v>
      </c>
      <c r="H364" s="19">
        <v>66.67</v>
      </c>
    </row>
    <row r="365" spans="1:8" x14ac:dyDescent="0.35">
      <c r="A365" s="3">
        <v>70</v>
      </c>
      <c r="B365" s="4">
        <v>43</v>
      </c>
      <c r="C365" s="5">
        <v>53</v>
      </c>
      <c r="D365" s="6">
        <v>43</v>
      </c>
      <c r="E365" s="7">
        <v>53</v>
      </c>
      <c r="F365" s="8">
        <v>40</v>
      </c>
      <c r="G365" s="1">
        <v>302</v>
      </c>
      <c r="H365" s="19">
        <v>50.33</v>
      </c>
    </row>
    <row r="366" spans="1:8" x14ac:dyDescent="0.35">
      <c r="A366" s="3">
        <v>100</v>
      </c>
      <c r="B366" s="4">
        <v>73</v>
      </c>
      <c r="C366" s="5">
        <v>83</v>
      </c>
      <c r="D366" s="6">
        <v>73</v>
      </c>
      <c r="E366" s="7">
        <v>83</v>
      </c>
      <c r="F366" s="8">
        <v>55</v>
      </c>
      <c r="G366" s="1">
        <v>467</v>
      </c>
      <c r="H366" s="19">
        <v>77.83</v>
      </c>
    </row>
    <row r="367" spans="1:8" x14ac:dyDescent="0.35">
      <c r="A367" s="3">
        <v>45</v>
      </c>
      <c r="B367" s="4">
        <v>90</v>
      </c>
      <c r="C367" s="5">
        <v>20</v>
      </c>
      <c r="D367" s="6">
        <v>65</v>
      </c>
      <c r="E367" s="7">
        <v>20</v>
      </c>
      <c r="F367" s="8">
        <v>65</v>
      </c>
      <c r="G367" s="1">
        <v>305</v>
      </c>
      <c r="H367" s="19">
        <v>50.83</v>
      </c>
    </row>
    <row r="368" spans="1:8" x14ac:dyDescent="0.35">
      <c r="A368" s="3">
        <v>70</v>
      </c>
      <c r="B368" s="4">
        <v>120</v>
      </c>
      <c r="C368" s="5">
        <v>40</v>
      </c>
      <c r="D368" s="6">
        <v>95</v>
      </c>
      <c r="E368" s="7">
        <v>40</v>
      </c>
      <c r="F368" s="8">
        <v>95</v>
      </c>
      <c r="G368" s="1">
        <v>460</v>
      </c>
      <c r="H368" s="19">
        <v>76.67</v>
      </c>
    </row>
    <row r="369" spans="1:8" x14ac:dyDescent="0.35">
      <c r="A369" s="3">
        <v>70</v>
      </c>
      <c r="B369" s="4">
        <v>140</v>
      </c>
      <c r="C369" s="5">
        <v>70</v>
      </c>
      <c r="D369" s="42">
        <v>110</v>
      </c>
      <c r="E369" s="7">
        <v>65</v>
      </c>
      <c r="F369" s="8">
        <v>105</v>
      </c>
      <c r="G369" s="1">
        <v>560</v>
      </c>
      <c r="H369" s="19">
        <v>93.33</v>
      </c>
    </row>
    <row r="370" spans="1:8" x14ac:dyDescent="0.35">
      <c r="A370" s="3">
        <v>130</v>
      </c>
      <c r="B370" s="4">
        <v>70</v>
      </c>
      <c r="C370" s="5">
        <v>35</v>
      </c>
      <c r="D370" s="6">
        <v>70</v>
      </c>
      <c r="E370" s="7">
        <v>35</v>
      </c>
      <c r="F370" s="8">
        <v>60</v>
      </c>
      <c r="G370" s="1">
        <v>400</v>
      </c>
      <c r="H370" s="19">
        <v>66.67</v>
      </c>
    </row>
    <row r="371" spans="1:8" x14ac:dyDescent="0.35">
      <c r="A371" s="3">
        <v>170</v>
      </c>
      <c r="B371" s="4">
        <v>90</v>
      </c>
      <c r="C371" s="5">
        <v>45</v>
      </c>
      <c r="D371" s="6">
        <v>90</v>
      </c>
      <c r="E371" s="7">
        <v>45</v>
      </c>
      <c r="F371" s="8">
        <v>60</v>
      </c>
      <c r="G371" s="1">
        <v>500</v>
      </c>
      <c r="H371" s="19">
        <v>83.33</v>
      </c>
    </row>
    <row r="372" spans="1:8" x14ac:dyDescent="0.35">
      <c r="A372" s="3">
        <v>60</v>
      </c>
      <c r="B372" s="4">
        <v>60</v>
      </c>
      <c r="C372" s="5">
        <v>40</v>
      </c>
      <c r="D372" s="6">
        <v>65</v>
      </c>
      <c r="E372" s="7">
        <v>45</v>
      </c>
      <c r="F372" s="8">
        <v>35</v>
      </c>
      <c r="G372" s="1">
        <v>305</v>
      </c>
      <c r="H372" s="19">
        <v>50.83</v>
      </c>
    </row>
    <row r="373" spans="1:8" x14ac:dyDescent="0.35">
      <c r="A373" s="3">
        <v>70</v>
      </c>
      <c r="B373" s="4">
        <v>100</v>
      </c>
      <c r="C373" s="5">
        <v>70</v>
      </c>
      <c r="D373" s="6">
        <v>105</v>
      </c>
      <c r="E373" s="7">
        <v>75</v>
      </c>
      <c r="F373" s="8">
        <v>40</v>
      </c>
      <c r="G373" s="1">
        <v>460</v>
      </c>
      <c r="H373" s="19">
        <v>76.67</v>
      </c>
    </row>
    <row r="374" spans="1:8" x14ac:dyDescent="0.35">
      <c r="A374" s="3">
        <v>70</v>
      </c>
      <c r="B374" s="4">
        <v>120</v>
      </c>
      <c r="C374" s="5">
        <v>100</v>
      </c>
      <c r="D374" s="6">
        <v>145</v>
      </c>
      <c r="E374" s="7">
        <v>105</v>
      </c>
      <c r="F374" s="8">
        <v>20</v>
      </c>
      <c r="G374" s="1">
        <v>560</v>
      </c>
      <c r="H374" s="19">
        <v>93.33</v>
      </c>
    </row>
    <row r="375" spans="1:8" x14ac:dyDescent="0.35">
      <c r="A375" s="3">
        <v>70</v>
      </c>
      <c r="B375" s="4">
        <v>85</v>
      </c>
      <c r="C375" s="5">
        <v>140</v>
      </c>
      <c r="D375" s="6">
        <v>85</v>
      </c>
      <c r="E375" s="7">
        <v>70</v>
      </c>
      <c r="F375" s="8">
        <v>20</v>
      </c>
      <c r="G375" s="1">
        <v>470</v>
      </c>
      <c r="H375" s="19">
        <v>78.33</v>
      </c>
    </row>
    <row r="376" spans="1:8" x14ac:dyDescent="0.35">
      <c r="A376" s="3">
        <v>60</v>
      </c>
      <c r="B376" s="4">
        <v>25</v>
      </c>
      <c r="C376" s="5">
        <v>35</v>
      </c>
      <c r="D376" s="6">
        <v>70</v>
      </c>
      <c r="E376" s="7">
        <v>80</v>
      </c>
      <c r="F376" s="8">
        <v>60</v>
      </c>
      <c r="G376" s="1">
        <v>330</v>
      </c>
      <c r="H376" s="19">
        <v>55</v>
      </c>
    </row>
    <row r="377" spans="1:8" x14ac:dyDescent="0.35">
      <c r="A377" s="3">
        <v>80</v>
      </c>
      <c r="B377" s="4">
        <v>45</v>
      </c>
      <c r="C377" s="5">
        <v>65</v>
      </c>
      <c r="D377" s="6">
        <v>90</v>
      </c>
      <c r="E377" s="7">
        <v>110</v>
      </c>
      <c r="F377" s="8">
        <v>80</v>
      </c>
      <c r="G377" s="1">
        <v>470</v>
      </c>
      <c r="H377" s="19">
        <v>78.33</v>
      </c>
    </row>
    <row r="378" spans="1:8" x14ac:dyDescent="0.35">
      <c r="A378" s="3">
        <v>60</v>
      </c>
      <c r="B378" s="4">
        <v>60</v>
      </c>
      <c r="C378" s="5">
        <v>60</v>
      </c>
      <c r="D378" s="6">
        <v>60</v>
      </c>
      <c r="E378" s="7">
        <v>60</v>
      </c>
      <c r="F378" s="8">
        <v>60</v>
      </c>
      <c r="G378" s="1">
        <v>360</v>
      </c>
      <c r="H378" s="19">
        <v>60</v>
      </c>
    </row>
    <row r="379" spans="1:8" x14ac:dyDescent="0.35">
      <c r="A379" s="3">
        <v>45</v>
      </c>
      <c r="B379" s="4">
        <v>100</v>
      </c>
      <c r="C379" s="5">
        <v>45</v>
      </c>
      <c r="D379" s="6">
        <v>45</v>
      </c>
      <c r="E379" s="7">
        <v>45</v>
      </c>
      <c r="F379" s="8">
        <v>10</v>
      </c>
      <c r="G379" s="1">
        <v>290</v>
      </c>
      <c r="H379" s="19">
        <v>48.33</v>
      </c>
    </row>
    <row r="380" spans="1:8" x14ac:dyDescent="0.35">
      <c r="A380" s="3">
        <v>50</v>
      </c>
      <c r="B380" s="4">
        <v>70</v>
      </c>
      <c r="C380" s="5">
        <v>50</v>
      </c>
      <c r="D380" s="6">
        <v>50</v>
      </c>
      <c r="E380" s="7">
        <v>50</v>
      </c>
      <c r="F380" s="8">
        <v>70</v>
      </c>
      <c r="G380" s="1">
        <v>340</v>
      </c>
      <c r="H380" s="19">
        <v>56.67</v>
      </c>
    </row>
    <row r="381" spans="1:8" x14ac:dyDescent="0.35">
      <c r="A381" s="3">
        <v>80</v>
      </c>
      <c r="B381" s="4">
        <v>100</v>
      </c>
      <c r="C381" s="5">
        <v>80</v>
      </c>
      <c r="D381" s="6">
        <v>80</v>
      </c>
      <c r="E381" s="7">
        <v>80</v>
      </c>
      <c r="F381" s="8">
        <v>100</v>
      </c>
      <c r="G381" s="1">
        <v>520</v>
      </c>
      <c r="H381" s="19">
        <v>86.67</v>
      </c>
    </row>
    <row r="382" spans="1:8" x14ac:dyDescent="0.35">
      <c r="A382" s="3">
        <v>50</v>
      </c>
      <c r="B382" s="4">
        <v>85</v>
      </c>
      <c r="C382" s="5">
        <v>40</v>
      </c>
      <c r="D382" s="6">
        <v>85</v>
      </c>
      <c r="E382" s="7">
        <v>40</v>
      </c>
      <c r="F382" s="8">
        <v>35</v>
      </c>
      <c r="G382" s="1">
        <v>335</v>
      </c>
      <c r="H382" s="19">
        <v>55.83</v>
      </c>
    </row>
    <row r="383" spans="1:8" x14ac:dyDescent="0.35">
      <c r="A383" s="3">
        <v>70</v>
      </c>
      <c r="B383" s="4">
        <v>115</v>
      </c>
      <c r="C383" s="5">
        <v>60</v>
      </c>
      <c r="D383" s="6">
        <v>115</v>
      </c>
      <c r="E383" s="7">
        <v>60</v>
      </c>
      <c r="F383" s="8">
        <v>55</v>
      </c>
      <c r="G383" s="1">
        <v>475</v>
      </c>
      <c r="H383" s="19">
        <v>79.17</v>
      </c>
    </row>
    <row r="384" spans="1:8" x14ac:dyDescent="0.35">
      <c r="A384" s="3">
        <v>45</v>
      </c>
      <c r="B384" s="4">
        <v>40</v>
      </c>
      <c r="C384" s="5">
        <v>60</v>
      </c>
      <c r="D384" s="6">
        <v>40</v>
      </c>
      <c r="E384" s="7">
        <v>75</v>
      </c>
      <c r="F384" s="8">
        <v>50</v>
      </c>
      <c r="G384" s="1">
        <v>310</v>
      </c>
      <c r="H384" s="19">
        <v>51.67</v>
      </c>
    </row>
    <row r="385" spans="1:8" x14ac:dyDescent="0.35">
      <c r="A385" s="3">
        <v>75</v>
      </c>
      <c r="B385" s="4">
        <v>70</v>
      </c>
      <c r="C385" s="5">
        <v>90</v>
      </c>
      <c r="D385" s="6">
        <v>70</v>
      </c>
      <c r="E385" s="7">
        <v>105</v>
      </c>
      <c r="F385" s="8">
        <v>80</v>
      </c>
      <c r="G385" s="1">
        <v>490</v>
      </c>
      <c r="H385" s="19">
        <v>81.67</v>
      </c>
    </row>
    <row r="386" spans="1:8" x14ac:dyDescent="0.35">
      <c r="A386" s="3">
        <v>75</v>
      </c>
      <c r="B386" s="4">
        <v>110</v>
      </c>
      <c r="C386" s="5">
        <v>110</v>
      </c>
      <c r="D386" s="6">
        <v>110</v>
      </c>
      <c r="E386" s="7">
        <v>105</v>
      </c>
      <c r="F386" s="8">
        <v>80</v>
      </c>
      <c r="G386" s="1">
        <v>590</v>
      </c>
      <c r="H386" s="19">
        <v>98.33</v>
      </c>
    </row>
    <row r="387" spans="1:8" x14ac:dyDescent="0.35">
      <c r="A387" s="3">
        <v>73</v>
      </c>
      <c r="B387" s="4">
        <v>115</v>
      </c>
      <c r="C387" s="5">
        <v>60</v>
      </c>
      <c r="D387" s="6">
        <v>60</v>
      </c>
      <c r="E387" s="7">
        <v>60</v>
      </c>
      <c r="F387" s="8">
        <v>90</v>
      </c>
      <c r="G387" s="1">
        <v>458</v>
      </c>
      <c r="H387" s="19">
        <v>76.33</v>
      </c>
    </row>
    <row r="388" spans="1:8" x14ac:dyDescent="0.35">
      <c r="A388" s="3">
        <v>73</v>
      </c>
      <c r="B388" s="4">
        <v>100</v>
      </c>
      <c r="C388" s="5">
        <v>60</v>
      </c>
      <c r="D388" s="6">
        <v>100</v>
      </c>
      <c r="E388" s="7">
        <v>60</v>
      </c>
      <c r="F388" s="8">
        <v>65</v>
      </c>
      <c r="G388" s="1">
        <v>458</v>
      </c>
      <c r="H388" s="19">
        <v>76.33</v>
      </c>
    </row>
    <row r="389" spans="1:8" x14ac:dyDescent="0.35">
      <c r="A389" s="3">
        <v>90</v>
      </c>
      <c r="B389" s="4">
        <v>55</v>
      </c>
      <c r="C389" s="5">
        <v>65</v>
      </c>
      <c r="D389" s="6">
        <v>95</v>
      </c>
      <c r="E389" s="7">
        <v>85</v>
      </c>
      <c r="F389" s="8">
        <v>70</v>
      </c>
      <c r="G389" s="1">
        <v>460</v>
      </c>
      <c r="H389" s="19">
        <v>76.67</v>
      </c>
    </row>
    <row r="390" spans="1:8" x14ac:dyDescent="0.35">
      <c r="A390" s="3">
        <v>90</v>
      </c>
      <c r="B390" s="4">
        <v>95</v>
      </c>
      <c r="C390" s="5">
        <v>85</v>
      </c>
      <c r="D390" s="6">
        <v>55</v>
      </c>
      <c r="E390" s="7">
        <v>65</v>
      </c>
      <c r="F390" s="8">
        <v>70</v>
      </c>
      <c r="G390" s="1">
        <v>460</v>
      </c>
      <c r="H390" s="19">
        <v>76.67</v>
      </c>
    </row>
    <row r="391" spans="1:8" x14ac:dyDescent="0.35">
      <c r="A391" s="3">
        <v>50</v>
      </c>
      <c r="B391" s="4">
        <v>48</v>
      </c>
      <c r="C391" s="5">
        <v>43</v>
      </c>
      <c r="D391" s="6">
        <v>46</v>
      </c>
      <c r="E391" s="7">
        <v>41</v>
      </c>
      <c r="F391" s="8">
        <v>60</v>
      </c>
      <c r="G391" s="1">
        <v>288</v>
      </c>
      <c r="H391" s="19">
        <v>48</v>
      </c>
    </row>
    <row r="392" spans="1:8" x14ac:dyDescent="0.35">
      <c r="A392" s="3">
        <v>110</v>
      </c>
      <c r="B392" s="4">
        <v>78</v>
      </c>
      <c r="C392" s="5">
        <v>73</v>
      </c>
      <c r="D392" s="6">
        <v>76</v>
      </c>
      <c r="E392" s="7">
        <v>71</v>
      </c>
      <c r="F392" s="8">
        <v>60</v>
      </c>
      <c r="G392" s="1">
        <v>468</v>
      </c>
      <c r="H392" s="19">
        <v>78</v>
      </c>
    </row>
    <row r="393" spans="1:8" x14ac:dyDescent="0.35">
      <c r="A393" s="3">
        <v>43</v>
      </c>
      <c r="B393" s="4">
        <v>80</v>
      </c>
      <c r="C393" s="5">
        <v>65</v>
      </c>
      <c r="D393" s="6">
        <v>50</v>
      </c>
      <c r="E393" s="7">
        <v>35</v>
      </c>
      <c r="F393" s="8">
        <v>35</v>
      </c>
      <c r="G393" s="1">
        <v>308</v>
      </c>
      <c r="H393" s="19">
        <v>51.33</v>
      </c>
    </row>
    <row r="394" spans="1:8" x14ac:dyDescent="0.35">
      <c r="A394" s="3">
        <v>63</v>
      </c>
      <c r="B394" s="4">
        <v>120</v>
      </c>
      <c r="C394" s="5">
        <v>85</v>
      </c>
      <c r="D394" s="6">
        <v>90</v>
      </c>
      <c r="E394" s="7">
        <v>55</v>
      </c>
      <c r="F394" s="8">
        <v>55</v>
      </c>
      <c r="G394" s="1">
        <v>468</v>
      </c>
      <c r="H394" s="19">
        <v>78</v>
      </c>
    </row>
    <row r="395" spans="1:8" x14ac:dyDescent="0.35">
      <c r="A395" s="3">
        <v>40</v>
      </c>
      <c r="B395" s="4">
        <v>40</v>
      </c>
      <c r="C395" s="5">
        <v>55</v>
      </c>
      <c r="D395" s="6">
        <v>40</v>
      </c>
      <c r="E395" s="7">
        <v>70</v>
      </c>
      <c r="F395" s="8">
        <v>55</v>
      </c>
      <c r="G395" s="1">
        <v>300</v>
      </c>
      <c r="H395" s="19">
        <v>50</v>
      </c>
    </row>
    <row r="396" spans="1:8" x14ac:dyDescent="0.35">
      <c r="A396" s="3">
        <v>60</v>
      </c>
      <c r="B396" s="4">
        <v>70</v>
      </c>
      <c r="C396" s="5">
        <v>105</v>
      </c>
      <c r="D396" s="6">
        <v>70</v>
      </c>
      <c r="E396" s="7">
        <v>120</v>
      </c>
      <c r="F396" s="8">
        <v>75</v>
      </c>
      <c r="G396" s="1">
        <v>500</v>
      </c>
      <c r="H396" s="19">
        <v>83.33</v>
      </c>
    </row>
    <row r="397" spans="1:8" x14ac:dyDescent="0.35">
      <c r="A397" s="3">
        <v>66</v>
      </c>
      <c r="B397" s="4">
        <v>41</v>
      </c>
      <c r="C397" s="5">
        <v>77</v>
      </c>
      <c r="D397" s="6">
        <v>61</v>
      </c>
      <c r="E397" s="7">
        <v>87</v>
      </c>
      <c r="F397" s="8">
        <v>23</v>
      </c>
      <c r="G397" s="1">
        <v>355</v>
      </c>
      <c r="H397" s="19">
        <v>59.17</v>
      </c>
    </row>
    <row r="398" spans="1:8" x14ac:dyDescent="0.35">
      <c r="A398" s="3">
        <v>86</v>
      </c>
      <c r="B398" s="4">
        <v>81</v>
      </c>
      <c r="C398" s="5">
        <v>97</v>
      </c>
      <c r="D398" s="6">
        <v>81</v>
      </c>
      <c r="E398" s="7">
        <v>107</v>
      </c>
      <c r="F398" s="8">
        <v>43</v>
      </c>
      <c r="G398" s="1">
        <v>495</v>
      </c>
      <c r="H398" s="19">
        <v>82.5</v>
      </c>
    </row>
    <row r="399" spans="1:8" x14ac:dyDescent="0.35">
      <c r="A399" s="3">
        <v>45</v>
      </c>
      <c r="B399" s="4">
        <v>95</v>
      </c>
      <c r="C399" s="5">
        <v>50</v>
      </c>
      <c r="D399" s="6">
        <v>40</v>
      </c>
      <c r="E399" s="7">
        <v>50</v>
      </c>
      <c r="F399" s="8">
        <v>75</v>
      </c>
      <c r="G399" s="1">
        <v>355</v>
      </c>
      <c r="H399" s="19">
        <v>59.17</v>
      </c>
    </row>
    <row r="400" spans="1:8" x14ac:dyDescent="0.35">
      <c r="A400" s="3">
        <v>75</v>
      </c>
      <c r="B400" s="4">
        <v>125</v>
      </c>
      <c r="C400" s="5">
        <v>100</v>
      </c>
      <c r="D400" s="6">
        <v>70</v>
      </c>
      <c r="E400" s="7">
        <v>80</v>
      </c>
      <c r="F400" s="8">
        <v>45</v>
      </c>
      <c r="G400" s="1">
        <v>495</v>
      </c>
      <c r="H400" s="19">
        <v>82.5</v>
      </c>
    </row>
    <row r="401" spans="1:8" x14ac:dyDescent="0.35">
      <c r="A401" s="3">
        <v>20</v>
      </c>
      <c r="B401" s="4">
        <v>15</v>
      </c>
      <c r="C401" s="5">
        <v>20</v>
      </c>
      <c r="D401" s="6">
        <v>10</v>
      </c>
      <c r="E401" s="7">
        <v>55</v>
      </c>
      <c r="F401" s="8">
        <v>80</v>
      </c>
      <c r="G401" s="45">
        <v>200</v>
      </c>
      <c r="H401" s="19">
        <v>33.33</v>
      </c>
    </row>
    <row r="402" spans="1:8" x14ac:dyDescent="0.35">
      <c r="A402" s="3">
        <v>95</v>
      </c>
      <c r="B402" s="4">
        <v>60</v>
      </c>
      <c r="C402" s="5">
        <v>79</v>
      </c>
      <c r="D402" s="6">
        <v>100</v>
      </c>
      <c r="E402" s="7">
        <v>125</v>
      </c>
      <c r="F402" s="8">
        <v>81</v>
      </c>
      <c r="G402" s="1">
        <v>540</v>
      </c>
      <c r="H402" s="19">
        <v>90</v>
      </c>
    </row>
    <row r="403" spans="1:8" x14ac:dyDescent="0.35">
      <c r="A403" s="3">
        <v>70</v>
      </c>
      <c r="B403" s="4">
        <v>70</v>
      </c>
      <c r="C403" s="5">
        <v>70</v>
      </c>
      <c r="D403" s="6">
        <v>70</v>
      </c>
      <c r="E403" s="7">
        <v>70</v>
      </c>
      <c r="F403" s="8">
        <v>70</v>
      </c>
      <c r="G403" s="1">
        <v>420</v>
      </c>
      <c r="H403" s="19">
        <v>70</v>
      </c>
    </row>
    <row r="404" spans="1:8" x14ac:dyDescent="0.35">
      <c r="A404" s="3">
        <v>60</v>
      </c>
      <c r="B404" s="4">
        <v>90</v>
      </c>
      <c r="C404" s="5">
        <v>70</v>
      </c>
      <c r="D404" s="6">
        <v>60</v>
      </c>
      <c r="E404" s="7">
        <v>120</v>
      </c>
      <c r="F404" s="8">
        <v>40</v>
      </c>
      <c r="G404" s="1">
        <v>440</v>
      </c>
      <c r="H404" s="19">
        <v>73.33</v>
      </c>
    </row>
    <row r="405" spans="1:8" x14ac:dyDescent="0.35">
      <c r="A405" s="3">
        <v>44</v>
      </c>
      <c r="B405" s="4">
        <v>75</v>
      </c>
      <c r="C405" s="5">
        <v>35</v>
      </c>
      <c r="D405" s="6">
        <v>63</v>
      </c>
      <c r="E405" s="7">
        <v>33</v>
      </c>
      <c r="F405" s="8">
        <v>45</v>
      </c>
      <c r="G405" s="1">
        <v>295</v>
      </c>
      <c r="H405" s="19">
        <v>49.17</v>
      </c>
    </row>
    <row r="406" spans="1:8" x14ac:dyDescent="0.35">
      <c r="A406" s="3">
        <v>64</v>
      </c>
      <c r="B406" s="4">
        <v>115</v>
      </c>
      <c r="C406" s="5">
        <v>65</v>
      </c>
      <c r="D406" s="6">
        <v>83</v>
      </c>
      <c r="E406" s="7">
        <v>63</v>
      </c>
      <c r="F406" s="8">
        <v>65</v>
      </c>
      <c r="G406" s="1">
        <v>455</v>
      </c>
      <c r="H406" s="19">
        <v>75.83</v>
      </c>
    </row>
    <row r="407" spans="1:8" x14ac:dyDescent="0.35">
      <c r="A407" s="3">
        <v>64</v>
      </c>
      <c r="B407" s="4">
        <v>165</v>
      </c>
      <c r="C407" s="5">
        <v>75</v>
      </c>
      <c r="D407" s="6">
        <v>93</v>
      </c>
      <c r="E407" s="7">
        <v>83</v>
      </c>
      <c r="F407" s="8">
        <v>75</v>
      </c>
      <c r="G407" s="1">
        <v>555</v>
      </c>
      <c r="H407" s="19">
        <v>92.5</v>
      </c>
    </row>
    <row r="408" spans="1:8" x14ac:dyDescent="0.35">
      <c r="A408" s="3">
        <v>20</v>
      </c>
      <c r="B408" s="4">
        <v>40</v>
      </c>
      <c r="C408" s="5">
        <v>90</v>
      </c>
      <c r="D408" s="6">
        <v>30</v>
      </c>
      <c r="E408" s="7">
        <v>90</v>
      </c>
      <c r="F408" s="8">
        <v>25</v>
      </c>
      <c r="G408" s="1">
        <v>295</v>
      </c>
      <c r="H408" s="19">
        <v>49.17</v>
      </c>
    </row>
    <row r="409" spans="1:8" x14ac:dyDescent="0.35">
      <c r="A409" s="3">
        <v>40</v>
      </c>
      <c r="B409" s="4">
        <v>70</v>
      </c>
      <c r="C409" s="5">
        <v>130</v>
      </c>
      <c r="D409" s="6">
        <v>60</v>
      </c>
      <c r="E409" s="7">
        <v>130</v>
      </c>
      <c r="F409" s="8">
        <v>25</v>
      </c>
      <c r="G409" s="1">
        <v>455</v>
      </c>
      <c r="H409" s="19">
        <v>75.83</v>
      </c>
    </row>
    <row r="410" spans="1:8" x14ac:dyDescent="0.35">
      <c r="A410" s="3">
        <v>99</v>
      </c>
      <c r="B410" s="4">
        <v>68</v>
      </c>
      <c r="C410" s="5">
        <v>83</v>
      </c>
      <c r="D410" s="6">
        <v>72</v>
      </c>
      <c r="E410" s="7">
        <v>87</v>
      </c>
      <c r="F410" s="8">
        <v>51</v>
      </c>
      <c r="G410" s="1">
        <v>460</v>
      </c>
      <c r="H410" s="19">
        <v>76.67</v>
      </c>
    </row>
    <row r="411" spans="1:8" x14ac:dyDescent="0.35">
      <c r="A411" s="3">
        <v>75</v>
      </c>
      <c r="B411" s="4">
        <v>50</v>
      </c>
      <c r="C411" s="5">
        <v>80</v>
      </c>
      <c r="D411" s="6">
        <v>95</v>
      </c>
      <c r="E411" s="7">
        <v>90</v>
      </c>
      <c r="F411" s="8">
        <v>65</v>
      </c>
      <c r="G411" s="1">
        <v>455</v>
      </c>
      <c r="H411" s="19">
        <v>75.83</v>
      </c>
    </row>
    <row r="412" spans="1:8" x14ac:dyDescent="0.35">
      <c r="A412" s="3">
        <v>65</v>
      </c>
      <c r="B412" s="4">
        <v>130</v>
      </c>
      <c r="C412" s="5">
        <v>60</v>
      </c>
      <c r="D412" s="6">
        <v>75</v>
      </c>
      <c r="E412" s="7">
        <v>60</v>
      </c>
      <c r="F412" s="8">
        <v>75</v>
      </c>
      <c r="G412" s="1">
        <v>465</v>
      </c>
      <c r="H412" s="19">
        <v>77.5</v>
      </c>
    </row>
    <row r="413" spans="1:8" x14ac:dyDescent="0.35">
      <c r="A413" s="3">
        <v>65</v>
      </c>
      <c r="B413" s="4">
        <v>150</v>
      </c>
      <c r="C413" s="5">
        <v>60</v>
      </c>
      <c r="D413" s="6">
        <v>115</v>
      </c>
      <c r="E413" s="7">
        <v>60</v>
      </c>
      <c r="F413" s="8">
        <v>115</v>
      </c>
      <c r="G413" s="1">
        <v>565</v>
      </c>
      <c r="H413" s="19">
        <v>94.17</v>
      </c>
    </row>
    <row r="414" spans="1:8" x14ac:dyDescent="0.35">
      <c r="A414" s="3">
        <v>95</v>
      </c>
      <c r="B414" s="4">
        <v>23</v>
      </c>
      <c r="C414" s="5">
        <v>48</v>
      </c>
      <c r="D414" s="6">
        <v>23</v>
      </c>
      <c r="E414" s="7">
        <v>48</v>
      </c>
      <c r="F414" s="8">
        <v>23</v>
      </c>
      <c r="G414" s="1">
        <v>260</v>
      </c>
      <c r="H414" s="19">
        <v>43.33</v>
      </c>
    </row>
    <row r="415" spans="1:8" x14ac:dyDescent="0.35">
      <c r="A415" s="3">
        <v>50</v>
      </c>
      <c r="B415" s="4">
        <v>50</v>
      </c>
      <c r="C415" s="5">
        <v>50</v>
      </c>
      <c r="D415" s="6">
        <v>50</v>
      </c>
      <c r="E415" s="7">
        <v>50</v>
      </c>
      <c r="F415" s="8">
        <v>50</v>
      </c>
      <c r="G415" s="1">
        <v>300</v>
      </c>
      <c r="H415" s="19">
        <v>50</v>
      </c>
    </row>
    <row r="416" spans="1:8" x14ac:dyDescent="0.35">
      <c r="A416" s="3">
        <v>80</v>
      </c>
      <c r="B416" s="4">
        <v>80</v>
      </c>
      <c r="C416" s="5">
        <v>80</v>
      </c>
      <c r="D416" s="6">
        <v>80</v>
      </c>
      <c r="E416" s="7">
        <v>80</v>
      </c>
      <c r="F416" s="8">
        <v>80</v>
      </c>
      <c r="G416" s="1">
        <v>480</v>
      </c>
      <c r="H416" s="19">
        <v>80</v>
      </c>
    </row>
    <row r="417" spans="1:8" x14ac:dyDescent="0.35">
      <c r="A417" s="3">
        <v>80</v>
      </c>
      <c r="B417" s="4">
        <v>120</v>
      </c>
      <c r="C417" s="5">
        <v>80</v>
      </c>
      <c r="D417" s="6">
        <v>120</v>
      </c>
      <c r="E417" s="7">
        <v>80</v>
      </c>
      <c r="F417" s="8">
        <v>100</v>
      </c>
      <c r="G417" s="1">
        <v>580</v>
      </c>
      <c r="H417" s="19">
        <v>96.67</v>
      </c>
    </row>
    <row r="418" spans="1:8" x14ac:dyDescent="0.35">
      <c r="A418" s="3">
        <v>70</v>
      </c>
      <c r="B418" s="4">
        <v>40</v>
      </c>
      <c r="C418" s="5">
        <v>50</v>
      </c>
      <c r="D418" s="6">
        <v>55</v>
      </c>
      <c r="E418" s="7">
        <v>50</v>
      </c>
      <c r="F418" s="8">
        <v>25</v>
      </c>
      <c r="G418" s="1">
        <v>290</v>
      </c>
      <c r="H418" s="19">
        <v>48.33</v>
      </c>
    </row>
    <row r="419" spans="1:8" x14ac:dyDescent="0.35">
      <c r="A419" s="3">
        <v>90</v>
      </c>
      <c r="B419" s="4">
        <v>60</v>
      </c>
      <c r="C419" s="5">
        <v>70</v>
      </c>
      <c r="D419" s="6">
        <v>75</v>
      </c>
      <c r="E419" s="7">
        <v>70</v>
      </c>
      <c r="F419" s="8">
        <v>45</v>
      </c>
      <c r="G419" s="1">
        <v>410</v>
      </c>
      <c r="H419" s="19">
        <v>68.33</v>
      </c>
    </row>
    <row r="420" spans="1:8" x14ac:dyDescent="0.35">
      <c r="A420" s="3">
        <v>110</v>
      </c>
      <c r="B420" s="4">
        <v>80</v>
      </c>
      <c r="C420" s="5">
        <v>90</v>
      </c>
      <c r="D420" s="6">
        <v>95</v>
      </c>
      <c r="E420" s="7">
        <v>90</v>
      </c>
      <c r="F420" s="8">
        <v>65</v>
      </c>
      <c r="G420" s="1">
        <v>530</v>
      </c>
      <c r="H420" s="19">
        <v>88.33</v>
      </c>
    </row>
    <row r="421" spans="1:8" x14ac:dyDescent="0.35">
      <c r="A421" s="3">
        <v>35</v>
      </c>
      <c r="B421" s="4">
        <v>64</v>
      </c>
      <c r="C421" s="5">
        <v>85</v>
      </c>
      <c r="D421" s="6">
        <v>74</v>
      </c>
      <c r="E421" s="7">
        <v>55</v>
      </c>
      <c r="F421" s="8">
        <v>32</v>
      </c>
      <c r="G421" s="1">
        <v>345</v>
      </c>
      <c r="H421" s="19">
        <v>57.5</v>
      </c>
    </row>
    <row r="422" spans="1:8" x14ac:dyDescent="0.35">
      <c r="A422" s="3">
        <v>55</v>
      </c>
      <c r="B422" s="4">
        <v>104</v>
      </c>
      <c r="C422" s="5">
        <v>105</v>
      </c>
      <c r="D422" s="6">
        <v>94</v>
      </c>
      <c r="E422" s="7">
        <v>75</v>
      </c>
      <c r="F422" s="8">
        <v>52</v>
      </c>
      <c r="G422" s="1">
        <v>485</v>
      </c>
      <c r="H422" s="19">
        <v>80.83</v>
      </c>
    </row>
    <row r="423" spans="1:8" x14ac:dyDescent="0.35">
      <c r="A423" s="3">
        <v>55</v>
      </c>
      <c r="B423" s="4">
        <v>84</v>
      </c>
      <c r="C423" s="5">
        <v>105</v>
      </c>
      <c r="D423" s="6">
        <v>114</v>
      </c>
      <c r="E423" s="7">
        <v>75</v>
      </c>
      <c r="F423" s="8">
        <v>52</v>
      </c>
      <c r="G423" s="1">
        <v>485</v>
      </c>
      <c r="H423" s="19">
        <v>80.83</v>
      </c>
    </row>
    <row r="424" spans="1:8" x14ac:dyDescent="0.35">
      <c r="A424" s="3">
        <v>100</v>
      </c>
      <c r="B424" s="4">
        <v>90</v>
      </c>
      <c r="C424" s="5">
        <v>130</v>
      </c>
      <c r="D424" s="6">
        <v>45</v>
      </c>
      <c r="E424" s="7">
        <v>65</v>
      </c>
      <c r="F424" s="8">
        <v>55</v>
      </c>
      <c r="G424" s="1">
        <v>485</v>
      </c>
      <c r="H424" s="19">
        <v>80.83</v>
      </c>
    </row>
    <row r="425" spans="1:8" x14ac:dyDescent="0.35">
      <c r="A425" s="3">
        <v>43</v>
      </c>
      <c r="B425" s="4">
        <v>30</v>
      </c>
      <c r="C425" s="5">
        <v>55</v>
      </c>
      <c r="D425" s="6">
        <v>40</v>
      </c>
      <c r="E425" s="7">
        <v>65</v>
      </c>
      <c r="F425" s="8">
        <v>97</v>
      </c>
      <c r="G425" s="1">
        <v>330</v>
      </c>
      <c r="H425" s="19">
        <v>55</v>
      </c>
    </row>
    <row r="426" spans="1:8" x14ac:dyDescent="0.35">
      <c r="A426" s="3">
        <v>45</v>
      </c>
      <c r="B426" s="4">
        <v>75</v>
      </c>
      <c r="C426" s="5">
        <v>60</v>
      </c>
      <c r="D426" s="6">
        <v>40</v>
      </c>
      <c r="E426" s="7">
        <v>30</v>
      </c>
      <c r="F426" s="8">
        <v>50</v>
      </c>
      <c r="G426" s="1">
        <v>300</v>
      </c>
      <c r="H426" s="19">
        <v>50</v>
      </c>
    </row>
    <row r="427" spans="1:8" x14ac:dyDescent="0.35">
      <c r="A427" s="3">
        <v>65</v>
      </c>
      <c r="B427" s="4">
        <v>95</v>
      </c>
      <c r="C427" s="5">
        <v>100</v>
      </c>
      <c r="D427" s="6">
        <v>60</v>
      </c>
      <c r="E427" s="7">
        <v>50</v>
      </c>
      <c r="F427" s="8">
        <v>50</v>
      </c>
      <c r="G427" s="1">
        <v>420</v>
      </c>
      <c r="H427" s="19">
        <v>70</v>
      </c>
    </row>
    <row r="428" spans="1:8" x14ac:dyDescent="0.35">
      <c r="A428" s="3">
        <v>95</v>
      </c>
      <c r="B428" s="4">
        <v>135</v>
      </c>
      <c r="C428" s="5">
        <v>80</v>
      </c>
      <c r="D428" s="6">
        <v>110</v>
      </c>
      <c r="E428" s="7">
        <v>80</v>
      </c>
      <c r="F428" s="8">
        <v>100</v>
      </c>
      <c r="G428" s="1">
        <v>600</v>
      </c>
      <c r="H428" s="19">
        <v>100</v>
      </c>
    </row>
    <row r="429" spans="1:8" x14ac:dyDescent="0.35">
      <c r="A429" s="3">
        <v>95</v>
      </c>
      <c r="B429" s="4">
        <v>145</v>
      </c>
      <c r="C429" s="5">
        <v>130</v>
      </c>
      <c r="D429" s="6">
        <v>120</v>
      </c>
      <c r="E429" s="7">
        <v>90</v>
      </c>
      <c r="F429" s="8">
        <v>120</v>
      </c>
      <c r="G429" s="1">
        <v>700</v>
      </c>
      <c r="H429" s="19">
        <v>116.67</v>
      </c>
    </row>
    <row r="430" spans="1:8" x14ac:dyDescent="0.35">
      <c r="A430" s="3">
        <v>40</v>
      </c>
      <c r="B430" s="4">
        <v>55</v>
      </c>
      <c r="C430" s="5">
        <v>80</v>
      </c>
      <c r="D430" s="6">
        <v>35</v>
      </c>
      <c r="E430" s="7">
        <v>60</v>
      </c>
      <c r="F430" s="8">
        <v>30</v>
      </c>
      <c r="G430" s="1">
        <v>300</v>
      </c>
      <c r="H430" s="19">
        <v>50</v>
      </c>
    </row>
    <row r="431" spans="1:8" x14ac:dyDescent="0.35">
      <c r="A431" s="3">
        <v>60</v>
      </c>
      <c r="B431" s="4">
        <v>75</v>
      </c>
      <c r="C431" s="5">
        <v>100</v>
      </c>
      <c r="D431" s="6">
        <v>55</v>
      </c>
      <c r="E431" s="7">
        <v>80</v>
      </c>
      <c r="F431" s="8">
        <v>50</v>
      </c>
      <c r="G431" s="1">
        <v>420</v>
      </c>
      <c r="H431" s="19">
        <v>70</v>
      </c>
    </row>
    <row r="432" spans="1:8" x14ac:dyDescent="0.35">
      <c r="A432" s="3">
        <v>80</v>
      </c>
      <c r="B432" s="4">
        <v>135</v>
      </c>
      <c r="C432" s="5">
        <v>130</v>
      </c>
      <c r="D432" s="6">
        <v>95</v>
      </c>
      <c r="E432" s="7">
        <v>90</v>
      </c>
      <c r="F432" s="8">
        <v>70</v>
      </c>
      <c r="G432" s="1">
        <v>600</v>
      </c>
      <c r="H432" s="19">
        <v>100</v>
      </c>
    </row>
    <row r="433" spans="1:8" x14ac:dyDescent="0.35">
      <c r="A433" s="3">
        <v>80</v>
      </c>
      <c r="B433" s="4">
        <v>145</v>
      </c>
      <c r="C433" s="5">
        <v>150</v>
      </c>
      <c r="D433" s="6">
        <v>105</v>
      </c>
      <c r="E433" s="7">
        <v>110</v>
      </c>
      <c r="F433" s="8">
        <v>110</v>
      </c>
      <c r="G433" s="1">
        <v>700</v>
      </c>
      <c r="H433" s="19">
        <v>116.67</v>
      </c>
    </row>
    <row r="434" spans="1:8" x14ac:dyDescent="0.35">
      <c r="A434" s="3">
        <v>80</v>
      </c>
      <c r="B434" s="4">
        <v>100</v>
      </c>
      <c r="C434" s="5">
        <v>200</v>
      </c>
      <c r="D434" s="6">
        <v>50</v>
      </c>
      <c r="E434" s="7">
        <v>100</v>
      </c>
      <c r="F434" s="8">
        <v>50</v>
      </c>
      <c r="G434" s="1">
        <v>580</v>
      </c>
      <c r="H434" s="19">
        <v>96.67</v>
      </c>
    </row>
    <row r="435" spans="1:8" x14ac:dyDescent="0.35">
      <c r="A435" s="3">
        <v>80</v>
      </c>
      <c r="B435" s="4">
        <v>50</v>
      </c>
      <c r="C435" s="5">
        <v>100</v>
      </c>
      <c r="D435" s="6">
        <v>100</v>
      </c>
      <c r="E435" s="7">
        <v>200</v>
      </c>
      <c r="F435" s="8">
        <v>50</v>
      </c>
      <c r="G435" s="1">
        <v>580</v>
      </c>
      <c r="H435" s="19">
        <v>96.67</v>
      </c>
    </row>
    <row r="436" spans="1:8" x14ac:dyDescent="0.35">
      <c r="A436" s="3">
        <v>80</v>
      </c>
      <c r="B436" s="4">
        <v>75</v>
      </c>
      <c r="C436" s="5">
        <v>150</v>
      </c>
      <c r="D436" s="6">
        <v>75</v>
      </c>
      <c r="E436" s="7">
        <v>150</v>
      </c>
      <c r="F436" s="8">
        <v>50</v>
      </c>
      <c r="G436" s="1">
        <v>580</v>
      </c>
      <c r="H436" s="19">
        <v>96.67</v>
      </c>
    </row>
    <row r="437" spans="1:8" x14ac:dyDescent="0.35">
      <c r="A437" s="3">
        <v>80</v>
      </c>
      <c r="B437" s="4">
        <v>80</v>
      </c>
      <c r="C437" s="5">
        <v>90</v>
      </c>
      <c r="D437" s="6">
        <v>110</v>
      </c>
      <c r="E437" s="7">
        <v>130</v>
      </c>
      <c r="F437" s="8">
        <v>110</v>
      </c>
      <c r="G437" s="1">
        <v>600</v>
      </c>
      <c r="H437" s="19">
        <v>100</v>
      </c>
    </row>
    <row r="438" spans="1:8" x14ac:dyDescent="0.35">
      <c r="A438" s="3">
        <v>80</v>
      </c>
      <c r="B438" s="4">
        <v>100</v>
      </c>
      <c r="C438" s="5">
        <v>120</v>
      </c>
      <c r="D438" s="6">
        <v>140</v>
      </c>
      <c r="E438" s="7">
        <v>150</v>
      </c>
      <c r="F438" s="8">
        <v>110</v>
      </c>
      <c r="G438" s="1">
        <v>700</v>
      </c>
      <c r="H438" s="19">
        <v>116.67</v>
      </c>
    </row>
    <row r="439" spans="1:8" x14ac:dyDescent="0.35">
      <c r="A439" s="3">
        <v>80</v>
      </c>
      <c r="B439" s="4">
        <v>90</v>
      </c>
      <c r="C439" s="5">
        <v>80</v>
      </c>
      <c r="D439" s="6">
        <v>130</v>
      </c>
      <c r="E439" s="7">
        <v>110</v>
      </c>
      <c r="F439" s="8">
        <v>110</v>
      </c>
      <c r="G439" s="1">
        <v>600</v>
      </c>
      <c r="H439" s="19">
        <v>100</v>
      </c>
    </row>
    <row r="440" spans="1:8" x14ac:dyDescent="0.35">
      <c r="A440" s="3">
        <v>80</v>
      </c>
      <c r="B440" s="4">
        <v>130</v>
      </c>
      <c r="C440" s="5">
        <v>100</v>
      </c>
      <c r="D440" s="6">
        <v>160</v>
      </c>
      <c r="E440" s="7">
        <v>120</v>
      </c>
      <c r="F440" s="8">
        <v>110</v>
      </c>
      <c r="G440" s="1">
        <v>700</v>
      </c>
      <c r="H440" s="19">
        <v>116.67</v>
      </c>
    </row>
    <row r="441" spans="1:8" x14ac:dyDescent="0.35">
      <c r="A441" s="3">
        <v>100</v>
      </c>
      <c r="B441" s="4">
        <v>100</v>
      </c>
      <c r="C441" s="5">
        <v>90</v>
      </c>
      <c r="D441" s="6">
        <v>150</v>
      </c>
      <c r="E441" s="7">
        <v>140</v>
      </c>
      <c r="F441" s="8">
        <v>90</v>
      </c>
      <c r="G441" s="1">
        <v>670</v>
      </c>
      <c r="H441" s="19">
        <v>111.67</v>
      </c>
    </row>
    <row r="442" spans="1:8" x14ac:dyDescent="0.35">
      <c r="A442" s="3">
        <v>100</v>
      </c>
      <c r="B442" s="4">
        <v>150</v>
      </c>
      <c r="C442" s="5">
        <v>90</v>
      </c>
      <c r="D442" s="6">
        <v>180</v>
      </c>
      <c r="E442" s="7">
        <v>160</v>
      </c>
      <c r="F442" s="8">
        <v>90</v>
      </c>
      <c r="G442" s="1">
        <v>770</v>
      </c>
      <c r="H442" s="19">
        <v>128.33000000000001</v>
      </c>
    </row>
    <row r="443" spans="1:8" x14ac:dyDescent="0.35">
      <c r="A443" s="3">
        <v>100</v>
      </c>
      <c r="B443" s="4">
        <v>150</v>
      </c>
      <c r="C443" s="5">
        <v>140</v>
      </c>
      <c r="D443" s="6">
        <v>100</v>
      </c>
      <c r="E443" s="7">
        <v>90</v>
      </c>
      <c r="F443" s="8">
        <v>90</v>
      </c>
      <c r="G443" s="1">
        <v>670</v>
      </c>
      <c r="H443" s="19">
        <v>111.67</v>
      </c>
    </row>
    <row r="444" spans="1:8" x14ac:dyDescent="0.35">
      <c r="A444" s="3">
        <v>100</v>
      </c>
      <c r="B444" s="4">
        <v>180</v>
      </c>
      <c r="C444" s="5">
        <v>160</v>
      </c>
      <c r="D444" s="6">
        <v>150</v>
      </c>
      <c r="E444" s="7">
        <v>90</v>
      </c>
      <c r="F444" s="8">
        <v>90</v>
      </c>
      <c r="G444" s="1">
        <v>770</v>
      </c>
      <c r="H444" s="19">
        <v>128.33000000000001</v>
      </c>
    </row>
    <row r="445" spans="1:8" x14ac:dyDescent="0.35">
      <c r="A445" s="3">
        <v>105</v>
      </c>
      <c r="B445" s="4">
        <v>150</v>
      </c>
      <c r="C445" s="5">
        <v>90</v>
      </c>
      <c r="D445" s="6">
        <v>150</v>
      </c>
      <c r="E445" s="7">
        <v>90</v>
      </c>
      <c r="F445" s="8">
        <v>95</v>
      </c>
      <c r="G445" s="1">
        <v>680</v>
      </c>
      <c r="H445" s="19">
        <v>113.33</v>
      </c>
    </row>
    <row r="446" spans="1:8" x14ac:dyDescent="0.35">
      <c r="A446" s="3">
        <v>105</v>
      </c>
      <c r="B446" s="4">
        <v>180</v>
      </c>
      <c r="C446" s="5">
        <v>100</v>
      </c>
      <c r="D446" s="6">
        <v>180</v>
      </c>
      <c r="E446" s="7">
        <v>100</v>
      </c>
      <c r="F446" s="8">
        <v>115</v>
      </c>
      <c r="G446" s="1">
        <v>780</v>
      </c>
      <c r="H446" s="19">
        <v>130</v>
      </c>
    </row>
    <row r="447" spans="1:8" x14ac:dyDescent="0.35">
      <c r="A447" s="3">
        <v>100</v>
      </c>
      <c r="B447" s="4">
        <v>100</v>
      </c>
      <c r="C447" s="5">
        <v>100</v>
      </c>
      <c r="D447" s="6">
        <v>100</v>
      </c>
      <c r="E447" s="7">
        <v>100</v>
      </c>
      <c r="F447" s="8">
        <v>100</v>
      </c>
      <c r="G447" s="1">
        <v>600</v>
      </c>
      <c r="H447" s="19">
        <v>100</v>
      </c>
    </row>
    <row r="448" spans="1:8" x14ac:dyDescent="0.35">
      <c r="A448" s="3">
        <v>50</v>
      </c>
      <c r="B448" s="4">
        <v>180</v>
      </c>
      <c r="C448" s="5">
        <v>20</v>
      </c>
      <c r="D448" s="6">
        <v>180</v>
      </c>
      <c r="E448" s="7">
        <v>20</v>
      </c>
      <c r="F448" s="8">
        <v>150</v>
      </c>
      <c r="G448" s="1">
        <v>600</v>
      </c>
      <c r="H448" s="19">
        <v>100</v>
      </c>
    </row>
    <row r="449" spans="1:8" x14ac:dyDescent="0.35">
      <c r="A449" s="3">
        <v>50</v>
      </c>
      <c r="B449" s="4">
        <v>150</v>
      </c>
      <c r="C449" s="5">
        <v>50</v>
      </c>
      <c r="D449" s="6">
        <v>150</v>
      </c>
      <c r="E449" s="7">
        <v>50</v>
      </c>
      <c r="F449" s="8">
        <v>150</v>
      </c>
      <c r="G449" s="1">
        <v>600</v>
      </c>
      <c r="H449" s="19">
        <v>100</v>
      </c>
    </row>
    <row r="450" spans="1:8" x14ac:dyDescent="0.35">
      <c r="A450" s="3">
        <v>50</v>
      </c>
      <c r="B450" s="4">
        <v>70</v>
      </c>
      <c r="C450" s="5">
        <v>160</v>
      </c>
      <c r="D450" s="6">
        <v>70</v>
      </c>
      <c r="E450" s="7">
        <v>160</v>
      </c>
      <c r="F450" s="8">
        <v>90</v>
      </c>
      <c r="G450" s="1">
        <v>600</v>
      </c>
      <c r="H450" s="19">
        <v>100</v>
      </c>
    </row>
    <row r="451" spans="1:8" x14ac:dyDescent="0.35">
      <c r="A451" s="3">
        <v>50</v>
      </c>
      <c r="B451" s="4">
        <v>95</v>
      </c>
      <c r="C451" s="5">
        <v>90</v>
      </c>
      <c r="D451" s="6">
        <v>95</v>
      </c>
      <c r="E451" s="7">
        <v>90</v>
      </c>
      <c r="F451" s="8">
        <v>180</v>
      </c>
      <c r="G451" s="1">
        <v>600</v>
      </c>
      <c r="H451" s="19">
        <v>100</v>
      </c>
    </row>
    <row r="452" spans="1:8" x14ac:dyDescent="0.35">
      <c r="A452" s="3">
        <v>55</v>
      </c>
      <c r="B452" s="4">
        <v>68</v>
      </c>
      <c r="C452" s="5">
        <v>64</v>
      </c>
      <c r="D452" s="6">
        <v>45</v>
      </c>
      <c r="E452" s="7">
        <v>55</v>
      </c>
      <c r="F452" s="8">
        <v>31</v>
      </c>
      <c r="G452" s="1">
        <v>318</v>
      </c>
      <c r="H452" s="19">
        <v>53</v>
      </c>
    </row>
    <row r="453" spans="1:8" x14ac:dyDescent="0.35">
      <c r="A453" s="3">
        <v>75</v>
      </c>
      <c r="B453" s="4">
        <v>89</v>
      </c>
      <c r="C453" s="5">
        <v>85</v>
      </c>
      <c r="D453" s="6">
        <v>55</v>
      </c>
      <c r="E453" s="7">
        <v>65</v>
      </c>
      <c r="F453" s="8">
        <v>36</v>
      </c>
      <c r="G453" s="1">
        <v>405</v>
      </c>
      <c r="H453" s="19">
        <v>67.5</v>
      </c>
    </row>
    <row r="454" spans="1:8" x14ac:dyDescent="0.35">
      <c r="A454" s="3">
        <v>95</v>
      </c>
      <c r="B454" s="4">
        <v>109</v>
      </c>
      <c r="C454" s="5">
        <v>105</v>
      </c>
      <c r="D454" s="6">
        <v>75</v>
      </c>
      <c r="E454" s="7">
        <v>85</v>
      </c>
      <c r="F454" s="8">
        <v>56</v>
      </c>
      <c r="G454" s="1">
        <v>525</v>
      </c>
      <c r="H454" s="19">
        <v>87.5</v>
      </c>
    </row>
    <row r="455" spans="1:8" x14ac:dyDescent="0.35">
      <c r="A455" s="3">
        <v>44</v>
      </c>
      <c r="B455" s="4">
        <v>58</v>
      </c>
      <c r="C455" s="5">
        <v>44</v>
      </c>
      <c r="D455" s="6">
        <v>58</v>
      </c>
      <c r="E455" s="7">
        <v>44</v>
      </c>
      <c r="F455" s="8">
        <v>61</v>
      </c>
      <c r="G455" s="1">
        <v>309</v>
      </c>
      <c r="H455" s="19">
        <v>51.5</v>
      </c>
    </row>
    <row r="456" spans="1:8" x14ac:dyDescent="0.35">
      <c r="A456" s="3">
        <v>64</v>
      </c>
      <c r="B456" s="4">
        <v>78</v>
      </c>
      <c r="C456" s="5">
        <v>52</v>
      </c>
      <c r="D456" s="6">
        <v>78</v>
      </c>
      <c r="E456" s="7">
        <v>52</v>
      </c>
      <c r="F456" s="8">
        <v>81</v>
      </c>
      <c r="G456" s="1">
        <v>405</v>
      </c>
      <c r="H456" s="19">
        <v>67.5</v>
      </c>
    </row>
    <row r="457" spans="1:8" x14ac:dyDescent="0.35">
      <c r="A457" s="3">
        <v>76</v>
      </c>
      <c r="B457" s="4">
        <v>104</v>
      </c>
      <c r="C457" s="5">
        <v>71</v>
      </c>
      <c r="D457" s="6">
        <v>104</v>
      </c>
      <c r="E457" s="7">
        <v>71</v>
      </c>
      <c r="F457" s="8">
        <v>108</v>
      </c>
      <c r="G457" s="1">
        <v>534</v>
      </c>
      <c r="H457" s="19">
        <v>89</v>
      </c>
    </row>
    <row r="458" spans="1:8" x14ac:dyDescent="0.35">
      <c r="A458" s="3">
        <v>53</v>
      </c>
      <c r="B458" s="4">
        <v>51</v>
      </c>
      <c r="C458" s="5">
        <v>53</v>
      </c>
      <c r="D458" s="6">
        <v>61</v>
      </c>
      <c r="E458" s="7">
        <v>56</v>
      </c>
      <c r="F458" s="8">
        <v>40</v>
      </c>
      <c r="G458" s="1">
        <v>314</v>
      </c>
      <c r="H458" s="19">
        <v>52.33</v>
      </c>
    </row>
    <row r="459" spans="1:8" x14ac:dyDescent="0.35">
      <c r="A459" s="3">
        <v>64</v>
      </c>
      <c r="B459" s="4">
        <v>66</v>
      </c>
      <c r="C459" s="5">
        <v>68</v>
      </c>
      <c r="D459" s="6">
        <v>81</v>
      </c>
      <c r="E459" s="7">
        <v>76</v>
      </c>
      <c r="F459" s="8">
        <v>50</v>
      </c>
      <c r="G459" s="1">
        <v>405</v>
      </c>
      <c r="H459" s="19">
        <v>67.5</v>
      </c>
    </row>
    <row r="460" spans="1:8" x14ac:dyDescent="0.35">
      <c r="A460" s="3">
        <v>84</v>
      </c>
      <c r="B460" s="4">
        <v>86</v>
      </c>
      <c r="C460" s="5">
        <v>88</v>
      </c>
      <c r="D460" s="6">
        <v>111</v>
      </c>
      <c r="E460" s="7">
        <v>101</v>
      </c>
      <c r="F460" s="8">
        <v>60</v>
      </c>
      <c r="G460" s="1">
        <v>530</v>
      </c>
      <c r="H460" s="19">
        <v>88.33</v>
      </c>
    </row>
    <row r="461" spans="1:8" x14ac:dyDescent="0.35">
      <c r="A461" s="3">
        <v>40</v>
      </c>
      <c r="B461" s="4">
        <v>55</v>
      </c>
      <c r="C461" s="5">
        <v>30</v>
      </c>
      <c r="D461" s="6">
        <v>30</v>
      </c>
      <c r="E461" s="7">
        <v>30</v>
      </c>
      <c r="F461" s="8">
        <v>60</v>
      </c>
      <c r="G461" s="1">
        <v>245</v>
      </c>
      <c r="H461" s="19">
        <v>40.83</v>
      </c>
    </row>
    <row r="462" spans="1:8" x14ac:dyDescent="0.35">
      <c r="A462" s="3">
        <v>55</v>
      </c>
      <c r="B462" s="4">
        <v>75</v>
      </c>
      <c r="C462" s="5">
        <v>50</v>
      </c>
      <c r="D462" s="6">
        <v>40</v>
      </c>
      <c r="E462" s="7">
        <v>40</v>
      </c>
      <c r="F462" s="8">
        <v>80</v>
      </c>
      <c r="G462" s="1">
        <v>340</v>
      </c>
      <c r="H462" s="19">
        <v>56.67</v>
      </c>
    </row>
    <row r="463" spans="1:8" x14ac:dyDescent="0.35">
      <c r="A463" s="3">
        <v>85</v>
      </c>
      <c r="B463" s="4">
        <v>120</v>
      </c>
      <c r="C463" s="5">
        <v>70</v>
      </c>
      <c r="D463" s="6">
        <v>50</v>
      </c>
      <c r="E463" s="7">
        <v>60</v>
      </c>
      <c r="F463" s="8">
        <v>100</v>
      </c>
      <c r="G463" s="1">
        <v>485</v>
      </c>
      <c r="H463" s="19">
        <v>80.83</v>
      </c>
    </row>
    <row r="464" spans="1:8" x14ac:dyDescent="0.35">
      <c r="A464" s="3">
        <v>59</v>
      </c>
      <c r="B464" s="4">
        <v>45</v>
      </c>
      <c r="C464" s="5">
        <v>40</v>
      </c>
      <c r="D464" s="6">
        <v>35</v>
      </c>
      <c r="E464" s="7">
        <v>40</v>
      </c>
      <c r="F464" s="8">
        <v>31</v>
      </c>
      <c r="G464" s="1">
        <v>250</v>
      </c>
      <c r="H464" s="19">
        <v>41.67</v>
      </c>
    </row>
    <row r="465" spans="1:8" x14ac:dyDescent="0.35">
      <c r="A465" s="3">
        <v>79</v>
      </c>
      <c r="B465" s="4">
        <v>85</v>
      </c>
      <c r="C465" s="5">
        <v>60</v>
      </c>
      <c r="D465" s="6">
        <v>55</v>
      </c>
      <c r="E465" s="7">
        <v>60</v>
      </c>
      <c r="F465" s="8">
        <v>71</v>
      </c>
      <c r="G465" s="1">
        <v>410</v>
      </c>
      <c r="H465" s="19">
        <v>68.33</v>
      </c>
    </row>
    <row r="466" spans="1:8" x14ac:dyDescent="0.35">
      <c r="A466" s="3">
        <v>37</v>
      </c>
      <c r="B466" s="4">
        <v>25</v>
      </c>
      <c r="C466" s="5">
        <v>41</v>
      </c>
      <c r="D466" s="6">
        <v>25</v>
      </c>
      <c r="E466" s="7">
        <v>41</v>
      </c>
      <c r="F466" s="8">
        <v>25</v>
      </c>
      <c r="G466" s="1">
        <v>194</v>
      </c>
      <c r="H466" s="19">
        <v>32.33</v>
      </c>
    </row>
    <row r="467" spans="1:8" x14ac:dyDescent="0.35">
      <c r="A467" s="3">
        <v>77</v>
      </c>
      <c r="B467" s="4">
        <v>85</v>
      </c>
      <c r="C467" s="5">
        <v>51</v>
      </c>
      <c r="D467" s="6">
        <v>55</v>
      </c>
      <c r="E467" s="7">
        <v>51</v>
      </c>
      <c r="F467" s="8">
        <v>65</v>
      </c>
      <c r="G467" s="1">
        <v>384</v>
      </c>
      <c r="H467" s="19">
        <v>64</v>
      </c>
    </row>
    <row r="468" spans="1:8" x14ac:dyDescent="0.35">
      <c r="A468" s="3">
        <v>45</v>
      </c>
      <c r="B468" s="4">
        <v>65</v>
      </c>
      <c r="C468" s="5">
        <v>34</v>
      </c>
      <c r="D468" s="6">
        <v>40</v>
      </c>
      <c r="E468" s="7">
        <v>34</v>
      </c>
      <c r="F468" s="8">
        <v>45</v>
      </c>
      <c r="G468" s="1">
        <v>263</v>
      </c>
      <c r="H468" s="19">
        <v>43.83</v>
      </c>
    </row>
    <row r="469" spans="1:8" x14ac:dyDescent="0.35">
      <c r="A469" s="3">
        <v>60</v>
      </c>
      <c r="B469" s="4">
        <v>85</v>
      </c>
      <c r="C469" s="5">
        <v>49</v>
      </c>
      <c r="D469" s="6">
        <v>60</v>
      </c>
      <c r="E469" s="7">
        <v>49</v>
      </c>
      <c r="F469" s="8">
        <v>60</v>
      </c>
      <c r="G469" s="1">
        <v>363</v>
      </c>
      <c r="H469" s="19">
        <v>60.5</v>
      </c>
    </row>
    <row r="470" spans="1:8" x14ac:dyDescent="0.35">
      <c r="A470" s="3">
        <v>80</v>
      </c>
      <c r="B470" s="4">
        <v>120</v>
      </c>
      <c r="C470" s="5">
        <v>79</v>
      </c>
      <c r="D470" s="6">
        <v>95</v>
      </c>
      <c r="E470" s="7">
        <v>79</v>
      </c>
      <c r="F470" s="8">
        <v>70</v>
      </c>
      <c r="G470" s="1">
        <v>523</v>
      </c>
      <c r="H470" s="19">
        <v>87.17</v>
      </c>
    </row>
    <row r="471" spans="1:8" x14ac:dyDescent="0.35">
      <c r="A471" s="3">
        <v>40</v>
      </c>
      <c r="B471" s="4">
        <v>30</v>
      </c>
      <c r="C471" s="5">
        <v>35</v>
      </c>
      <c r="D471" s="6">
        <v>50</v>
      </c>
      <c r="E471" s="7">
        <v>70</v>
      </c>
      <c r="F471" s="8">
        <v>55</v>
      </c>
      <c r="G471" s="1">
        <v>280</v>
      </c>
      <c r="H471" s="19">
        <v>46.67</v>
      </c>
    </row>
    <row r="472" spans="1:8" x14ac:dyDescent="0.35">
      <c r="A472" s="3">
        <v>60</v>
      </c>
      <c r="B472" s="4">
        <v>70</v>
      </c>
      <c r="C472" s="5">
        <v>65</v>
      </c>
      <c r="D472" s="6">
        <v>125</v>
      </c>
      <c r="E472" s="7">
        <v>105</v>
      </c>
      <c r="F472" s="8">
        <v>90</v>
      </c>
      <c r="G472" s="1">
        <v>515</v>
      </c>
      <c r="H472" s="19">
        <v>85.83</v>
      </c>
    </row>
    <row r="473" spans="1:8" x14ac:dyDescent="0.35">
      <c r="A473" s="3">
        <v>67</v>
      </c>
      <c r="B473" s="4">
        <v>125</v>
      </c>
      <c r="C473" s="5">
        <v>40</v>
      </c>
      <c r="D473" s="6">
        <v>30</v>
      </c>
      <c r="E473" s="7">
        <v>30</v>
      </c>
      <c r="F473" s="8">
        <v>58</v>
      </c>
      <c r="G473" s="1">
        <v>350</v>
      </c>
      <c r="H473" s="19">
        <v>58.33</v>
      </c>
    </row>
    <row r="474" spans="1:8" x14ac:dyDescent="0.35">
      <c r="A474" s="3">
        <v>97</v>
      </c>
      <c r="B474" s="4">
        <v>165</v>
      </c>
      <c r="C474" s="5">
        <v>60</v>
      </c>
      <c r="D474" s="6">
        <v>65</v>
      </c>
      <c r="E474" s="7">
        <v>50</v>
      </c>
      <c r="F474" s="8">
        <v>58</v>
      </c>
      <c r="G474" s="1">
        <v>495</v>
      </c>
      <c r="H474" s="19">
        <v>82.5</v>
      </c>
    </row>
    <row r="475" spans="1:8" x14ac:dyDescent="0.35">
      <c r="A475" s="3">
        <v>30</v>
      </c>
      <c r="B475" s="4">
        <v>42</v>
      </c>
      <c r="C475" s="5">
        <v>118</v>
      </c>
      <c r="D475" s="6">
        <v>42</v>
      </c>
      <c r="E475" s="7">
        <v>88</v>
      </c>
      <c r="F475" s="8">
        <v>30</v>
      </c>
      <c r="G475" s="1">
        <v>350</v>
      </c>
      <c r="H475" s="19">
        <v>58.33</v>
      </c>
    </row>
    <row r="476" spans="1:8" x14ac:dyDescent="0.35">
      <c r="A476" s="3">
        <v>60</v>
      </c>
      <c r="B476" s="4">
        <v>52</v>
      </c>
      <c r="C476" s="5">
        <v>168</v>
      </c>
      <c r="D476" s="6">
        <v>47</v>
      </c>
      <c r="E476" s="7">
        <v>138</v>
      </c>
      <c r="F476" s="8">
        <v>30</v>
      </c>
      <c r="G476" s="1">
        <v>495</v>
      </c>
      <c r="H476" s="19">
        <v>82.5</v>
      </c>
    </row>
    <row r="477" spans="1:8" x14ac:dyDescent="0.35">
      <c r="A477" s="3">
        <v>40</v>
      </c>
      <c r="B477" s="4">
        <v>29</v>
      </c>
      <c r="C477" s="5">
        <v>45</v>
      </c>
      <c r="D477" s="6">
        <v>29</v>
      </c>
      <c r="E477" s="7">
        <v>45</v>
      </c>
      <c r="F477" s="8">
        <v>36</v>
      </c>
      <c r="G477" s="1">
        <v>224</v>
      </c>
      <c r="H477" s="19">
        <v>37.33</v>
      </c>
    </row>
    <row r="478" spans="1:8" x14ac:dyDescent="0.35">
      <c r="A478" s="3">
        <v>60</v>
      </c>
      <c r="B478" s="4">
        <v>59</v>
      </c>
      <c r="C478" s="5">
        <v>85</v>
      </c>
      <c r="D478" s="6">
        <v>79</v>
      </c>
      <c r="E478" s="7">
        <v>105</v>
      </c>
      <c r="F478" s="8">
        <v>36</v>
      </c>
      <c r="G478" s="1">
        <v>424</v>
      </c>
      <c r="H478" s="19">
        <v>70.67</v>
      </c>
    </row>
    <row r="479" spans="1:8" x14ac:dyDescent="0.35">
      <c r="A479" s="3">
        <v>60</v>
      </c>
      <c r="B479" s="4">
        <v>79</v>
      </c>
      <c r="C479" s="5">
        <v>105</v>
      </c>
      <c r="D479" s="6">
        <v>59</v>
      </c>
      <c r="E479" s="7">
        <v>85</v>
      </c>
      <c r="F479" s="8">
        <v>36</v>
      </c>
      <c r="G479" s="1">
        <v>424</v>
      </c>
      <c r="H479" s="19">
        <v>70.67</v>
      </c>
    </row>
    <row r="480" spans="1:8" x14ac:dyDescent="0.35">
      <c r="A480" s="3">
        <v>60</v>
      </c>
      <c r="B480" s="4">
        <v>69</v>
      </c>
      <c r="C480" s="5">
        <v>95</v>
      </c>
      <c r="D480" s="6">
        <v>69</v>
      </c>
      <c r="E480" s="7">
        <v>95</v>
      </c>
      <c r="F480" s="8">
        <v>36</v>
      </c>
      <c r="G480" s="1">
        <v>424</v>
      </c>
      <c r="H480" s="19">
        <v>70.67</v>
      </c>
    </row>
    <row r="481" spans="1:8" x14ac:dyDescent="0.35">
      <c r="A481" s="3">
        <v>70</v>
      </c>
      <c r="B481" s="4">
        <v>94</v>
      </c>
      <c r="C481" s="5">
        <v>50</v>
      </c>
      <c r="D481" s="6">
        <v>94</v>
      </c>
      <c r="E481" s="7">
        <v>50</v>
      </c>
      <c r="F481" s="8">
        <v>66</v>
      </c>
      <c r="G481" s="1">
        <v>424</v>
      </c>
      <c r="H481" s="19">
        <v>70.67</v>
      </c>
    </row>
    <row r="482" spans="1:8" x14ac:dyDescent="0.35">
      <c r="A482" s="3">
        <v>30</v>
      </c>
      <c r="B482" s="4">
        <v>30</v>
      </c>
      <c r="C482" s="5">
        <v>42</v>
      </c>
      <c r="D482" s="6">
        <v>30</v>
      </c>
      <c r="E482" s="7">
        <v>42</v>
      </c>
      <c r="F482" s="8">
        <v>70</v>
      </c>
      <c r="G482" s="1">
        <v>244</v>
      </c>
      <c r="H482" s="19">
        <v>40.67</v>
      </c>
    </row>
    <row r="483" spans="1:8" x14ac:dyDescent="0.35">
      <c r="A483" s="3">
        <v>70</v>
      </c>
      <c r="B483" s="4">
        <v>80</v>
      </c>
      <c r="C483" s="5">
        <v>102</v>
      </c>
      <c r="D483" s="6">
        <v>80</v>
      </c>
      <c r="E483" s="7">
        <v>102</v>
      </c>
      <c r="F483" s="8">
        <v>40</v>
      </c>
      <c r="G483" s="1">
        <v>474</v>
      </c>
      <c r="H483" s="19">
        <v>79</v>
      </c>
    </row>
    <row r="484" spans="1:8" x14ac:dyDescent="0.35">
      <c r="A484" s="3">
        <v>60</v>
      </c>
      <c r="B484" s="4">
        <v>45</v>
      </c>
      <c r="C484" s="5">
        <v>70</v>
      </c>
      <c r="D484" s="6">
        <v>45</v>
      </c>
      <c r="E484" s="7">
        <v>90</v>
      </c>
      <c r="F484" s="8">
        <v>95</v>
      </c>
      <c r="G484" s="1">
        <v>405</v>
      </c>
      <c r="H484" s="19">
        <v>67.5</v>
      </c>
    </row>
    <row r="485" spans="1:8" x14ac:dyDescent="0.35">
      <c r="A485" s="3">
        <v>55</v>
      </c>
      <c r="B485" s="4">
        <v>65</v>
      </c>
      <c r="C485" s="5">
        <v>35</v>
      </c>
      <c r="D485" s="6">
        <v>60</v>
      </c>
      <c r="E485" s="7">
        <v>30</v>
      </c>
      <c r="F485" s="8">
        <v>85</v>
      </c>
      <c r="G485" s="1">
        <v>330</v>
      </c>
      <c r="H485" s="19">
        <v>55</v>
      </c>
    </row>
    <row r="486" spans="1:8" x14ac:dyDescent="0.35">
      <c r="A486" s="3">
        <v>85</v>
      </c>
      <c r="B486" s="4">
        <v>105</v>
      </c>
      <c r="C486" s="5">
        <v>55</v>
      </c>
      <c r="D486" s="6">
        <v>85</v>
      </c>
      <c r="E486" s="7">
        <v>50</v>
      </c>
      <c r="F486" s="8">
        <v>115</v>
      </c>
      <c r="G486" s="1">
        <v>495</v>
      </c>
      <c r="H486" s="19">
        <v>82.5</v>
      </c>
    </row>
    <row r="487" spans="1:8" x14ac:dyDescent="0.35">
      <c r="A487" s="3">
        <v>45</v>
      </c>
      <c r="B487" s="4">
        <v>35</v>
      </c>
      <c r="C487" s="5">
        <v>45</v>
      </c>
      <c r="D487" s="6">
        <v>62</v>
      </c>
      <c r="E487" s="7">
        <v>53</v>
      </c>
      <c r="F487" s="8">
        <v>35</v>
      </c>
      <c r="G487" s="1">
        <v>275</v>
      </c>
      <c r="H487" s="19">
        <v>45.83</v>
      </c>
    </row>
    <row r="488" spans="1:8" x14ac:dyDescent="0.35">
      <c r="A488" s="3">
        <v>70</v>
      </c>
      <c r="B488" s="4">
        <v>60</v>
      </c>
      <c r="C488" s="5">
        <v>70</v>
      </c>
      <c r="D488" s="6">
        <v>87</v>
      </c>
      <c r="E488" s="7">
        <v>78</v>
      </c>
      <c r="F488" s="8">
        <v>85</v>
      </c>
      <c r="G488" s="1">
        <v>450</v>
      </c>
      <c r="H488" s="19">
        <v>75</v>
      </c>
    </row>
    <row r="489" spans="1:8" x14ac:dyDescent="0.35">
      <c r="A489" s="3">
        <v>76</v>
      </c>
      <c r="B489" s="4">
        <v>48</v>
      </c>
      <c r="C489" s="5">
        <v>48</v>
      </c>
      <c r="D489" s="6">
        <v>57</v>
      </c>
      <c r="E489" s="7">
        <v>62</v>
      </c>
      <c r="F489" s="8">
        <v>34</v>
      </c>
      <c r="G489" s="1">
        <v>325</v>
      </c>
      <c r="H489" s="19">
        <v>54.17</v>
      </c>
    </row>
    <row r="490" spans="1:8" x14ac:dyDescent="0.35">
      <c r="A490" s="3">
        <v>111</v>
      </c>
      <c r="B490" s="4">
        <v>83</v>
      </c>
      <c r="C490" s="5">
        <v>68</v>
      </c>
      <c r="D490" s="6">
        <v>92</v>
      </c>
      <c r="E490" s="7">
        <v>82</v>
      </c>
      <c r="F490" s="8">
        <v>39</v>
      </c>
      <c r="G490" s="1">
        <v>475</v>
      </c>
      <c r="H490" s="19">
        <v>79.17</v>
      </c>
    </row>
    <row r="491" spans="1:8" x14ac:dyDescent="0.35">
      <c r="A491" s="3">
        <v>75</v>
      </c>
      <c r="B491" s="4">
        <v>100</v>
      </c>
      <c r="C491" s="5">
        <v>66</v>
      </c>
      <c r="D491" s="6">
        <v>60</v>
      </c>
      <c r="E491" s="7">
        <v>66</v>
      </c>
      <c r="F491" s="8">
        <v>115</v>
      </c>
      <c r="G491" s="1">
        <v>482</v>
      </c>
      <c r="H491" s="19">
        <v>80.33</v>
      </c>
    </row>
    <row r="492" spans="1:8" x14ac:dyDescent="0.35">
      <c r="A492" s="3">
        <v>90</v>
      </c>
      <c r="B492" s="4">
        <v>50</v>
      </c>
      <c r="C492" s="5">
        <v>34</v>
      </c>
      <c r="D492" s="6">
        <v>60</v>
      </c>
      <c r="E492" s="7">
        <v>44</v>
      </c>
      <c r="F492" s="8">
        <v>70</v>
      </c>
      <c r="G492" s="1">
        <v>348</v>
      </c>
      <c r="H492" s="19">
        <v>58</v>
      </c>
    </row>
    <row r="493" spans="1:8" x14ac:dyDescent="0.35">
      <c r="A493" s="3">
        <v>150</v>
      </c>
      <c r="B493" s="4">
        <v>80</v>
      </c>
      <c r="C493" s="5">
        <v>44</v>
      </c>
      <c r="D493" s="6">
        <v>90</v>
      </c>
      <c r="E493" s="7">
        <v>54</v>
      </c>
      <c r="F493" s="8">
        <v>80</v>
      </c>
      <c r="G493" s="1">
        <v>498</v>
      </c>
      <c r="H493" s="19">
        <v>83</v>
      </c>
    </row>
    <row r="494" spans="1:8" x14ac:dyDescent="0.35">
      <c r="A494" s="3">
        <v>55</v>
      </c>
      <c r="B494" s="4">
        <v>66</v>
      </c>
      <c r="C494" s="5">
        <v>44</v>
      </c>
      <c r="D494" s="6">
        <v>44</v>
      </c>
      <c r="E494" s="7">
        <v>56</v>
      </c>
      <c r="F494" s="8">
        <v>85</v>
      </c>
      <c r="G494" s="1">
        <v>350</v>
      </c>
      <c r="H494" s="19">
        <v>58.33</v>
      </c>
    </row>
    <row r="495" spans="1:8" x14ac:dyDescent="0.35">
      <c r="A495" s="3">
        <v>65</v>
      </c>
      <c r="B495" s="4">
        <v>76</v>
      </c>
      <c r="C495" s="5">
        <v>84</v>
      </c>
      <c r="D495" s="6">
        <v>54</v>
      </c>
      <c r="E495" s="7">
        <v>96</v>
      </c>
      <c r="F495" s="8">
        <v>105</v>
      </c>
      <c r="G495" s="1">
        <v>480</v>
      </c>
      <c r="H495" s="19">
        <v>80</v>
      </c>
    </row>
    <row r="496" spans="1:8" x14ac:dyDescent="0.35">
      <c r="A496" s="3">
        <v>65</v>
      </c>
      <c r="B496" s="4">
        <v>136</v>
      </c>
      <c r="C496" s="5">
        <v>94</v>
      </c>
      <c r="D496" s="6">
        <v>54</v>
      </c>
      <c r="E496" s="7">
        <v>96</v>
      </c>
      <c r="F496" s="8">
        <v>135</v>
      </c>
      <c r="G496" s="1">
        <v>580</v>
      </c>
      <c r="H496" s="19">
        <v>96.67</v>
      </c>
    </row>
    <row r="497" spans="1:8" x14ac:dyDescent="0.35">
      <c r="A497" s="3">
        <v>60</v>
      </c>
      <c r="B497" s="4">
        <v>60</v>
      </c>
      <c r="C497" s="5">
        <v>60</v>
      </c>
      <c r="D497" s="6">
        <v>105</v>
      </c>
      <c r="E497" s="7">
        <v>105</v>
      </c>
      <c r="F497" s="8">
        <v>105</v>
      </c>
      <c r="G497" s="1">
        <v>495</v>
      </c>
      <c r="H497" s="19">
        <v>82.5</v>
      </c>
    </row>
    <row r="498" spans="1:8" x14ac:dyDescent="0.35">
      <c r="A498" s="3">
        <v>100</v>
      </c>
      <c r="B498" s="4">
        <v>125</v>
      </c>
      <c r="C498" s="5">
        <v>52</v>
      </c>
      <c r="D498" s="6">
        <v>105</v>
      </c>
      <c r="E498" s="7">
        <v>52</v>
      </c>
      <c r="F498" s="8">
        <v>71</v>
      </c>
      <c r="G498" s="1">
        <v>505</v>
      </c>
      <c r="H498" s="19">
        <v>84.17</v>
      </c>
    </row>
    <row r="499" spans="1:8" x14ac:dyDescent="0.35">
      <c r="A499" s="3">
        <v>49</v>
      </c>
      <c r="B499" s="4">
        <v>55</v>
      </c>
      <c r="C499" s="5">
        <v>42</v>
      </c>
      <c r="D499" s="6">
        <v>42</v>
      </c>
      <c r="E499" s="7">
        <v>37</v>
      </c>
      <c r="F499" s="8">
        <v>85</v>
      </c>
      <c r="G499" s="1">
        <v>310</v>
      </c>
      <c r="H499" s="19">
        <v>51.67</v>
      </c>
    </row>
    <row r="500" spans="1:8" x14ac:dyDescent="0.35">
      <c r="A500" s="3">
        <v>71</v>
      </c>
      <c r="B500" s="4">
        <v>82</v>
      </c>
      <c r="C500" s="5">
        <v>64</v>
      </c>
      <c r="D500" s="6">
        <v>64</v>
      </c>
      <c r="E500" s="7">
        <v>59</v>
      </c>
      <c r="F500" s="8">
        <v>112</v>
      </c>
      <c r="G500" s="1">
        <v>452</v>
      </c>
      <c r="H500" s="19">
        <v>75.33</v>
      </c>
    </row>
    <row r="501" spans="1:8" x14ac:dyDescent="0.35">
      <c r="A501" s="3">
        <v>45</v>
      </c>
      <c r="B501" s="4">
        <v>30</v>
      </c>
      <c r="C501" s="5">
        <v>50</v>
      </c>
      <c r="D501" s="6">
        <v>65</v>
      </c>
      <c r="E501" s="7">
        <v>50</v>
      </c>
      <c r="F501" s="8">
        <v>45</v>
      </c>
      <c r="G501" s="1">
        <v>285</v>
      </c>
      <c r="H501" s="19">
        <v>47.5</v>
      </c>
    </row>
    <row r="502" spans="1:8" x14ac:dyDescent="0.35">
      <c r="A502" s="3">
        <v>63</v>
      </c>
      <c r="B502" s="4">
        <v>63</v>
      </c>
      <c r="C502" s="5">
        <v>47</v>
      </c>
      <c r="D502" s="6">
        <v>41</v>
      </c>
      <c r="E502" s="7">
        <v>41</v>
      </c>
      <c r="F502" s="8">
        <v>74</v>
      </c>
      <c r="G502" s="1">
        <v>329</v>
      </c>
      <c r="H502" s="19">
        <v>54.83</v>
      </c>
    </row>
    <row r="503" spans="1:8" x14ac:dyDescent="0.35">
      <c r="A503" s="3">
        <v>103</v>
      </c>
      <c r="B503" s="4">
        <v>93</v>
      </c>
      <c r="C503" s="5">
        <v>67</v>
      </c>
      <c r="D503" s="6">
        <v>71</v>
      </c>
      <c r="E503" s="7">
        <v>61</v>
      </c>
      <c r="F503" s="8">
        <v>84</v>
      </c>
      <c r="G503" s="1">
        <v>479</v>
      </c>
      <c r="H503" s="19">
        <v>79.83</v>
      </c>
    </row>
    <row r="504" spans="1:8" x14ac:dyDescent="0.35">
      <c r="A504" s="3">
        <v>57</v>
      </c>
      <c r="B504" s="4">
        <v>24</v>
      </c>
      <c r="C504" s="5">
        <v>86</v>
      </c>
      <c r="D504" s="6">
        <v>24</v>
      </c>
      <c r="E504" s="7">
        <v>86</v>
      </c>
      <c r="F504" s="8">
        <v>23</v>
      </c>
      <c r="G504" s="1">
        <v>300</v>
      </c>
      <c r="H504" s="19">
        <v>50</v>
      </c>
    </row>
    <row r="505" spans="1:8" x14ac:dyDescent="0.35">
      <c r="A505" s="3">
        <v>67</v>
      </c>
      <c r="B505" s="4">
        <v>89</v>
      </c>
      <c r="C505" s="5">
        <v>116</v>
      </c>
      <c r="D505" s="6">
        <v>79</v>
      </c>
      <c r="E505" s="7">
        <v>116</v>
      </c>
      <c r="F505" s="8">
        <v>33</v>
      </c>
      <c r="G505" s="1">
        <v>500</v>
      </c>
      <c r="H505" s="19">
        <v>83.33</v>
      </c>
    </row>
    <row r="506" spans="1:8" x14ac:dyDescent="0.35">
      <c r="A506" s="3">
        <v>50</v>
      </c>
      <c r="B506" s="4">
        <v>80</v>
      </c>
      <c r="C506" s="5">
        <v>95</v>
      </c>
      <c r="D506" s="6">
        <v>10</v>
      </c>
      <c r="E506" s="7">
        <v>45</v>
      </c>
      <c r="F506" s="8">
        <v>10</v>
      </c>
      <c r="G506" s="1">
        <v>290</v>
      </c>
      <c r="H506" s="19">
        <v>48.33</v>
      </c>
    </row>
    <row r="507" spans="1:8" x14ac:dyDescent="0.35">
      <c r="A507" s="3">
        <v>20</v>
      </c>
      <c r="B507" s="4">
        <v>25</v>
      </c>
      <c r="C507" s="5">
        <v>45</v>
      </c>
      <c r="D507" s="6">
        <v>70</v>
      </c>
      <c r="E507" s="7">
        <v>90</v>
      </c>
      <c r="F507" s="8">
        <v>60</v>
      </c>
      <c r="G507" s="1">
        <v>310</v>
      </c>
      <c r="H507" s="19">
        <v>51.67</v>
      </c>
    </row>
    <row r="508" spans="1:8" x14ac:dyDescent="0.35">
      <c r="A508" s="3">
        <v>100</v>
      </c>
      <c r="B508" s="4">
        <v>5</v>
      </c>
      <c r="C508" s="5">
        <v>5</v>
      </c>
      <c r="D508" s="6">
        <v>15</v>
      </c>
      <c r="E508" s="7">
        <v>65</v>
      </c>
      <c r="F508" s="8">
        <v>30</v>
      </c>
      <c r="G508" s="1">
        <v>220</v>
      </c>
      <c r="H508" s="19">
        <v>36.67</v>
      </c>
    </row>
    <row r="509" spans="1:8" x14ac:dyDescent="0.35">
      <c r="A509" s="3">
        <v>76</v>
      </c>
      <c r="B509" s="4">
        <v>65</v>
      </c>
      <c r="C509" s="5">
        <v>45</v>
      </c>
      <c r="D509" s="6">
        <v>92</v>
      </c>
      <c r="E509" s="7">
        <v>42</v>
      </c>
      <c r="F509" s="8">
        <v>91</v>
      </c>
      <c r="G509" s="1">
        <v>411</v>
      </c>
      <c r="H509" s="19">
        <v>68.5</v>
      </c>
    </row>
    <row r="510" spans="1:8" x14ac:dyDescent="0.35">
      <c r="A510" s="3">
        <v>50</v>
      </c>
      <c r="B510" s="4">
        <v>92</v>
      </c>
      <c r="C510" s="5">
        <v>108</v>
      </c>
      <c r="D510" s="6">
        <v>92</v>
      </c>
      <c r="E510" s="7">
        <v>108</v>
      </c>
      <c r="F510" s="8">
        <v>35</v>
      </c>
      <c r="G510" s="1">
        <v>485</v>
      </c>
      <c r="H510" s="19">
        <v>80.83</v>
      </c>
    </row>
    <row r="511" spans="1:8" x14ac:dyDescent="0.35">
      <c r="A511" s="3">
        <v>58</v>
      </c>
      <c r="B511" s="4">
        <v>70</v>
      </c>
      <c r="C511" s="5">
        <v>45</v>
      </c>
      <c r="D511" s="6">
        <v>40</v>
      </c>
      <c r="E511" s="7">
        <v>45</v>
      </c>
      <c r="F511" s="8">
        <v>42</v>
      </c>
      <c r="G511" s="1">
        <v>300</v>
      </c>
      <c r="H511" s="19">
        <v>50</v>
      </c>
    </row>
    <row r="512" spans="1:8" x14ac:dyDescent="0.35">
      <c r="A512" s="3">
        <v>68</v>
      </c>
      <c r="B512" s="4">
        <v>90</v>
      </c>
      <c r="C512" s="5">
        <v>65</v>
      </c>
      <c r="D512" s="6">
        <v>50</v>
      </c>
      <c r="E512" s="7">
        <v>55</v>
      </c>
      <c r="F512" s="8">
        <v>82</v>
      </c>
      <c r="G512" s="1">
        <v>410</v>
      </c>
      <c r="H512" s="19">
        <v>68.33</v>
      </c>
    </row>
    <row r="513" spans="1:8" x14ac:dyDescent="0.35">
      <c r="A513" s="3">
        <v>108</v>
      </c>
      <c r="B513" s="4">
        <v>130</v>
      </c>
      <c r="C513" s="5">
        <v>95</v>
      </c>
      <c r="D513" s="6">
        <v>80</v>
      </c>
      <c r="E513" s="7">
        <v>85</v>
      </c>
      <c r="F513" s="8">
        <v>102</v>
      </c>
      <c r="G513" s="1">
        <v>600</v>
      </c>
      <c r="H513" s="19">
        <v>100</v>
      </c>
    </row>
    <row r="514" spans="1:8" x14ac:dyDescent="0.35">
      <c r="A514" s="3">
        <v>108</v>
      </c>
      <c r="B514" s="4">
        <v>170</v>
      </c>
      <c r="C514" s="5">
        <v>115</v>
      </c>
      <c r="D514" s="6">
        <v>120</v>
      </c>
      <c r="E514" s="7">
        <v>95</v>
      </c>
      <c r="F514" s="8">
        <v>92</v>
      </c>
      <c r="G514" s="1">
        <v>700</v>
      </c>
      <c r="H514" s="19">
        <v>116.67</v>
      </c>
    </row>
    <row r="515" spans="1:8" x14ac:dyDescent="0.35">
      <c r="A515" s="3">
        <v>135</v>
      </c>
      <c r="B515" s="4">
        <v>85</v>
      </c>
      <c r="C515" s="5">
        <v>40</v>
      </c>
      <c r="D515" s="6">
        <v>40</v>
      </c>
      <c r="E515" s="7">
        <v>85</v>
      </c>
      <c r="F515" s="8">
        <v>5</v>
      </c>
      <c r="G515" s="1">
        <v>390</v>
      </c>
      <c r="H515" s="19">
        <v>65</v>
      </c>
    </row>
    <row r="516" spans="1:8" x14ac:dyDescent="0.35">
      <c r="A516" s="3">
        <v>40</v>
      </c>
      <c r="B516" s="4">
        <v>70</v>
      </c>
      <c r="C516" s="5">
        <v>40</v>
      </c>
      <c r="D516" s="6">
        <v>35</v>
      </c>
      <c r="E516" s="7">
        <v>40</v>
      </c>
      <c r="F516" s="8">
        <v>60</v>
      </c>
      <c r="G516" s="1">
        <v>285</v>
      </c>
      <c r="H516" s="19">
        <v>47.5</v>
      </c>
    </row>
    <row r="517" spans="1:8" x14ac:dyDescent="0.35">
      <c r="A517" s="3">
        <v>70</v>
      </c>
      <c r="B517" s="4">
        <v>110</v>
      </c>
      <c r="C517" s="5">
        <v>70</v>
      </c>
      <c r="D517" s="6">
        <v>115</v>
      </c>
      <c r="E517" s="7">
        <v>70</v>
      </c>
      <c r="F517" s="8">
        <v>90</v>
      </c>
      <c r="G517" s="1">
        <v>525</v>
      </c>
      <c r="H517" s="19">
        <v>87.5</v>
      </c>
    </row>
    <row r="518" spans="1:8" x14ac:dyDescent="0.35">
      <c r="A518" s="3">
        <v>70</v>
      </c>
      <c r="B518" s="4">
        <v>145</v>
      </c>
      <c r="C518" s="5">
        <v>88</v>
      </c>
      <c r="D518" s="6">
        <v>140</v>
      </c>
      <c r="E518" s="7">
        <v>70</v>
      </c>
      <c r="F518" s="8">
        <v>112</v>
      </c>
      <c r="G518" s="1">
        <v>625</v>
      </c>
      <c r="H518" s="19">
        <v>104.17</v>
      </c>
    </row>
    <row r="519" spans="1:8" x14ac:dyDescent="0.35">
      <c r="A519" s="3">
        <v>68</v>
      </c>
      <c r="B519" s="4">
        <v>72</v>
      </c>
      <c r="C519" s="5">
        <v>78</v>
      </c>
      <c r="D519" s="6">
        <v>38</v>
      </c>
      <c r="E519" s="7">
        <v>42</v>
      </c>
      <c r="F519" s="8">
        <v>32</v>
      </c>
      <c r="G519" s="1">
        <v>330</v>
      </c>
      <c r="H519" s="19">
        <v>55</v>
      </c>
    </row>
    <row r="520" spans="1:8" x14ac:dyDescent="0.35">
      <c r="A520" s="3">
        <v>108</v>
      </c>
      <c r="B520" s="4">
        <v>112</v>
      </c>
      <c r="C520" s="5">
        <v>118</v>
      </c>
      <c r="D520" s="6">
        <v>68</v>
      </c>
      <c r="E520" s="7">
        <v>72</v>
      </c>
      <c r="F520" s="8">
        <v>47</v>
      </c>
      <c r="G520" s="1">
        <v>525</v>
      </c>
      <c r="H520" s="19">
        <v>87.5</v>
      </c>
    </row>
    <row r="521" spans="1:8" x14ac:dyDescent="0.35">
      <c r="A521" s="3">
        <v>40</v>
      </c>
      <c r="B521" s="4">
        <v>50</v>
      </c>
      <c r="C521" s="5">
        <v>90</v>
      </c>
      <c r="D521" s="6">
        <v>30</v>
      </c>
      <c r="E521" s="7">
        <v>55</v>
      </c>
      <c r="F521" s="8">
        <v>65</v>
      </c>
      <c r="G521" s="1">
        <v>330</v>
      </c>
      <c r="H521" s="19">
        <v>55</v>
      </c>
    </row>
    <row r="522" spans="1:8" x14ac:dyDescent="0.35">
      <c r="A522" s="3">
        <v>70</v>
      </c>
      <c r="B522" s="4">
        <v>90</v>
      </c>
      <c r="C522" s="5">
        <v>110</v>
      </c>
      <c r="D522" s="6">
        <v>60</v>
      </c>
      <c r="E522" s="7">
        <v>75</v>
      </c>
      <c r="F522" s="8">
        <v>95</v>
      </c>
      <c r="G522" s="1">
        <v>500</v>
      </c>
      <c r="H522" s="19">
        <v>83.33</v>
      </c>
    </row>
    <row r="523" spans="1:8" x14ac:dyDescent="0.35">
      <c r="A523" s="3">
        <v>48</v>
      </c>
      <c r="B523" s="4">
        <v>61</v>
      </c>
      <c r="C523" s="5">
        <v>40</v>
      </c>
      <c r="D523" s="6">
        <v>61</v>
      </c>
      <c r="E523" s="7">
        <v>40</v>
      </c>
      <c r="F523" s="8">
        <v>50</v>
      </c>
      <c r="G523" s="1">
        <v>300</v>
      </c>
      <c r="H523" s="19">
        <v>50</v>
      </c>
    </row>
    <row r="524" spans="1:8" x14ac:dyDescent="0.35">
      <c r="A524" s="3">
        <v>83</v>
      </c>
      <c r="B524" s="4">
        <v>106</v>
      </c>
      <c r="C524" s="5">
        <v>65</v>
      </c>
      <c r="D524" s="6">
        <v>86</v>
      </c>
      <c r="E524" s="7">
        <v>65</v>
      </c>
      <c r="F524" s="8">
        <v>85</v>
      </c>
      <c r="G524" s="1">
        <v>490</v>
      </c>
      <c r="H524" s="19">
        <v>81.67</v>
      </c>
    </row>
    <row r="525" spans="1:8" x14ac:dyDescent="0.35">
      <c r="A525" s="3">
        <v>74</v>
      </c>
      <c r="B525" s="4">
        <v>100</v>
      </c>
      <c r="C525" s="5">
        <v>72</v>
      </c>
      <c r="D525" s="6">
        <v>90</v>
      </c>
      <c r="E525" s="7">
        <v>72</v>
      </c>
      <c r="F525" s="8">
        <v>46</v>
      </c>
      <c r="G525" s="1">
        <v>454</v>
      </c>
      <c r="H525" s="19">
        <v>75.67</v>
      </c>
    </row>
    <row r="526" spans="1:8" x14ac:dyDescent="0.35">
      <c r="A526" s="3">
        <v>49</v>
      </c>
      <c r="B526" s="4">
        <v>49</v>
      </c>
      <c r="C526" s="5">
        <v>56</v>
      </c>
      <c r="D526" s="6">
        <v>49</v>
      </c>
      <c r="E526" s="7">
        <v>61</v>
      </c>
      <c r="F526" s="8">
        <v>66</v>
      </c>
      <c r="G526" s="1">
        <v>330</v>
      </c>
      <c r="H526" s="19">
        <v>55</v>
      </c>
    </row>
    <row r="527" spans="1:8" x14ac:dyDescent="0.35">
      <c r="A527" s="3">
        <v>69</v>
      </c>
      <c r="B527" s="4">
        <v>69</v>
      </c>
      <c r="C527" s="5">
        <v>76</v>
      </c>
      <c r="D527" s="6">
        <v>69</v>
      </c>
      <c r="E527" s="7">
        <v>86</v>
      </c>
      <c r="F527" s="8">
        <v>91</v>
      </c>
      <c r="G527" s="1">
        <v>460</v>
      </c>
      <c r="H527" s="19">
        <v>76.67</v>
      </c>
    </row>
    <row r="528" spans="1:8" x14ac:dyDescent="0.35">
      <c r="A528" s="3">
        <v>45</v>
      </c>
      <c r="B528" s="4">
        <v>20</v>
      </c>
      <c r="C528" s="5">
        <v>50</v>
      </c>
      <c r="D528" s="6">
        <v>60</v>
      </c>
      <c r="E528" s="7">
        <v>120</v>
      </c>
      <c r="F528" s="8">
        <v>50</v>
      </c>
      <c r="G528" s="1">
        <v>345</v>
      </c>
      <c r="H528" s="19">
        <v>57.5</v>
      </c>
    </row>
    <row r="529" spans="1:8" x14ac:dyDescent="0.35">
      <c r="A529" s="3">
        <v>60</v>
      </c>
      <c r="B529" s="4">
        <v>62</v>
      </c>
      <c r="C529" s="5">
        <v>50</v>
      </c>
      <c r="D529" s="6">
        <v>62</v>
      </c>
      <c r="E529" s="7">
        <v>60</v>
      </c>
      <c r="F529" s="8">
        <v>40</v>
      </c>
      <c r="G529" s="1">
        <v>334</v>
      </c>
      <c r="H529" s="19">
        <v>55.67</v>
      </c>
    </row>
    <row r="530" spans="1:8" x14ac:dyDescent="0.35">
      <c r="A530" s="3">
        <v>90</v>
      </c>
      <c r="B530" s="4">
        <v>92</v>
      </c>
      <c r="C530" s="5">
        <v>75</v>
      </c>
      <c r="D530" s="6">
        <v>92</v>
      </c>
      <c r="E530" s="7">
        <v>85</v>
      </c>
      <c r="F530" s="8">
        <v>60</v>
      </c>
      <c r="G530" s="1">
        <v>494</v>
      </c>
      <c r="H530" s="19">
        <v>82.33</v>
      </c>
    </row>
    <row r="531" spans="1:8" x14ac:dyDescent="0.35">
      <c r="A531" s="3">
        <v>90</v>
      </c>
      <c r="B531" s="4">
        <v>132</v>
      </c>
      <c r="C531" s="5">
        <v>105</v>
      </c>
      <c r="D531" s="6">
        <v>132</v>
      </c>
      <c r="E531" s="7">
        <v>105</v>
      </c>
      <c r="F531" s="8">
        <v>30</v>
      </c>
      <c r="G531" s="1">
        <v>594</v>
      </c>
      <c r="H531" s="19">
        <v>99</v>
      </c>
    </row>
    <row r="532" spans="1:8" x14ac:dyDescent="0.35">
      <c r="A532" s="3">
        <v>70</v>
      </c>
      <c r="B532" s="4">
        <v>120</v>
      </c>
      <c r="C532" s="5">
        <v>65</v>
      </c>
      <c r="D532" s="6">
        <v>45</v>
      </c>
      <c r="E532" s="7">
        <v>85</v>
      </c>
      <c r="F532" s="8">
        <v>125</v>
      </c>
      <c r="G532" s="1">
        <v>510</v>
      </c>
      <c r="H532" s="19">
        <v>85</v>
      </c>
    </row>
    <row r="533" spans="1:8" x14ac:dyDescent="0.35">
      <c r="A533" s="3">
        <v>70</v>
      </c>
      <c r="B533" s="4">
        <v>70</v>
      </c>
      <c r="C533" s="5">
        <v>115</v>
      </c>
      <c r="D533" s="6">
        <v>130</v>
      </c>
      <c r="E533" s="7">
        <v>90</v>
      </c>
      <c r="F533" s="8">
        <v>60</v>
      </c>
      <c r="G533" s="1">
        <v>535</v>
      </c>
      <c r="H533" s="19">
        <v>89.17</v>
      </c>
    </row>
    <row r="534" spans="1:8" x14ac:dyDescent="0.35">
      <c r="A534" s="3">
        <v>110</v>
      </c>
      <c r="B534" s="4">
        <v>85</v>
      </c>
      <c r="C534" s="5">
        <v>95</v>
      </c>
      <c r="D534" s="6">
        <v>80</v>
      </c>
      <c r="E534" s="7">
        <v>95</v>
      </c>
      <c r="F534" s="8">
        <v>50</v>
      </c>
      <c r="G534" s="1">
        <v>515</v>
      </c>
      <c r="H534" s="19">
        <v>85.83</v>
      </c>
    </row>
    <row r="535" spans="1:8" x14ac:dyDescent="0.35">
      <c r="A535" s="3">
        <v>115</v>
      </c>
      <c r="B535" s="4">
        <v>140</v>
      </c>
      <c r="C535" s="5">
        <v>130</v>
      </c>
      <c r="D535" s="6">
        <v>55</v>
      </c>
      <c r="E535" s="7">
        <v>55</v>
      </c>
      <c r="F535" s="8">
        <v>40</v>
      </c>
      <c r="G535" s="1">
        <v>535</v>
      </c>
      <c r="H535" s="19">
        <v>89.17</v>
      </c>
    </row>
    <row r="536" spans="1:8" x14ac:dyDescent="0.35">
      <c r="A536" s="3">
        <v>100</v>
      </c>
      <c r="B536" s="4">
        <v>100</v>
      </c>
      <c r="C536" s="5">
        <v>125</v>
      </c>
      <c r="D536" s="6">
        <v>110</v>
      </c>
      <c r="E536" s="7">
        <v>50</v>
      </c>
      <c r="F536" s="8">
        <v>50</v>
      </c>
      <c r="G536" s="1">
        <v>535</v>
      </c>
      <c r="H536" s="19">
        <v>89.17</v>
      </c>
    </row>
    <row r="537" spans="1:8" x14ac:dyDescent="0.35">
      <c r="A537" s="3">
        <v>75</v>
      </c>
      <c r="B537" s="4">
        <v>123</v>
      </c>
      <c r="C537" s="5">
        <v>67</v>
      </c>
      <c r="D537" s="6">
        <v>95</v>
      </c>
      <c r="E537" s="7">
        <v>85</v>
      </c>
      <c r="F537" s="8">
        <v>95</v>
      </c>
      <c r="G537" s="1">
        <v>540</v>
      </c>
      <c r="H537" s="19">
        <v>90</v>
      </c>
    </row>
    <row r="538" spans="1:8" x14ac:dyDescent="0.35">
      <c r="A538" s="3">
        <v>75</v>
      </c>
      <c r="B538" s="4">
        <v>95</v>
      </c>
      <c r="C538" s="5">
        <v>67</v>
      </c>
      <c r="D538" s="6">
        <v>125</v>
      </c>
      <c r="E538" s="7">
        <v>95</v>
      </c>
      <c r="F538" s="44">
        <v>83</v>
      </c>
      <c r="G538" s="1">
        <v>540</v>
      </c>
      <c r="H538" s="19">
        <v>90</v>
      </c>
    </row>
    <row r="539" spans="1:8" x14ac:dyDescent="0.35">
      <c r="A539" s="3">
        <v>85</v>
      </c>
      <c r="B539" s="4">
        <v>50</v>
      </c>
      <c r="C539" s="5">
        <v>95</v>
      </c>
      <c r="D539" s="6">
        <v>120</v>
      </c>
      <c r="E539" s="7">
        <v>115</v>
      </c>
      <c r="F539" s="8">
        <v>80</v>
      </c>
      <c r="G539" s="1">
        <v>545</v>
      </c>
      <c r="H539" s="19">
        <v>90.83</v>
      </c>
    </row>
    <row r="540" spans="1:8" x14ac:dyDescent="0.35">
      <c r="A540" s="3">
        <v>86</v>
      </c>
      <c r="B540" s="4">
        <v>76</v>
      </c>
      <c r="C540" s="5">
        <v>86</v>
      </c>
      <c r="D540" s="6">
        <v>116</v>
      </c>
      <c r="E540" s="7">
        <v>56</v>
      </c>
      <c r="F540" s="8">
        <v>95</v>
      </c>
      <c r="G540" s="1">
        <v>515</v>
      </c>
      <c r="H540" s="19">
        <v>85.83</v>
      </c>
    </row>
    <row r="541" spans="1:8" x14ac:dyDescent="0.35">
      <c r="A541" s="3">
        <v>65</v>
      </c>
      <c r="B541" s="4">
        <v>110</v>
      </c>
      <c r="C541" s="5">
        <v>130</v>
      </c>
      <c r="D541" s="6">
        <v>60</v>
      </c>
      <c r="E541" s="7">
        <v>65</v>
      </c>
      <c r="F541" s="8">
        <v>95</v>
      </c>
      <c r="G541" s="1">
        <v>525</v>
      </c>
      <c r="H541" s="19">
        <v>87.5</v>
      </c>
    </row>
    <row r="542" spans="1:8" x14ac:dyDescent="0.35">
      <c r="A542" s="3">
        <v>65</v>
      </c>
      <c r="B542" s="4">
        <v>60</v>
      </c>
      <c r="C542" s="5">
        <v>110</v>
      </c>
      <c r="D542" s="6">
        <v>130</v>
      </c>
      <c r="E542" s="7">
        <v>95</v>
      </c>
      <c r="F542" s="8">
        <v>65</v>
      </c>
      <c r="G542" s="1">
        <v>525</v>
      </c>
      <c r="H542" s="19">
        <v>87.5</v>
      </c>
    </row>
    <row r="543" spans="1:8" x14ac:dyDescent="0.35">
      <c r="A543" s="3">
        <v>75</v>
      </c>
      <c r="B543" s="4">
        <v>95</v>
      </c>
      <c r="C543" s="5">
        <v>125</v>
      </c>
      <c r="D543" s="6">
        <v>45</v>
      </c>
      <c r="E543" s="7">
        <v>75</v>
      </c>
      <c r="F543" s="8">
        <v>95</v>
      </c>
      <c r="G543" s="1">
        <v>510</v>
      </c>
      <c r="H543" s="19">
        <v>85</v>
      </c>
    </row>
    <row r="544" spans="1:8" x14ac:dyDescent="0.35">
      <c r="A544" s="3">
        <v>110</v>
      </c>
      <c r="B544" s="4">
        <v>130</v>
      </c>
      <c r="C544" s="5">
        <v>80</v>
      </c>
      <c r="D544" s="6">
        <v>70</v>
      </c>
      <c r="E544" s="7">
        <v>60</v>
      </c>
      <c r="F544" s="8">
        <v>80</v>
      </c>
      <c r="G544" s="1">
        <v>530</v>
      </c>
      <c r="H544" s="19">
        <v>88.33</v>
      </c>
    </row>
    <row r="545" spans="1:8" x14ac:dyDescent="0.35">
      <c r="A545" s="3">
        <v>85</v>
      </c>
      <c r="B545" s="4">
        <v>80</v>
      </c>
      <c r="C545" s="5">
        <v>70</v>
      </c>
      <c r="D545" s="6">
        <v>135</v>
      </c>
      <c r="E545" s="7">
        <v>75</v>
      </c>
      <c r="F545" s="8">
        <v>90</v>
      </c>
      <c r="G545" s="1">
        <v>535</v>
      </c>
      <c r="H545" s="19">
        <v>89.17</v>
      </c>
    </row>
    <row r="546" spans="1:8" x14ac:dyDescent="0.35">
      <c r="A546" s="3">
        <v>68</v>
      </c>
      <c r="B546" s="4">
        <v>125</v>
      </c>
      <c r="C546" s="5">
        <v>65</v>
      </c>
      <c r="D546" s="6">
        <v>65</v>
      </c>
      <c r="E546" s="7">
        <v>115</v>
      </c>
      <c r="F546" s="8">
        <v>80</v>
      </c>
      <c r="G546" s="1">
        <v>518</v>
      </c>
      <c r="H546" s="19">
        <v>86.33</v>
      </c>
    </row>
    <row r="547" spans="1:8" x14ac:dyDescent="0.35">
      <c r="A547" s="3">
        <v>68</v>
      </c>
      <c r="B547" s="4">
        <v>165</v>
      </c>
      <c r="C547" s="5">
        <v>95</v>
      </c>
      <c r="D547" s="6">
        <v>65</v>
      </c>
      <c r="E547" s="7">
        <v>115</v>
      </c>
      <c r="F547" s="8">
        <v>110</v>
      </c>
      <c r="G547" s="1">
        <v>618</v>
      </c>
      <c r="H547" s="19">
        <v>103</v>
      </c>
    </row>
    <row r="548" spans="1:8" x14ac:dyDescent="0.35">
      <c r="A548" s="3">
        <v>60</v>
      </c>
      <c r="B548" s="4">
        <v>55</v>
      </c>
      <c r="C548" s="5">
        <v>145</v>
      </c>
      <c r="D548" s="6">
        <v>75</v>
      </c>
      <c r="E548" s="7">
        <v>150</v>
      </c>
      <c r="F548" s="8">
        <v>40</v>
      </c>
      <c r="G548" s="1">
        <v>525</v>
      </c>
      <c r="H548" s="19">
        <v>87.5</v>
      </c>
    </row>
    <row r="549" spans="1:8" x14ac:dyDescent="0.35">
      <c r="A549" s="3">
        <v>45</v>
      </c>
      <c r="B549" s="4">
        <v>100</v>
      </c>
      <c r="C549" s="5">
        <v>135</v>
      </c>
      <c r="D549" s="6">
        <v>65</v>
      </c>
      <c r="E549" s="7">
        <v>135</v>
      </c>
      <c r="F549" s="8">
        <v>45</v>
      </c>
      <c r="G549" s="1">
        <v>525</v>
      </c>
      <c r="H549" s="19">
        <v>87.5</v>
      </c>
    </row>
    <row r="550" spans="1:8" x14ac:dyDescent="0.35">
      <c r="A550" s="3">
        <v>70</v>
      </c>
      <c r="B550" s="4">
        <v>80</v>
      </c>
      <c r="C550" s="5">
        <v>70</v>
      </c>
      <c r="D550" s="6">
        <v>80</v>
      </c>
      <c r="E550" s="7">
        <v>70</v>
      </c>
      <c r="F550" s="8">
        <v>110</v>
      </c>
      <c r="G550" s="1">
        <v>480</v>
      </c>
      <c r="H550" s="19">
        <v>80</v>
      </c>
    </row>
    <row r="551" spans="1:8" x14ac:dyDescent="0.35">
      <c r="A551" s="3">
        <v>50</v>
      </c>
      <c r="B551" s="4">
        <v>65</v>
      </c>
      <c r="C551" s="5">
        <v>107</v>
      </c>
      <c r="D551" s="6">
        <v>105</v>
      </c>
      <c r="E551" s="7">
        <v>107</v>
      </c>
      <c r="F551" s="8">
        <v>86</v>
      </c>
      <c r="G551" s="1">
        <v>520</v>
      </c>
      <c r="H551" s="19">
        <v>86.67</v>
      </c>
    </row>
    <row r="552" spans="1:8" x14ac:dyDescent="0.35">
      <c r="A552" s="3">
        <v>50</v>
      </c>
      <c r="B552" s="4">
        <v>65</v>
      </c>
      <c r="C552" s="5">
        <v>107</v>
      </c>
      <c r="D552" s="6">
        <v>105</v>
      </c>
      <c r="E552" s="7">
        <v>107</v>
      </c>
      <c r="F552" s="8">
        <v>86</v>
      </c>
      <c r="G552" s="1">
        <v>520</v>
      </c>
      <c r="H552" s="19">
        <v>86.67</v>
      </c>
    </row>
    <row r="553" spans="1:8" x14ac:dyDescent="0.35">
      <c r="A553" s="3">
        <v>50</v>
      </c>
      <c r="B553" s="4">
        <v>65</v>
      </c>
      <c r="C553" s="5">
        <v>107</v>
      </c>
      <c r="D553" s="6">
        <v>105</v>
      </c>
      <c r="E553" s="7">
        <v>107</v>
      </c>
      <c r="F553" s="8">
        <v>86</v>
      </c>
      <c r="G553" s="1">
        <v>520</v>
      </c>
      <c r="H553" s="19">
        <v>86.67</v>
      </c>
    </row>
    <row r="554" spans="1:8" x14ac:dyDescent="0.35">
      <c r="A554" s="3">
        <v>50</v>
      </c>
      <c r="B554" s="4">
        <v>65</v>
      </c>
      <c r="C554" s="5">
        <v>107</v>
      </c>
      <c r="D554" s="6">
        <v>105</v>
      </c>
      <c r="E554" s="7">
        <v>107</v>
      </c>
      <c r="F554" s="8">
        <v>86</v>
      </c>
      <c r="G554" s="1">
        <v>520</v>
      </c>
      <c r="H554" s="19">
        <v>86.67</v>
      </c>
    </row>
    <row r="555" spans="1:8" x14ac:dyDescent="0.35">
      <c r="A555" s="3">
        <v>50</v>
      </c>
      <c r="B555" s="4">
        <v>65</v>
      </c>
      <c r="C555" s="5">
        <v>107</v>
      </c>
      <c r="D555" s="6">
        <v>105</v>
      </c>
      <c r="E555" s="7">
        <v>107</v>
      </c>
      <c r="F555" s="8">
        <v>86</v>
      </c>
      <c r="G555" s="1">
        <v>520</v>
      </c>
      <c r="H555" s="19">
        <v>86.67</v>
      </c>
    </row>
    <row r="556" spans="1:8" x14ac:dyDescent="0.35">
      <c r="A556" s="3">
        <v>50</v>
      </c>
      <c r="B556" s="4">
        <v>50</v>
      </c>
      <c r="C556" s="5">
        <v>77</v>
      </c>
      <c r="D556" s="6">
        <v>95</v>
      </c>
      <c r="E556" s="7">
        <v>77</v>
      </c>
      <c r="F556" s="8">
        <v>91</v>
      </c>
      <c r="G556" s="1">
        <v>440</v>
      </c>
      <c r="H556" s="19">
        <v>73.33</v>
      </c>
    </row>
    <row r="557" spans="1:8" x14ac:dyDescent="0.35">
      <c r="A557" s="3">
        <v>75</v>
      </c>
      <c r="B557" s="4">
        <v>75</v>
      </c>
      <c r="C557" s="5">
        <v>130</v>
      </c>
      <c r="D557" s="6">
        <v>75</v>
      </c>
      <c r="E557" s="7">
        <v>130</v>
      </c>
      <c r="F557" s="8">
        <v>95</v>
      </c>
      <c r="G557" s="1">
        <v>580</v>
      </c>
      <c r="H557" s="19">
        <v>96.67</v>
      </c>
    </row>
    <row r="558" spans="1:8" x14ac:dyDescent="0.35">
      <c r="A558" s="3">
        <v>80</v>
      </c>
      <c r="B558" s="4">
        <v>105</v>
      </c>
      <c r="C558" s="5">
        <v>105</v>
      </c>
      <c r="D558" s="6">
        <v>105</v>
      </c>
      <c r="E558" s="7">
        <v>105</v>
      </c>
      <c r="F558" s="8">
        <v>80</v>
      </c>
      <c r="G558" s="1">
        <v>580</v>
      </c>
      <c r="H558" s="19">
        <v>96.67</v>
      </c>
    </row>
    <row r="559" spans="1:8" x14ac:dyDescent="0.35">
      <c r="A559" s="3">
        <v>75</v>
      </c>
      <c r="B559" s="4">
        <v>125</v>
      </c>
      <c r="C559" s="5">
        <v>70</v>
      </c>
      <c r="D559" s="6">
        <v>125</v>
      </c>
      <c r="E559" s="7">
        <v>70</v>
      </c>
      <c r="F559" s="8">
        <v>115</v>
      </c>
      <c r="G559" s="1">
        <v>580</v>
      </c>
      <c r="H559" s="19">
        <v>96.67</v>
      </c>
    </row>
    <row r="560" spans="1:8" x14ac:dyDescent="0.35">
      <c r="A560" s="3">
        <v>100</v>
      </c>
      <c r="B560" s="4">
        <v>120</v>
      </c>
      <c r="C560" s="5">
        <v>120</v>
      </c>
      <c r="D560" s="6">
        <v>150</v>
      </c>
      <c r="E560" s="7">
        <v>100</v>
      </c>
      <c r="F560" s="8">
        <v>90</v>
      </c>
      <c r="G560" s="1">
        <v>680</v>
      </c>
      <c r="H560" s="19">
        <v>113.33</v>
      </c>
    </row>
    <row r="561" spans="1:8" x14ac:dyDescent="0.35">
      <c r="A561" s="3">
        <v>90</v>
      </c>
      <c r="B561" s="4">
        <v>120</v>
      </c>
      <c r="C561" s="5">
        <v>100</v>
      </c>
      <c r="D561" s="6">
        <v>150</v>
      </c>
      <c r="E561" s="7">
        <v>120</v>
      </c>
      <c r="F561" s="8">
        <v>100</v>
      </c>
      <c r="G561" s="1">
        <v>680</v>
      </c>
      <c r="H561" s="19">
        <v>113.33</v>
      </c>
    </row>
    <row r="562" spans="1:8" x14ac:dyDescent="0.35">
      <c r="A562" s="3">
        <v>91</v>
      </c>
      <c r="B562" s="4">
        <v>90</v>
      </c>
      <c r="C562" s="5">
        <v>106</v>
      </c>
      <c r="D562" s="6">
        <v>130</v>
      </c>
      <c r="E562" s="7">
        <v>106</v>
      </c>
      <c r="F562" s="8">
        <v>77</v>
      </c>
      <c r="G562" s="1">
        <v>600</v>
      </c>
      <c r="H562" s="19">
        <v>100</v>
      </c>
    </row>
    <row r="563" spans="1:8" x14ac:dyDescent="0.35">
      <c r="A563" s="3">
        <v>110</v>
      </c>
      <c r="B563" s="4">
        <v>160</v>
      </c>
      <c r="C563" s="5">
        <v>110</v>
      </c>
      <c r="D563" s="6">
        <v>80</v>
      </c>
      <c r="E563" s="7">
        <v>110</v>
      </c>
      <c r="F563" s="8">
        <v>100</v>
      </c>
      <c r="G563" s="1">
        <v>670</v>
      </c>
      <c r="H563" s="19">
        <v>111.67</v>
      </c>
    </row>
    <row r="564" spans="1:8" x14ac:dyDescent="0.35">
      <c r="A564" s="3">
        <v>150</v>
      </c>
      <c r="B564" s="4">
        <v>100</v>
      </c>
      <c r="C564" s="5">
        <v>120</v>
      </c>
      <c r="D564" s="6">
        <v>100</v>
      </c>
      <c r="E564" s="7">
        <v>120</v>
      </c>
      <c r="F564" s="8">
        <v>90</v>
      </c>
      <c r="G564" s="1">
        <v>680</v>
      </c>
      <c r="H564" s="19">
        <v>113.33</v>
      </c>
    </row>
    <row r="565" spans="1:8" x14ac:dyDescent="0.35">
      <c r="A565" s="3">
        <v>150</v>
      </c>
      <c r="B565" s="4">
        <v>120</v>
      </c>
      <c r="C565" s="5">
        <v>100</v>
      </c>
      <c r="D565" s="6">
        <v>120</v>
      </c>
      <c r="E565" s="7">
        <v>100</v>
      </c>
      <c r="F565" s="8">
        <v>90</v>
      </c>
      <c r="G565" s="1">
        <v>680</v>
      </c>
      <c r="H565" s="19">
        <v>113.33</v>
      </c>
    </row>
    <row r="566" spans="1:8" x14ac:dyDescent="0.35">
      <c r="A566" s="3">
        <v>120</v>
      </c>
      <c r="B566" s="4">
        <v>70</v>
      </c>
      <c r="C566" s="5">
        <v>120</v>
      </c>
      <c r="D566" s="6">
        <v>75</v>
      </c>
      <c r="E566" s="7">
        <v>130</v>
      </c>
      <c r="F566" s="8">
        <v>85</v>
      </c>
      <c r="G566" s="1">
        <v>600</v>
      </c>
      <c r="H566" s="19">
        <v>100</v>
      </c>
    </row>
    <row r="567" spans="1:8" x14ac:dyDescent="0.35">
      <c r="A567" s="3">
        <v>80</v>
      </c>
      <c r="B567" s="4">
        <v>80</v>
      </c>
      <c r="C567" s="5">
        <v>80</v>
      </c>
      <c r="D567" s="6">
        <v>80</v>
      </c>
      <c r="E567" s="7">
        <v>80</v>
      </c>
      <c r="F567" s="8">
        <v>80</v>
      </c>
      <c r="G567" s="1">
        <v>480</v>
      </c>
      <c r="H567" s="19">
        <v>80</v>
      </c>
    </row>
    <row r="568" spans="1:8" x14ac:dyDescent="0.35">
      <c r="A568" s="3">
        <v>100</v>
      </c>
      <c r="B568" s="4">
        <v>100</v>
      </c>
      <c r="C568" s="5">
        <v>100</v>
      </c>
      <c r="D568" s="6">
        <v>100</v>
      </c>
      <c r="E568" s="7">
        <v>100</v>
      </c>
      <c r="F568" s="8">
        <v>100</v>
      </c>
      <c r="G568" s="1">
        <v>600</v>
      </c>
      <c r="H568" s="19">
        <v>100</v>
      </c>
    </row>
    <row r="569" spans="1:8" x14ac:dyDescent="0.35">
      <c r="A569" s="3">
        <v>70</v>
      </c>
      <c r="B569" s="4">
        <v>90</v>
      </c>
      <c r="C569" s="5">
        <v>90</v>
      </c>
      <c r="D569" s="6">
        <v>135</v>
      </c>
      <c r="E569" s="7">
        <v>90</v>
      </c>
      <c r="F569" s="8">
        <v>125</v>
      </c>
      <c r="G569" s="1">
        <v>600</v>
      </c>
      <c r="H569" s="19">
        <v>100</v>
      </c>
    </row>
    <row r="570" spans="1:8" x14ac:dyDescent="0.35">
      <c r="A570" s="3">
        <v>100</v>
      </c>
      <c r="B570" s="4">
        <v>100</v>
      </c>
      <c r="C570" s="5">
        <v>100</v>
      </c>
      <c r="D570" s="6">
        <v>100</v>
      </c>
      <c r="E570" s="7">
        <v>100</v>
      </c>
      <c r="F570" s="8">
        <v>100</v>
      </c>
      <c r="G570" s="1">
        <v>600</v>
      </c>
      <c r="H570" s="19">
        <v>100</v>
      </c>
    </row>
    <row r="571" spans="1:8" x14ac:dyDescent="0.35">
      <c r="A571" s="3">
        <v>100</v>
      </c>
      <c r="B571" s="4">
        <v>103</v>
      </c>
      <c r="C571" s="5">
        <v>75</v>
      </c>
      <c r="D571" s="6">
        <v>120</v>
      </c>
      <c r="E571" s="7">
        <v>75</v>
      </c>
      <c r="F571" s="8">
        <v>127</v>
      </c>
      <c r="G571" s="1">
        <v>600</v>
      </c>
      <c r="H571" s="19">
        <v>100</v>
      </c>
    </row>
    <row r="572" spans="1:8" x14ac:dyDescent="0.35">
      <c r="A572" s="3">
        <v>120</v>
      </c>
      <c r="B572" s="4">
        <v>120</v>
      </c>
      <c r="C572" s="5">
        <v>120</v>
      </c>
      <c r="D572" s="6">
        <v>120</v>
      </c>
      <c r="E572" s="7">
        <v>120</v>
      </c>
      <c r="F572" s="8">
        <v>120</v>
      </c>
      <c r="G572" s="1">
        <v>720</v>
      </c>
      <c r="H572" s="19">
        <v>120</v>
      </c>
    </row>
    <row r="573" spans="1:8" x14ac:dyDescent="0.35">
      <c r="A573" s="3">
        <v>100</v>
      </c>
      <c r="B573" s="4">
        <v>100</v>
      </c>
      <c r="C573" s="5">
        <v>100</v>
      </c>
      <c r="D573" s="6">
        <v>100</v>
      </c>
      <c r="E573" s="7">
        <v>100</v>
      </c>
      <c r="F573" s="8">
        <v>100</v>
      </c>
      <c r="G573" s="1">
        <v>600</v>
      </c>
      <c r="H573" s="19">
        <v>100</v>
      </c>
    </row>
    <row r="574" spans="1:8" x14ac:dyDescent="0.35">
      <c r="A574" s="3">
        <v>45</v>
      </c>
      <c r="B574" s="4">
        <v>45</v>
      </c>
      <c r="C574" s="5">
        <v>55</v>
      </c>
      <c r="D574" s="6">
        <v>45</v>
      </c>
      <c r="E574" s="7">
        <v>55</v>
      </c>
      <c r="F574" s="8">
        <v>63</v>
      </c>
      <c r="G574" s="1">
        <v>308</v>
      </c>
      <c r="H574" s="19">
        <v>51.33</v>
      </c>
    </row>
    <row r="575" spans="1:8" x14ac:dyDescent="0.35">
      <c r="A575" s="3">
        <v>60</v>
      </c>
      <c r="B575" s="40">
        <v>60</v>
      </c>
      <c r="C575" s="5">
        <v>75</v>
      </c>
      <c r="D575" s="6">
        <v>60</v>
      </c>
      <c r="E575" s="7">
        <v>75</v>
      </c>
      <c r="F575" s="8">
        <v>83</v>
      </c>
      <c r="G575" s="1">
        <v>413</v>
      </c>
      <c r="H575" s="19">
        <v>68.83</v>
      </c>
    </row>
    <row r="576" spans="1:8" x14ac:dyDescent="0.35">
      <c r="A576" s="3">
        <v>75</v>
      </c>
      <c r="B576" s="4">
        <v>75</v>
      </c>
      <c r="C576" s="5">
        <v>95</v>
      </c>
      <c r="D576" s="6">
        <v>75</v>
      </c>
      <c r="E576" s="7">
        <v>95</v>
      </c>
      <c r="F576" s="8">
        <v>113</v>
      </c>
      <c r="G576" s="1">
        <v>528</v>
      </c>
      <c r="H576" s="19">
        <v>88</v>
      </c>
    </row>
    <row r="577" spans="1:8" x14ac:dyDescent="0.35">
      <c r="A577" s="3">
        <v>65</v>
      </c>
      <c r="B577" s="4">
        <v>63</v>
      </c>
      <c r="C577" s="5">
        <v>45</v>
      </c>
      <c r="D577" s="6">
        <v>45</v>
      </c>
      <c r="E577" s="7">
        <v>45</v>
      </c>
      <c r="F577" s="8">
        <v>45</v>
      </c>
      <c r="G577" s="1">
        <v>308</v>
      </c>
      <c r="H577" s="19">
        <v>51.33</v>
      </c>
    </row>
    <row r="578" spans="1:8" x14ac:dyDescent="0.35">
      <c r="A578" s="3">
        <v>90</v>
      </c>
      <c r="B578" s="4">
        <v>93</v>
      </c>
      <c r="C578" s="5">
        <v>55</v>
      </c>
      <c r="D578" s="6">
        <v>70</v>
      </c>
      <c r="E578" s="7">
        <v>55</v>
      </c>
      <c r="F578" s="8">
        <v>55</v>
      </c>
      <c r="G578" s="1">
        <v>418</v>
      </c>
      <c r="H578" s="19">
        <v>69.67</v>
      </c>
    </row>
    <row r="579" spans="1:8" x14ac:dyDescent="0.35">
      <c r="A579" s="3">
        <v>110</v>
      </c>
      <c r="B579" s="4">
        <v>123</v>
      </c>
      <c r="C579" s="5">
        <v>65</v>
      </c>
      <c r="D579" s="6">
        <v>100</v>
      </c>
      <c r="E579" s="7">
        <v>65</v>
      </c>
      <c r="F579" s="8">
        <v>65</v>
      </c>
      <c r="G579" s="1">
        <v>528</v>
      </c>
      <c r="H579" s="19">
        <v>88</v>
      </c>
    </row>
    <row r="580" spans="1:8" x14ac:dyDescent="0.35">
      <c r="A580" s="3">
        <v>55</v>
      </c>
      <c r="B580" s="4">
        <v>55</v>
      </c>
      <c r="C580" s="5">
        <v>45</v>
      </c>
      <c r="D580" s="6">
        <v>63</v>
      </c>
      <c r="E580" s="7">
        <v>45</v>
      </c>
      <c r="F580" s="8">
        <v>45</v>
      </c>
      <c r="G580" s="1">
        <v>308</v>
      </c>
      <c r="H580" s="19">
        <v>51.33</v>
      </c>
    </row>
    <row r="581" spans="1:8" x14ac:dyDescent="0.35">
      <c r="A581" s="3">
        <v>75</v>
      </c>
      <c r="B581" s="4">
        <v>75</v>
      </c>
      <c r="C581" s="5">
        <v>60</v>
      </c>
      <c r="D581" s="6">
        <v>83</v>
      </c>
      <c r="E581" s="7">
        <v>60</v>
      </c>
      <c r="F581" s="8">
        <v>60</v>
      </c>
      <c r="G581" s="45">
        <v>413</v>
      </c>
      <c r="H581" s="19">
        <v>68.83</v>
      </c>
    </row>
    <row r="582" spans="1:8" x14ac:dyDescent="0.35">
      <c r="A582" s="3">
        <v>95</v>
      </c>
      <c r="B582" s="4">
        <v>100</v>
      </c>
      <c r="C582" s="5">
        <v>85</v>
      </c>
      <c r="D582" s="6">
        <v>108</v>
      </c>
      <c r="E582" s="7">
        <v>70</v>
      </c>
      <c r="F582" s="8">
        <v>70</v>
      </c>
      <c r="G582" s="1">
        <v>528</v>
      </c>
      <c r="H582" s="19">
        <v>88</v>
      </c>
    </row>
    <row r="583" spans="1:8" x14ac:dyDescent="0.35">
      <c r="A583" s="3">
        <v>45</v>
      </c>
      <c r="B583" s="4">
        <v>55</v>
      </c>
      <c r="C583" s="5">
        <v>39</v>
      </c>
      <c r="D583" s="6">
        <v>35</v>
      </c>
      <c r="E583" s="7">
        <v>39</v>
      </c>
      <c r="F583" s="8">
        <v>42</v>
      </c>
      <c r="G583" s="1">
        <v>255</v>
      </c>
      <c r="H583" s="19">
        <v>42.5</v>
      </c>
    </row>
    <row r="584" spans="1:8" x14ac:dyDescent="0.35">
      <c r="A584" s="3">
        <v>60</v>
      </c>
      <c r="B584" s="4">
        <v>85</v>
      </c>
      <c r="C584" s="5">
        <v>69</v>
      </c>
      <c r="D584" s="6">
        <v>60</v>
      </c>
      <c r="E584" s="7">
        <v>69</v>
      </c>
      <c r="F584" s="8">
        <v>77</v>
      </c>
      <c r="G584" s="1">
        <v>420</v>
      </c>
      <c r="H584" s="19">
        <v>70</v>
      </c>
    </row>
    <row r="585" spans="1:8" x14ac:dyDescent="0.35">
      <c r="A585" s="3">
        <v>45</v>
      </c>
      <c r="B585" s="4">
        <v>60</v>
      </c>
      <c r="C585" s="5">
        <v>45</v>
      </c>
      <c r="D585" s="6">
        <v>25</v>
      </c>
      <c r="E585" s="7">
        <v>45</v>
      </c>
      <c r="F585" s="8">
        <v>55</v>
      </c>
      <c r="G585" s="1">
        <v>275</v>
      </c>
      <c r="H585" s="19">
        <v>45.83</v>
      </c>
    </row>
    <row r="586" spans="1:8" x14ac:dyDescent="0.35">
      <c r="A586" s="3">
        <v>65</v>
      </c>
      <c r="B586" s="4">
        <v>80</v>
      </c>
      <c r="C586" s="5">
        <v>65</v>
      </c>
      <c r="D586" s="6">
        <v>35</v>
      </c>
      <c r="E586" s="7">
        <v>65</v>
      </c>
      <c r="F586" s="8">
        <v>60</v>
      </c>
      <c r="G586" s="1">
        <v>370</v>
      </c>
      <c r="H586" s="19">
        <v>61.67</v>
      </c>
    </row>
    <row r="587" spans="1:8" x14ac:dyDescent="0.35">
      <c r="A587" s="3">
        <v>85</v>
      </c>
      <c r="B587" s="4">
        <v>110</v>
      </c>
      <c r="C587" s="5">
        <v>90</v>
      </c>
      <c r="D587" s="6">
        <v>45</v>
      </c>
      <c r="E587" s="7">
        <v>90</v>
      </c>
      <c r="F587" s="8">
        <v>80</v>
      </c>
      <c r="G587" s="1">
        <v>500</v>
      </c>
      <c r="H587" s="19">
        <v>83.33</v>
      </c>
    </row>
    <row r="588" spans="1:8" x14ac:dyDescent="0.35">
      <c r="A588" s="3">
        <v>41</v>
      </c>
      <c r="B588" s="4">
        <v>50</v>
      </c>
      <c r="C588" s="5">
        <v>37</v>
      </c>
      <c r="D588" s="6">
        <v>50</v>
      </c>
      <c r="E588" s="7">
        <v>37</v>
      </c>
      <c r="F588" s="8">
        <v>66</v>
      </c>
      <c r="G588" s="1">
        <v>281</v>
      </c>
      <c r="H588" s="19">
        <v>46.83</v>
      </c>
    </row>
    <row r="589" spans="1:8" x14ac:dyDescent="0.35">
      <c r="A589" s="3">
        <v>64</v>
      </c>
      <c r="B589" s="4">
        <v>88</v>
      </c>
      <c r="C589" s="5">
        <v>50</v>
      </c>
      <c r="D589" s="6">
        <v>88</v>
      </c>
      <c r="E589" s="7">
        <v>50</v>
      </c>
      <c r="F589" s="8">
        <v>106</v>
      </c>
      <c r="G589" s="1">
        <v>446</v>
      </c>
      <c r="H589" s="19">
        <v>74.33</v>
      </c>
    </row>
    <row r="590" spans="1:8" x14ac:dyDescent="0.35">
      <c r="A590" s="3">
        <v>50</v>
      </c>
      <c r="B590" s="4">
        <v>53</v>
      </c>
      <c r="C590" s="5">
        <v>48</v>
      </c>
      <c r="D590" s="6">
        <v>53</v>
      </c>
      <c r="E590" s="7">
        <v>48</v>
      </c>
      <c r="F590" s="8">
        <v>64</v>
      </c>
      <c r="G590" s="1">
        <v>316</v>
      </c>
      <c r="H590" s="19">
        <v>52.67</v>
      </c>
    </row>
    <row r="591" spans="1:8" x14ac:dyDescent="0.35">
      <c r="A591" s="3">
        <v>75</v>
      </c>
      <c r="B591" s="4">
        <v>98</v>
      </c>
      <c r="C591" s="5">
        <v>63</v>
      </c>
      <c r="D591" s="6">
        <v>98</v>
      </c>
      <c r="E591" s="7">
        <v>63</v>
      </c>
      <c r="F591" s="8">
        <v>101</v>
      </c>
      <c r="G591" s="1">
        <v>498</v>
      </c>
      <c r="H591" s="19">
        <v>83</v>
      </c>
    </row>
    <row r="592" spans="1:8" x14ac:dyDescent="0.35">
      <c r="A592" s="3">
        <v>50</v>
      </c>
      <c r="B592" s="4">
        <v>53</v>
      </c>
      <c r="C592" s="5">
        <v>48</v>
      </c>
      <c r="D592" s="6">
        <v>53</v>
      </c>
      <c r="E592" s="7">
        <v>48</v>
      </c>
      <c r="F592" s="8">
        <v>64</v>
      </c>
      <c r="G592" s="1">
        <v>316</v>
      </c>
      <c r="H592" s="19">
        <v>52.67</v>
      </c>
    </row>
    <row r="593" spans="1:8" x14ac:dyDescent="0.35">
      <c r="A593" s="3">
        <v>75</v>
      </c>
      <c r="B593" s="4">
        <v>98</v>
      </c>
      <c r="C593" s="5">
        <v>63</v>
      </c>
      <c r="D593" s="6">
        <v>98</v>
      </c>
      <c r="E593" s="7">
        <v>63</v>
      </c>
      <c r="F593" s="8">
        <v>101</v>
      </c>
      <c r="G593" s="1">
        <v>498</v>
      </c>
      <c r="H593" s="19">
        <v>83</v>
      </c>
    </row>
    <row r="594" spans="1:8" x14ac:dyDescent="0.35">
      <c r="A594" s="3">
        <v>50</v>
      </c>
      <c r="B594" s="4">
        <v>53</v>
      </c>
      <c r="C594" s="41">
        <v>48</v>
      </c>
      <c r="D594" s="6">
        <v>53</v>
      </c>
      <c r="E594" s="7">
        <v>48</v>
      </c>
      <c r="F594" s="8">
        <v>64</v>
      </c>
      <c r="G594" s="1">
        <v>316</v>
      </c>
      <c r="H594" s="19">
        <v>52.67</v>
      </c>
    </row>
    <row r="595" spans="1:8" x14ac:dyDescent="0.35">
      <c r="A595" s="3">
        <v>75</v>
      </c>
      <c r="B595" s="4">
        <v>98</v>
      </c>
      <c r="C595" s="5">
        <v>63</v>
      </c>
      <c r="D595" s="6">
        <v>98</v>
      </c>
      <c r="E595" s="7">
        <v>63</v>
      </c>
      <c r="F595" s="8">
        <v>101</v>
      </c>
      <c r="G595" s="1">
        <v>498</v>
      </c>
      <c r="H595" s="19">
        <v>83</v>
      </c>
    </row>
    <row r="596" spans="1:8" x14ac:dyDescent="0.35">
      <c r="A596" s="3">
        <v>76</v>
      </c>
      <c r="B596" s="4">
        <v>25</v>
      </c>
      <c r="C596" s="5">
        <v>45</v>
      </c>
      <c r="D596" s="6">
        <v>67</v>
      </c>
      <c r="E596" s="7">
        <v>55</v>
      </c>
      <c r="F596" s="8">
        <v>24</v>
      </c>
      <c r="G596" s="1">
        <v>292</v>
      </c>
      <c r="H596" s="19">
        <v>48.67</v>
      </c>
    </row>
    <row r="597" spans="1:8" x14ac:dyDescent="0.35">
      <c r="A597" s="3">
        <v>116</v>
      </c>
      <c r="B597" s="4">
        <v>55</v>
      </c>
      <c r="C597" s="5">
        <v>85</v>
      </c>
      <c r="D597" s="6">
        <v>107</v>
      </c>
      <c r="E597" s="7">
        <v>95</v>
      </c>
      <c r="F597" s="8">
        <v>29</v>
      </c>
      <c r="G597" s="1">
        <v>487</v>
      </c>
      <c r="H597" s="19">
        <v>81.17</v>
      </c>
    </row>
    <row r="598" spans="1:8" x14ac:dyDescent="0.35">
      <c r="A598" s="3">
        <v>50</v>
      </c>
      <c r="B598" s="4">
        <v>55</v>
      </c>
      <c r="C598" s="5">
        <v>50</v>
      </c>
      <c r="D598" s="6">
        <v>36</v>
      </c>
      <c r="E598" s="7">
        <v>30</v>
      </c>
      <c r="F598" s="8">
        <v>43</v>
      </c>
      <c r="G598" s="1">
        <v>264</v>
      </c>
      <c r="H598" s="19">
        <v>44</v>
      </c>
    </row>
    <row r="599" spans="1:8" x14ac:dyDescent="0.35">
      <c r="A599" s="3">
        <v>62</v>
      </c>
      <c r="B599" s="4">
        <v>77</v>
      </c>
      <c r="C599" s="5">
        <v>62</v>
      </c>
      <c r="D599" s="6">
        <v>50</v>
      </c>
      <c r="E599" s="7">
        <v>42</v>
      </c>
      <c r="F599" s="8">
        <v>65</v>
      </c>
      <c r="G599" s="1">
        <v>358</v>
      </c>
      <c r="H599" s="19">
        <v>59.67</v>
      </c>
    </row>
    <row r="600" spans="1:8" x14ac:dyDescent="0.35">
      <c r="A600" s="3">
        <v>80</v>
      </c>
      <c r="B600" s="4">
        <v>115</v>
      </c>
      <c r="C600" s="5">
        <v>80</v>
      </c>
      <c r="D600" s="6">
        <v>65</v>
      </c>
      <c r="E600" s="7">
        <v>55</v>
      </c>
      <c r="F600" s="8">
        <v>93</v>
      </c>
      <c r="G600" s="1">
        <v>488</v>
      </c>
      <c r="H600" s="19">
        <v>81.33</v>
      </c>
    </row>
    <row r="601" spans="1:8" x14ac:dyDescent="0.35">
      <c r="A601" s="3">
        <v>45</v>
      </c>
      <c r="B601" s="4">
        <v>60</v>
      </c>
      <c r="C601" s="5">
        <v>32</v>
      </c>
      <c r="D601" s="6">
        <v>50</v>
      </c>
      <c r="E601" s="7">
        <v>32</v>
      </c>
      <c r="F601" s="8">
        <v>76</v>
      </c>
      <c r="G601" s="1">
        <v>295</v>
      </c>
      <c r="H601" s="19">
        <v>49.17</v>
      </c>
    </row>
    <row r="602" spans="1:8" x14ac:dyDescent="0.35">
      <c r="A602" s="3">
        <v>75</v>
      </c>
      <c r="B602" s="4">
        <v>100</v>
      </c>
      <c r="C602" s="5">
        <v>63</v>
      </c>
      <c r="D602" s="6">
        <v>80</v>
      </c>
      <c r="E602" s="7">
        <v>63</v>
      </c>
      <c r="F602" s="8">
        <v>116</v>
      </c>
      <c r="G602" s="1">
        <v>497</v>
      </c>
      <c r="H602" s="19">
        <v>82.83</v>
      </c>
    </row>
    <row r="603" spans="1:8" x14ac:dyDescent="0.35">
      <c r="A603" s="3">
        <v>55</v>
      </c>
      <c r="B603" s="4">
        <v>75</v>
      </c>
      <c r="C603" s="5">
        <v>85</v>
      </c>
      <c r="D603" s="6">
        <v>25</v>
      </c>
      <c r="E603" s="7">
        <v>25</v>
      </c>
      <c r="F603" s="8">
        <v>15</v>
      </c>
      <c r="G603" s="1">
        <v>280</v>
      </c>
      <c r="H603" s="19">
        <v>46.67</v>
      </c>
    </row>
    <row r="604" spans="1:8" x14ac:dyDescent="0.35">
      <c r="A604" s="3">
        <v>70</v>
      </c>
      <c r="B604" s="4">
        <v>105</v>
      </c>
      <c r="C604" s="5">
        <v>105</v>
      </c>
      <c r="D604" s="6">
        <v>50</v>
      </c>
      <c r="E604" s="7">
        <v>40</v>
      </c>
      <c r="F604" s="8">
        <v>20</v>
      </c>
      <c r="G604" s="1">
        <v>390</v>
      </c>
      <c r="H604" s="19">
        <v>65</v>
      </c>
    </row>
    <row r="605" spans="1:8" x14ac:dyDescent="0.35">
      <c r="A605" s="3">
        <v>85</v>
      </c>
      <c r="B605" s="4">
        <v>135</v>
      </c>
      <c r="C605" s="5">
        <v>130</v>
      </c>
      <c r="D605" s="6">
        <v>60</v>
      </c>
      <c r="E605" s="7">
        <v>80</v>
      </c>
      <c r="F605" s="8">
        <v>25</v>
      </c>
      <c r="G605" s="1">
        <v>515</v>
      </c>
      <c r="H605" s="19">
        <v>85.83</v>
      </c>
    </row>
    <row r="606" spans="1:8" x14ac:dyDescent="0.35">
      <c r="A606" s="3">
        <v>65</v>
      </c>
      <c r="B606" s="4">
        <v>45</v>
      </c>
      <c r="C606" s="5">
        <v>43</v>
      </c>
      <c r="D606" s="6">
        <v>55</v>
      </c>
      <c r="E606" s="7">
        <v>43</v>
      </c>
      <c r="F606" s="8">
        <v>72</v>
      </c>
      <c r="G606" s="1">
        <v>323</v>
      </c>
      <c r="H606" s="19">
        <v>53.83</v>
      </c>
    </row>
    <row r="607" spans="1:8" x14ac:dyDescent="0.35">
      <c r="A607" s="39">
        <v>67</v>
      </c>
      <c r="B607" s="4">
        <v>57</v>
      </c>
      <c r="C607" s="5">
        <v>55</v>
      </c>
      <c r="D607" s="6">
        <v>77</v>
      </c>
      <c r="E607" s="7">
        <v>55</v>
      </c>
      <c r="F607" s="8">
        <v>114</v>
      </c>
      <c r="G607" s="1">
        <v>425</v>
      </c>
      <c r="H607" s="19">
        <v>70.83</v>
      </c>
    </row>
    <row r="608" spans="1:8" x14ac:dyDescent="0.35">
      <c r="A608" s="3">
        <v>60</v>
      </c>
      <c r="B608" s="4">
        <v>85</v>
      </c>
      <c r="C608" s="5">
        <v>40</v>
      </c>
      <c r="D608" s="6">
        <v>30</v>
      </c>
      <c r="E608" s="7">
        <v>45</v>
      </c>
      <c r="F608" s="8">
        <v>68</v>
      </c>
      <c r="G608" s="1">
        <v>328</v>
      </c>
      <c r="H608" s="19">
        <v>54.67</v>
      </c>
    </row>
    <row r="609" spans="1:8" x14ac:dyDescent="0.35">
      <c r="A609" s="3">
        <v>110</v>
      </c>
      <c r="B609" s="4">
        <v>135</v>
      </c>
      <c r="C609" s="5">
        <v>60</v>
      </c>
      <c r="D609" s="42">
        <v>50</v>
      </c>
      <c r="E609" s="7">
        <v>65</v>
      </c>
      <c r="F609" s="8">
        <v>88</v>
      </c>
      <c r="G609" s="1">
        <v>508</v>
      </c>
      <c r="H609" s="19">
        <v>84.67</v>
      </c>
    </row>
    <row r="610" spans="1:8" x14ac:dyDescent="0.35">
      <c r="A610" s="3">
        <v>103</v>
      </c>
      <c r="B610" s="4">
        <v>60</v>
      </c>
      <c r="C610" s="5">
        <v>86</v>
      </c>
      <c r="D610" s="6">
        <v>60</v>
      </c>
      <c r="E610" s="43">
        <v>86</v>
      </c>
      <c r="F610" s="8">
        <v>50</v>
      </c>
      <c r="G610" s="1">
        <v>445</v>
      </c>
      <c r="H610" s="19">
        <v>74.17</v>
      </c>
    </row>
    <row r="611" spans="1:8" x14ac:dyDescent="0.35">
      <c r="A611" s="3">
        <v>103</v>
      </c>
      <c r="B611" s="4">
        <v>60</v>
      </c>
      <c r="C611" s="5">
        <v>126</v>
      </c>
      <c r="D611" s="6">
        <v>80</v>
      </c>
      <c r="E611" s="7">
        <v>126</v>
      </c>
      <c r="F611" s="8">
        <v>50</v>
      </c>
      <c r="G611" s="1">
        <v>545</v>
      </c>
      <c r="H611" s="19">
        <v>90.83</v>
      </c>
    </row>
    <row r="612" spans="1:8" x14ac:dyDescent="0.35">
      <c r="A612" s="3">
        <v>75</v>
      </c>
      <c r="B612" s="4">
        <v>80</v>
      </c>
      <c r="C612" s="5">
        <v>55</v>
      </c>
      <c r="D612" s="6">
        <v>25</v>
      </c>
      <c r="E612" s="7">
        <v>35</v>
      </c>
      <c r="F612" s="8">
        <v>35</v>
      </c>
      <c r="G612" s="1">
        <v>305</v>
      </c>
      <c r="H612" s="19">
        <v>50.83</v>
      </c>
    </row>
    <row r="613" spans="1:8" x14ac:dyDescent="0.35">
      <c r="A613" s="3">
        <v>85</v>
      </c>
      <c r="B613" s="4">
        <v>105</v>
      </c>
      <c r="C613" s="5">
        <v>85</v>
      </c>
      <c r="D613" s="6">
        <v>40</v>
      </c>
      <c r="E613" s="7">
        <v>50</v>
      </c>
      <c r="F613" s="8">
        <v>40</v>
      </c>
      <c r="G613" s="1">
        <v>405</v>
      </c>
      <c r="H613" s="19">
        <v>67.5</v>
      </c>
    </row>
    <row r="614" spans="1:8" x14ac:dyDescent="0.35">
      <c r="A614" s="3">
        <v>105</v>
      </c>
      <c r="B614" s="4">
        <v>140</v>
      </c>
      <c r="C614" s="5">
        <v>95</v>
      </c>
      <c r="D614" s="6">
        <v>55</v>
      </c>
      <c r="E614" s="7">
        <v>65</v>
      </c>
      <c r="F614" s="8">
        <v>45</v>
      </c>
      <c r="G614" s="1">
        <v>505</v>
      </c>
      <c r="H614" s="19">
        <v>84.17</v>
      </c>
    </row>
    <row r="615" spans="1:8" x14ac:dyDescent="0.35">
      <c r="A615" s="3">
        <v>50</v>
      </c>
      <c r="B615" s="4">
        <v>50</v>
      </c>
      <c r="C615" s="5">
        <v>40</v>
      </c>
      <c r="D615" s="6">
        <v>50</v>
      </c>
      <c r="E615" s="7">
        <v>40</v>
      </c>
      <c r="F615" s="8">
        <v>64</v>
      </c>
      <c r="G615" s="1">
        <v>294</v>
      </c>
      <c r="H615" s="19">
        <v>49</v>
      </c>
    </row>
    <row r="616" spans="1:8" x14ac:dyDescent="0.35">
      <c r="A616" s="3">
        <v>75</v>
      </c>
      <c r="B616" s="4">
        <v>65</v>
      </c>
      <c r="C616" s="5">
        <v>55</v>
      </c>
      <c r="D616" s="6">
        <v>65</v>
      </c>
      <c r="E616" s="7">
        <v>55</v>
      </c>
      <c r="F616" s="8">
        <v>69</v>
      </c>
      <c r="G616" s="1">
        <v>384</v>
      </c>
      <c r="H616" s="19">
        <v>64</v>
      </c>
    </row>
    <row r="617" spans="1:8" x14ac:dyDescent="0.35">
      <c r="A617" s="3">
        <v>105</v>
      </c>
      <c r="B617" s="4">
        <v>95</v>
      </c>
      <c r="C617" s="5">
        <v>75</v>
      </c>
      <c r="D617" s="6">
        <v>85</v>
      </c>
      <c r="E617" s="7">
        <v>75</v>
      </c>
      <c r="F617" s="8">
        <v>74</v>
      </c>
      <c r="G617" s="1">
        <v>509</v>
      </c>
      <c r="H617" s="19">
        <v>84.83</v>
      </c>
    </row>
    <row r="618" spans="1:8" x14ac:dyDescent="0.35">
      <c r="A618" s="3">
        <v>120</v>
      </c>
      <c r="B618" s="4">
        <v>100</v>
      </c>
      <c r="C618" s="5">
        <v>85</v>
      </c>
      <c r="D618" s="6">
        <v>30</v>
      </c>
      <c r="E618" s="7">
        <v>85</v>
      </c>
      <c r="F618" s="8">
        <v>45</v>
      </c>
      <c r="G618" s="1">
        <v>465</v>
      </c>
      <c r="H618" s="19">
        <v>77.5</v>
      </c>
    </row>
    <row r="619" spans="1:8" x14ac:dyDescent="0.35">
      <c r="A619" s="3">
        <v>75</v>
      </c>
      <c r="B619" s="4">
        <v>125</v>
      </c>
      <c r="C619" s="5">
        <v>75</v>
      </c>
      <c r="D619" s="6">
        <v>30</v>
      </c>
      <c r="E619" s="7">
        <v>75</v>
      </c>
      <c r="F619" s="8">
        <v>85</v>
      </c>
      <c r="G619" s="1">
        <v>465</v>
      </c>
      <c r="H619" s="19">
        <v>77.5</v>
      </c>
    </row>
    <row r="620" spans="1:8" x14ac:dyDescent="0.35">
      <c r="A620" s="3">
        <v>45</v>
      </c>
      <c r="B620" s="4">
        <v>53</v>
      </c>
      <c r="C620" s="5">
        <v>70</v>
      </c>
      <c r="D620" s="6">
        <v>40</v>
      </c>
      <c r="E620" s="7">
        <v>60</v>
      </c>
      <c r="F620" s="8">
        <v>42</v>
      </c>
      <c r="G620" s="1">
        <v>310</v>
      </c>
      <c r="H620" s="19">
        <v>51.67</v>
      </c>
    </row>
    <row r="621" spans="1:8" x14ac:dyDescent="0.35">
      <c r="A621" s="3">
        <v>55</v>
      </c>
      <c r="B621" s="4">
        <v>63</v>
      </c>
      <c r="C621" s="5">
        <v>90</v>
      </c>
      <c r="D621" s="6">
        <v>50</v>
      </c>
      <c r="E621" s="7">
        <v>80</v>
      </c>
      <c r="F621" s="8">
        <v>42</v>
      </c>
      <c r="G621" s="1">
        <v>380</v>
      </c>
      <c r="H621" s="19">
        <v>63.33</v>
      </c>
    </row>
    <row r="622" spans="1:8" x14ac:dyDescent="0.35">
      <c r="A622" s="3">
        <v>75</v>
      </c>
      <c r="B622" s="4">
        <v>103</v>
      </c>
      <c r="C622" s="5">
        <v>80</v>
      </c>
      <c r="D622" s="6">
        <v>70</v>
      </c>
      <c r="E622" s="7">
        <v>80</v>
      </c>
      <c r="F622" s="8">
        <v>92</v>
      </c>
      <c r="G622" s="1">
        <v>500</v>
      </c>
      <c r="H622" s="19">
        <v>83.33</v>
      </c>
    </row>
    <row r="623" spans="1:8" x14ac:dyDescent="0.35">
      <c r="A623" s="3">
        <v>30</v>
      </c>
      <c r="B623" s="4">
        <v>45</v>
      </c>
      <c r="C623" s="5">
        <v>59</v>
      </c>
      <c r="D623" s="6">
        <v>30</v>
      </c>
      <c r="E623" s="7">
        <v>39</v>
      </c>
      <c r="F623" s="8">
        <v>57</v>
      </c>
      <c r="G623" s="1">
        <v>260</v>
      </c>
      <c r="H623" s="19">
        <v>43.33</v>
      </c>
    </row>
    <row r="624" spans="1:8" x14ac:dyDescent="0.35">
      <c r="A624" s="3">
        <v>40</v>
      </c>
      <c r="B624" s="4">
        <v>55</v>
      </c>
      <c r="C624" s="5">
        <v>99</v>
      </c>
      <c r="D624" s="6">
        <v>40</v>
      </c>
      <c r="E624" s="7">
        <v>79</v>
      </c>
      <c r="F624" s="8">
        <v>47</v>
      </c>
      <c r="G624" s="1">
        <v>360</v>
      </c>
      <c r="H624" s="19">
        <v>60</v>
      </c>
    </row>
    <row r="625" spans="1:8" x14ac:dyDescent="0.35">
      <c r="A625" s="3">
        <v>60</v>
      </c>
      <c r="B625" s="4">
        <v>100</v>
      </c>
      <c r="C625" s="5">
        <v>89</v>
      </c>
      <c r="D625" s="6">
        <v>55</v>
      </c>
      <c r="E625" s="7">
        <v>69</v>
      </c>
      <c r="F625" s="8">
        <v>112</v>
      </c>
      <c r="G625" s="1">
        <v>485</v>
      </c>
      <c r="H625" s="19">
        <v>80.83</v>
      </c>
    </row>
    <row r="626" spans="1:8" x14ac:dyDescent="0.35">
      <c r="A626" s="3">
        <v>40</v>
      </c>
      <c r="B626" s="4">
        <v>27</v>
      </c>
      <c r="C626" s="5">
        <v>60</v>
      </c>
      <c r="D626" s="6">
        <v>37</v>
      </c>
      <c r="E626" s="7">
        <v>50</v>
      </c>
      <c r="F626" s="8">
        <v>66</v>
      </c>
      <c r="G626" s="1">
        <v>280</v>
      </c>
      <c r="H626" s="19">
        <v>46.67</v>
      </c>
    </row>
    <row r="627" spans="1:8" x14ac:dyDescent="0.35">
      <c r="A627" s="3">
        <v>60</v>
      </c>
      <c r="B627" s="4">
        <v>67</v>
      </c>
      <c r="C627" s="5">
        <v>85</v>
      </c>
      <c r="D627" s="6">
        <v>77</v>
      </c>
      <c r="E627" s="7">
        <v>75</v>
      </c>
      <c r="F627" s="8">
        <v>116</v>
      </c>
      <c r="G627" s="1">
        <v>480</v>
      </c>
      <c r="H627" s="19">
        <v>80</v>
      </c>
    </row>
    <row r="628" spans="1:8" x14ac:dyDescent="0.35">
      <c r="A628" s="3">
        <v>45</v>
      </c>
      <c r="B628" s="4">
        <v>35</v>
      </c>
      <c r="C628" s="5">
        <v>50</v>
      </c>
      <c r="D628" s="6">
        <v>70</v>
      </c>
      <c r="E628" s="7">
        <v>50</v>
      </c>
      <c r="F628" s="8">
        <v>30</v>
      </c>
      <c r="G628" s="1">
        <v>280</v>
      </c>
      <c r="H628" s="19">
        <v>46.67</v>
      </c>
    </row>
    <row r="629" spans="1:8" x14ac:dyDescent="0.35">
      <c r="A629" s="3">
        <v>70</v>
      </c>
      <c r="B629" s="4">
        <v>60</v>
      </c>
      <c r="C629" s="5">
        <v>75</v>
      </c>
      <c r="D629" s="6">
        <v>110</v>
      </c>
      <c r="E629" s="7">
        <v>75</v>
      </c>
      <c r="F629" s="8">
        <v>90</v>
      </c>
      <c r="G629" s="1">
        <v>480</v>
      </c>
      <c r="H629" s="19">
        <v>80</v>
      </c>
    </row>
    <row r="630" spans="1:8" x14ac:dyDescent="0.35">
      <c r="A630" s="3">
        <v>70</v>
      </c>
      <c r="B630" s="4">
        <v>92</v>
      </c>
      <c r="C630" s="5">
        <v>65</v>
      </c>
      <c r="D630" s="6">
        <v>80</v>
      </c>
      <c r="E630" s="7">
        <v>55</v>
      </c>
      <c r="F630" s="8">
        <v>98</v>
      </c>
      <c r="G630" s="1">
        <v>460</v>
      </c>
      <c r="H630" s="19">
        <v>76.67</v>
      </c>
    </row>
    <row r="631" spans="1:8" x14ac:dyDescent="0.35">
      <c r="A631" s="3">
        <v>50</v>
      </c>
      <c r="B631" s="4">
        <v>72</v>
      </c>
      <c r="C631" s="5">
        <v>35</v>
      </c>
      <c r="D631" s="6">
        <v>35</v>
      </c>
      <c r="E631" s="7">
        <v>35</v>
      </c>
      <c r="F631" s="8">
        <v>65</v>
      </c>
      <c r="G631" s="1">
        <v>292</v>
      </c>
      <c r="H631" s="19">
        <v>48.67</v>
      </c>
    </row>
    <row r="632" spans="1:8" x14ac:dyDescent="0.35">
      <c r="A632" s="3">
        <v>60</v>
      </c>
      <c r="B632" s="4">
        <v>82</v>
      </c>
      <c r="C632" s="5">
        <v>45</v>
      </c>
      <c r="D632" s="6">
        <v>45</v>
      </c>
      <c r="E632" s="7">
        <v>45</v>
      </c>
      <c r="F632" s="8">
        <v>74</v>
      </c>
      <c r="G632" s="1">
        <v>351</v>
      </c>
      <c r="H632" s="19">
        <v>58.5</v>
      </c>
    </row>
    <row r="633" spans="1:8" x14ac:dyDescent="0.35">
      <c r="A633" s="3">
        <v>95</v>
      </c>
      <c r="B633" s="4">
        <v>117</v>
      </c>
      <c r="C633" s="5">
        <v>80</v>
      </c>
      <c r="D633" s="6">
        <v>65</v>
      </c>
      <c r="E633" s="7">
        <v>70</v>
      </c>
      <c r="F633" s="8">
        <v>92</v>
      </c>
      <c r="G633" s="1">
        <v>519</v>
      </c>
      <c r="H633" s="19">
        <v>86.5</v>
      </c>
    </row>
    <row r="634" spans="1:8" x14ac:dyDescent="0.35">
      <c r="A634" s="3">
        <v>70</v>
      </c>
      <c r="B634" s="4">
        <v>90</v>
      </c>
      <c r="C634" s="5">
        <v>45</v>
      </c>
      <c r="D634" s="6">
        <v>15</v>
      </c>
      <c r="E634" s="7">
        <v>45</v>
      </c>
      <c r="F634" s="8">
        <v>50</v>
      </c>
      <c r="G634" s="1">
        <v>315</v>
      </c>
      <c r="H634" s="19">
        <v>52.5</v>
      </c>
    </row>
    <row r="635" spans="1:8" x14ac:dyDescent="0.35">
      <c r="A635" s="3">
        <v>105</v>
      </c>
      <c r="B635" s="4">
        <v>30</v>
      </c>
      <c r="C635" s="5">
        <v>105</v>
      </c>
      <c r="D635" s="6">
        <v>140</v>
      </c>
      <c r="E635" s="7">
        <v>105</v>
      </c>
      <c r="F635" s="8">
        <v>55</v>
      </c>
      <c r="G635" s="1">
        <v>540</v>
      </c>
      <c r="H635" s="19">
        <v>90</v>
      </c>
    </row>
    <row r="636" spans="1:8" x14ac:dyDescent="0.35">
      <c r="A636" s="3">
        <v>105</v>
      </c>
      <c r="B636" s="4">
        <v>140</v>
      </c>
      <c r="C636" s="5">
        <v>55</v>
      </c>
      <c r="D636" s="6">
        <v>30</v>
      </c>
      <c r="E636" s="7">
        <v>55</v>
      </c>
      <c r="F636" s="8">
        <v>95</v>
      </c>
      <c r="G636" s="1">
        <v>480</v>
      </c>
      <c r="H636" s="19">
        <v>80</v>
      </c>
    </row>
    <row r="637" spans="1:8" x14ac:dyDescent="0.35">
      <c r="A637" s="3">
        <v>75</v>
      </c>
      <c r="B637" s="4">
        <v>86</v>
      </c>
      <c r="C637" s="5">
        <v>67</v>
      </c>
      <c r="D637" s="6">
        <v>106</v>
      </c>
      <c r="E637" s="7">
        <v>67</v>
      </c>
      <c r="F637" s="8">
        <v>60</v>
      </c>
      <c r="G637" s="1">
        <v>461</v>
      </c>
      <c r="H637" s="19">
        <v>76.83</v>
      </c>
    </row>
    <row r="638" spans="1:8" x14ac:dyDescent="0.35">
      <c r="A638" s="3">
        <v>50</v>
      </c>
      <c r="B638" s="4">
        <v>65</v>
      </c>
      <c r="C638" s="5">
        <v>85</v>
      </c>
      <c r="D638" s="6">
        <v>35</v>
      </c>
      <c r="E638" s="7">
        <v>35</v>
      </c>
      <c r="F638" s="8">
        <v>55</v>
      </c>
      <c r="G638" s="1">
        <v>325</v>
      </c>
      <c r="H638" s="19">
        <v>54.17</v>
      </c>
    </row>
    <row r="639" spans="1:8" x14ac:dyDescent="0.35">
      <c r="A639" s="3">
        <v>70</v>
      </c>
      <c r="B639" s="4">
        <v>105</v>
      </c>
      <c r="C639" s="5">
        <v>125</v>
      </c>
      <c r="D639" s="6">
        <v>65</v>
      </c>
      <c r="E639" s="7">
        <v>75</v>
      </c>
      <c r="F639" s="8">
        <v>45</v>
      </c>
      <c r="G639" s="1">
        <v>485</v>
      </c>
      <c r="H639" s="19">
        <v>80.83</v>
      </c>
    </row>
    <row r="640" spans="1:8" x14ac:dyDescent="0.35">
      <c r="A640" s="3">
        <v>50</v>
      </c>
      <c r="B640" s="4">
        <v>75</v>
      </c>
      <c r="C640" s="5">
        <v>70</v>
      </c>
      <c r="D640" s="6">
        <v>35</v>
      </c>
      <c r="E640" s="7">
        <v>70</v>
      </c>
      <c r="F640" s="8">
        <v>48</v>
      </c>
      <c r="G640" s="1">
        <v>348</v>
      </c>
      <c r="H640" s="19">
        <v>58</v>
      </c>
    </row>
    <row r="641" spans="1:8" x14ac:dyDescent="0.35">
      <c r="A641" s="3">
        <v>65</v>
      </c>
      <c r="B641" s="4">
        <v>90</v>
      </c>
      <c r="C641" s="5">
        <v>115</v>
      </c>
      <c r="D641" s="6">
        <v>45</v>
      </c>
      <c r="E641" s="7">
        <v>115</v>
      </c>
      <c r="F641" s="8">
        <v>58</v>
      </c>
      <c r="G641" s="1">
        <v>488</v>
      </c>
      <c r="H641" s="19">
        <v>81.33</v>
      </c>
    </row>
    <row r="642" spans="1:8" x14ac:dyDescent="0.35">
      <c r="A642" s="3">
        <v>72</v>
      </c>
      <c r="B642" s="4">
        <v>58</v>
      </c>
      <c r="C642" s="5">
        <v>80</v>
      </c>
      <c r="D642" s="6">
        <v>103</v>
      </c>
      <c r="E642" s="7">
        <v>80</v>
      </c>
      <c r="F642" s="8">
        <v>97</v>
      </c>
      <c r="G642" s="1">
        <v>490</v>
      </c>
      <c r="H642" s="19">
        <v>81.67</v>
      </c>
    </row>
    <row r="643" spans="1:8" x14ac:dyDescent="0.35">
      <c r="A643" s="3">
        <v>38</v>
      </c>
      <c r="B643" s="4">
        <v>30</v>
      </c>
      <c r="C643" s="5">
        <v>85</v>
      </c>
      <c r="D643" s="6">
        <v>55</v>
      </c>
      <c r="E643" s="7">
        <v>65</v>
      </c>
      <c r="F643" s="8">
        <v>30</v>
      </c>
      <c r="G643" s="1">
        <v>303</v>
      </c>
      <c r="H643" s="19">
        <v>50.5</v>
      </c>
    </row>
    <row r="644" spans="1:8" x14ac:dyDescent="0.35">
      <c r="A644" s="3">
        <v>58</v>
      </c>
      <c r="B644" s="4">
        <v>50</v>
      </c>
      <c r="C644" s="5">
        <v>145</v>
      </c>
      <c r="D644" s="6">
        <v>95</v>
      </c>
      <c r="E644" s="7">
        <v>105</v>
      </c>
      <c r="F644" s="8">
        <v>30</v>
      </c>
      <c r="G644" s="1">
        <v>483</v>
      </c>
      <c r="H644" s="19">
        <v>80.5</v>
      </c>
    </row>
    <row r="645" spans="1:8" x14ac:dyDescent="0.35">
      <c r="A645" s="3">
        <v>54</v>
      </c>
      <c r="B645" s="4">
        <v>78</v>
      </c>
      <c r="C645" s="5">
        <v>103</v>
      </c>
      <c r="D645" s="6">
        <v>53</v>
      </c>
      <c r="E645" s="7">
        <v>45</v>
      </c>
      <c r="F645" s="8">
        <v>22</v>
      </c>
      <c r="G645" s="1">
        <v>355</v>
      </c>
      <c r="H645" s="19">
        <v>59.17</v>
      </c>
    </row>
    <row r="646" spans="1:8" x14ac:dyDescent="0.35">
      <c r="A646" s="3">
        <v>74</v>
      </c>
      <c r="B646" s="4">
        <v>108</v>
      </c>
      <c r="C646" s="5">
        <v>133</v>
      </c>
      <c r="D646" s="6">
        <v>83</v>
      </c>
      <c r="E646" s="7">
        <v>65</v>
      </c>
      <c r="F646" s="8">
        <v>32</v>
      </c>
      <c r="G646" s="1">
        <v>495</v>
      </c>
      <c r="H646" s="19">
        <v>82.5</v>
      </c>
    </row>
    <row r="647" spans="1:8" x14ac:dyDescent="0.35">
      <c r="A647" s="3">
        <v>55</v>
      </c>
      <c r="B647" s="4">
        <v>112</v>
      </c>
      <c r="C647" s="5">
        <v>45</v>
      </c>
      <c r="D647" s="6">
        <v>74</v>
      </c>
      <c r="E647" s="7">
        <v>45</v>
      </c>
      <c r="F647" s="8">
        <v>70</v>
      </c>
      <c r="G647" s="1">
        <v>401</v>
      </c>
      <c r="H647" s="19">
        <v>66.83</v>
      </c>
    </row>
    <row r="648" spans="1:8" x14ac:dyDescent="0.35">
      <c r="A648" s="3">
        <v>75</v>
      </c>
      <c r="B648" s="4">
        <v>140</v>
      </c>
      <c r="C648" s="5">
        <v>65</v>
      </c>
      <c r="D648" s="6">
        <v>112</v>
      </c>
      <c r="E648" s="7">
        <v>65</v>
      </c>
      <c r="F648" s="8">
        <v>110</v>
      </c>
      <c r="G648" s="1">
        <v>567</v>
      </c>
      <c r="H648" s="19">
        <v>94.5</v>
      </c>
    </row>
    <row r="649" spans="1:8" x14ac:dyDescent="0.35">
      <c r="A649" s="3">
        <v>50</v>
      </c>
      <c r="B649" s="4">
        <v>50</v>
      </c>
      <c r="C649" s="5">
        <v>62</v>
      </c>
      <c r="D649" s="6">
        <v>40</v>
      </c>
      <c r="E649" s="7">
        <v>62</v>
      </c>
      <c r="F649" s="8">
        <v>65</v>
      </c>
      <c r="G649" s="1">
        <v>329</v>
      </c>
      <c r="H649" s="19">
        <v>54.83</v>
      </c>
    </row>
    <row r="650" spans="1:8" x14ac:dyDescent="0.35">
      <c r="A650" s="3">
        <v>80</v>
      </c>
      <c r="B650" s="4">
        <v>95</v>
      </c>
      <c r="C650" s="5">
        <v>82</v>
      </c>
      <c r="D650" s="6">
        <v>60</v>
      </c>
      <c r="E650" s="7">
        <v>82</v>
      </c>
      <c r="F650" s="8">
        <v>75</v>
      </c>
      <c r="G650" s="1">
        <v>474</v>
      </c>
      <c r="H650" s="19">
        <v>79</v>
      </c>
    </row>
    <row r="651" spans="1:8" x14ac:dyDescent="0.35">
      <c r="A651" s="3">
        <v>40</v>
      </c>
      <c r="B651" s="4">
        <v>65</v>
      </c>
      <c r="C651" s="5">
        <v>40</v>
      </c>
      <c r="D651" s="6">
        <v>80</v>
      </c>
      <c r="E651" s="7">
        <v>40</v>
      </c>
      <c r="F651" s="8">
        <v>65</v>
      </c>
      <c r="G651" s="1">
        <v>330</v>
      </c>
      <c r="H651" s="19">
        <v>55</v>
      </c>
    </row>
    <row r="652" spans="1:8" x14ac:dyDescent="0.35">
      <c r="A652" s="3">
        <v>60</v>
      </c>
      <c r="B652" s="4">
        <v>105</v>
      </c>
      <c r="C652" s="5">
        <v>60</v>
      </c>
      <c r="D652" s="6">
        <v>120</v>
      </c>
      <c r="E652" s="7">
        <v>60</v>
      </c>
      <c r="F652" s="8">
        <v>105</v>
      </c>
      <c r="G652" s="1">
        <v>510</v>
      </c>
      <c r="H652" s="19">
        <v>85</v>
      </c>
    </row>
    <row r="653" spans="1:8" x14ac:dyDescent="0.35">
      <c r="A653" s="3">
        <v>55</v>
      </c>
      <c r="B653" s="4">
        <v>50</v>
      </c>
      <c r="C653" s="5">
        <v>40</v>
      </c>
      <c r="D653" s="6">
        <v>40</v>
      </c>
      <c r="E653" s="7">
        <v>40</v>
      </c>
      <c r="F653" s="8">
        <v>75</v>
      </c>
      <c r="G653" s="1">
        <v>300</v>
      </c>
      <c r="H653" s="19">
        <v>50</v>
      </c>
    </row>
    <row r="654" spans="1:8" x14ac:dyDescent="0.35">
      <c r="A654" s="3">
        <v>75</v>
      </c>
      <c r="B654" s="4">
        <v>95</v>
      </c>
      <c r="C654" s="5">
        <v>60</v>
      </c>
      <c r="D654" s="6">
        <v>65</v>
      </c>
      <c r="E654" s="7">
        <v>60</v>
      </c>
      <c r="F654" s="8">
        <v>115</v>
      </c>
      <c r="G654" s="1">
        <v>470</v>
      </c>
      <c r="H654" s="19">
        <v>78.33</v>
      </c>
    </row>
    <row r="655" spans="1:8" x14ac:dyDescent="0.35">
      <c r="A655" s="3">
        <v>45</v>
      </c>
      <c r="B655" s="4">
        <v>30</v>
      </c>
      <c r="C655" s="5">
        <v>50</v>
      </c>
      <c r="D655" s="6">
        <v>55</v>
      </c>
      <c r="E655" s="7">
        <v>65</v>
      </c>
      <c r="F655" s="8">
        <v>45</v>
      </c>
      <c r="G655" s="1">
        <v>290</v>
      </c>
      <c r="H655" s="19">
        <v>48.33</v>
      </c>
    </row>
    <row r="656" spans="1:8" x14ac:dyDescent="0.35">
      <c r="A656" s="3">
        <v>60</v>
      </c>
      <c r="B656" s="4">
        <v>45</v>
      </c>
      <c r="C656" s="5">
        <v>70</v>
      </c>
      <c r="D656" s="6">
        <v>75</v>
      </c>
      <c r="E656" s="7">
        <v>85</v>
      </c>
      <c r="F656" s="8">
        <v>55</v>
      </c>
      <c r="G656" s="1">
        <v>390</v>
      </c>
      <c r="H656" s="19">
        <v>65</v>
      </c>
    </row>
    <row r="657" spans="1:8" x14ac:dyDescent="0.35">
      <c r="A657" s="3">
        <v>70</v>
      </c>
      <c r="B657" s="4">
        <v>55</v>
      </c>
      <c r="C657" s="5">
        <v>95</v>
      </c>
      <c r="D657" s="6">
        <v>95</v>
      </c>
      <c r="E657" s="7">
        <v>110</v>
      </c>
      <c r="F657" s="8">
        <v>65</v>
      </c>
      <c r="G657" s="1">
        <v>490</v>
      </c>
      <c r="H657" s="19">
        <v>81.67</v>
      </c>
    </row>
    <row r="658" spans="1:8" x14ac:dyDescent="0.35">
      <c r="A658" s="3">
        <v>45</v>
      </c>
      <c r="B658" s="4">
        <v>30</v>
      </c>
      <c r="C658" s="5">
        <v>40</v>
      </c>
      <c r="D658" s="6">
        <v>105</v>
      </c>
      <c r="E658" s="7">
        <v>50</v>
      </c>
      <c r="F658" s="8">
        <v>20</v>
      </c>
      <c r="G658" s="1">
        <v>290</v>
      </c>
      <c r="H658" s="19">
        <v>48.33</v>
      </c>
    </row>
    <row r="659" spans="1:8" x14ac:dyDescent="0.35">
      <c r="A659" s="3">
        <v>65</v>
      </c>
      <c r="B659" s="4">
        <v>40</v>
      </c>
      <c r="C659" s="5">
        <v>50</v>
      </c>
      <c r="D659" s="6">
        <v>125</v>
      </c>
      <c r="E659" s="7">
        <v>60</v>
      </c>
      <c r="F659" s="8">
        <v>30</v>
      </c>
      <c r="G659" s="1">
        <v>370</v>
      </c>
      <c r="H659" s="19">
        <v>61.67</v>
      </c>
    </row>
    <row r="660" spans="1:8" x14ac:dyDescent="0.35">
      <c r="A660" s="3">
        <v>110</v>
      </c>
      <c r="B660" s="4">
        <v>65</v>
      </c>
      <c r="C660" s="5">
        <v>75</v>
      </c>
      <c r="D660" s="6">
        <v>125</v>
      </c>
      <c r="E660" s="7">
        <v>85</v>
      </c>
      <c r="F660" s="8">
        <v>30</v>
      </c>
      <c r="G660" s="1">
        <v>490</v>
      </c>
      <c r="H660" s="19">
        <v>81.67</v>
      </c>
    </row>
    <row r="661" spans="1:8" x14ac:dyDescent="0.35">
      <c r="A661" s="3">
        <v>62</v>
      </c>
      <c r="B661" s="4">
        <v>44</v>
      </c>
      <c r="C661" s="5">
        <v>50</v>
      </c>
      <c r="D661" s="6">
        <v>44</v>
      </c>
      <c r="E661" s="7">
        <v>50</v>
      </c>
      <c r="F661" s="8">
        <v>55</v>
      </c>
      <c r="G661" s="1">
        <v>305</v>
      </c>
      <c r="H661" s="19">
        <v>50.83</v>
      </c>
    </row>
    <row r="662" spans="1:8" x14ac:dyDescent="0.35">
      <c r="A662" s="3">
        <v>75</v>
      </c>
      <c r="B662" s="4">
        <v>87</v>
      </c>
      <c r="C662" s="5">
        <v>63</v>
      </c>
      <c r="D662" s="6">
        <v>87</v>
      </c>
      <c r="E662" s="7">
        <v>63</v>
      </c>
      <c r="F662" s="8">
        <v>98</v>
      </c>
      <c r="G662" s="1">
        <v>473</v>
      </c>
      <c r="H662" s="19">
        <v>78.83</v>
      </c>
    </row>
    <row r="663" spans="1:8" x14ac:dyDescent="0.35">
      <c r="A663" s="3">
        <v>36</v>
      </c>
      <c r="B663" s="4">
        <v>50</v>
      </c>
      <c r="C663" s="5">
        <v>50</v>
      </c>
      <c r="D663" s="6">
        <v>65</v>
      </c>
      <c r="E663" s="7">
        <v>60</v>
      </c>
      <c r="F663" s="8">
        <v>44</v>
      </c>
      <c r="G663" s="1">
        <v>305</v>
      </c>
      <c r="H663" s="19">
        <v>50.83</v>
      </c>
    </row>
    <row r="664" spans="1:8" x14ac:dyDescent="0.35">
      <c r="A664" s="3">
        <v>51</v>
      </c>
      <c r="B664" s="4">
        <v>65</v>
      </c>
      <c r="C664" s="5">
        <v>65</v>
      </c>
      <c r="D664" s="6">
        <v>80</v>
      </c>
      <c r="E664" s="7">
        <v>75</v>
      </c>
      <c r="F664" s="8">
        <v>59</v>
      </c>
      <c r="G664" s="1">
        <v>395</v>
      </c>
      <c r="H664" s="19">
        <v>65.83</v>
      </c>
    </row>
    <row r="665" spans="1:8" x14ac:dyDescent="0.35">
      <c r="A665" s="3">
        <v>71</v>
      </c>
      <c r="B665" s="4">
        <v>95</v>
      </c>
      <c r="C665" s="5">
        <v>85</v>
      </c>
      <c r="D665" s="6">
        <v>110</v>
      </c>
      <c r="E665" s="7">
        <v>95</v>
      </c>
      <c r="F665" s="8">
        <v>79</v>
      </c>
      <c r="G665" s="1">
        <v>535</v>
      </c>
      <c r="H665" s="19">
        <v>89.17</v>
      </c>
    </row>
    <row r="666" spans="1:8" x14ac:dyDescent="0.35">
      <c r="A666" s="3">
        <v>60</v>
      </c>
      <c r="B666" s="4">
        <v>60</v>
      </c>
      <c r="C666" s="5">
        <v>50</v>
      </c>
      <c r="D666" s="6">
        <v>40</v>
      </c>
      <c r="E666" s="7">
        <v>50</v>
      </c>
      <c r="F666" s="8">
        <v>75</v>
      </c>
      <c r="G666" s="1">
        <v>335</v>
      </c>
      <c r="H666" s="19">
        <v>55.83</v>
      </c>
    </row>
    <row r="667" spans="1:8" x14ac:dyDescent="0.35">
      <c r="A667" s="3">
        <v>80</v>
      </c>
      <c r="B667" s="4">
        <v>100</v>
      </c>
      <c r="C667" s="5">
        <v>70</v>
      </c>
      <c r="D667" s="6">
        <v>60</v>
      </c>
      <c r="E667" s="7">
        <v>70</v>
      </c>
      <c r="F667" s="8">
        <v>95</v>
      </c>
      <c r="G667" s="1">
        <v>475</v>
      </c>
      <c r="H667" s="19">
        <v>79.17</v>
      </c>
    </row>
    <row r="668" spans="1:8" x14ac:dyDescent="0.35">
      <c r="A668" s="3">
        <v>55</v>
      </c>
      <c r="B668" s="4">
        <v>75</v>
      </c>
      <c r="C668" s="5">
        <v>60</v>
      </c>
      <c r="D668" s="6">
        <v>75</v>
      </c>
      <c r="E668" s="7">
        <v>60</v>
      </c>
      <c r="F668" s="8">
        <v>103</v>
      </c>
      <c r="G668" s="1">
        <v>428</v>
      </c>
      <c r="H668" s="19">
        <v>71.33</v>
      </c>
    </row>
    <row r="669" spans="1:8" x14ac:dyDescent="0.35">
      <c r="A669" s="3">
        <v>50</v>
      </c>
      <c r="B669" s="4">
        <v>75</v>
      </c>
      <c r="C669" s="5">
        <v>45</v>
      </c>
      <c r="D669" s="6">
        <v>40</v>
      </c>
      <c r="E669" s="7">
        <v>45</v>
      </c>
      <c r="F669" s="8">
        <v>60</v>
      </c>
      <c r="G669" s="1">
        <v>315</v>
      </c>
      <c r="H669" s="19">
        <v>52.5</v>
      </c>
    </row>
    <row r="670" spans="1:8" x14ac:dyDescent="0.35">
      <c r="A670" s="3">
        <v>70</v>
      </c>
      <c r="B670" s="4">
        <v>135</v>
      </c>
      <c r="C670" s="5">
        <v>105</v>
      </c>
      <c r="D670" s="6">
        <v>60</v>
      </c>
      <c r="E670" s="7">
        <v>105</v>
      </c>
      <c r="F670" s="8">
        <v>20</v>
      </c>
      <c r="G670" s="1">
        <v>495</v>
      </c>
      <c r="H670" s="19">
        <v>82.5</v>
      </c>
    </row>
    <row r="671" spans="1:8" x14ac:dyDescent="0.35">
      <c r="A671" s="3">
        <v>69</v>
      </c>
      <c r="B671" s="4">
        <v>55</v>
      </c>
      <c r="C671" s="5">
        <v>45</v>
      </c>
      <c r="D671" s="6">
        <v>55</v>
      </c>
      <c r="E671" s="7">
        <v>55</v>
      </c>
      <c r="F671" s="8">
        <v>15</v>
      </c>
      <c r="G671" s="1">
        <v>294</v>
      </c>
      <c r="H671" s="19">
        <v>49</v>
      </c>
    </row>
    <row r="672" spans="1:8" x14ac:dyDescent="0.35">
      <c r="A672" s="3">
        <v>114</v>
      </c>
      <c r="B672" s="4">
        <v>85</v>
      </c>
      <c r="C672" s="5">
        <v>70</v>
      </c>
      <c r="D672" s="6">
        <v>85</v>
      </c>
      <c r="E672" s="7">
        <v>80</v>
      </c>
      <c r="F672" s="8">
        <v>30</v>
      </c>
      <c r="G672" s="1">
        <v>464</v>
      </c>
      <c r="H672" s="19">
        <v>77.33</v>
      </c>
    </row>
    <row r="673" spans="1:8" x14ac:dyDescent="0.35">
      <c r="A673" s="3">
        <v>55</v>
      </c>
      <c r="B673" s="4">
        <v>40</v>
      </c>
      <c r="C673" s="41">
        <v>50</v>
      </c>
      <c r="D673" s="6">
        <v>65</v>
      </c>
      <c r="E673" s="7">
        <v>85</v>
      </c>
      <c r="F673" s="8">
        <v>40</v>
      </c>
      <c r="G673" s="1">
        <v>335</v>
      </c>
      <c r="H673" s="19">
        <v>55.83</v>
      </c>
    </row>
    <row r="674" spans="1:8" x14ac:dyDescent="0.35">
      <c r="A674" s="3">
        <v>100</v>
      </c>
      <c r="B674" s="4">
        <v>60</v>
      </c>
      <c r="C674" s="5">
        <v>70</v>
      </c>
      <c r="D674" s="6">
        <v>85</v>
      </c>
      <c r="E674" s="7">
        <v>105</v>
      </c>
      <c r="F674" s="8">
        <v>60</v>
      </c>
      <c r="G674" s="1">
        <v>480</v>
      </c>
      <c r="H674" s="19">
        <v>80</v>
      </c>
    </row>
    <row r="675" spans="1:8" x14ac:dyDescent="0.35">
      <c r="A675" s="3">
        <v>165</v>
      </c>
      <c r="B675" s="4">
        <v>75</v>
      </c>
      <c r="C675" s="5">
        <v>80</v>
      </c>
      <c r="D675" s="6">
        <v>40</v>
      </c>
      <c r="E675" s="7">
        <v>45</v>
      </c>
      <c r="F675" s="8">
        <v>65</v>
      </c>
      <c r="G675" s="1">
        <v>470</v>
      </c>
      <c r="H675" s="19">
        <v>78.33</v>
      </c>
    </row>
    <row r="676" spans="1:8" x14ac:dyDescent="0.35">
      <c r="A676" s="3">
        <v>50</v>
      </c>
      <c r="B676" s="4">
        <v>47</v>
      </c>
      <c r="C676" s="5">
        <v>50</v>
      </c>
      <c r="D676" s="6">
        <v>57</v>
      </c>
      <c r="E676" s="7">
        <v>50</v>
      </c>
      <c r="F676" s="8">
        <v>65</v>
      </c>
      <c r="G676" s="1">
        <v>319</v>
      </c>
      <c r="H676" s="19">
        <v>53.17</v>
      </c>
    </row>
    <row r="677" spans="1:8" x14ac:dyDescent="0.35">
      <c r="A677" s="3">
        <v>70</v>
      </c>
      <c r="B677" s="4">
        <v>77</v>
      </c>
      <c r="C677" s="5">
        <v>60</v>
      </c>
      <c r="D677" s="6">
        <v>97</v>
      </c>
      <c r="E677" s="7">
        <v>60</v>
      </c>
      <c r="F677" s="8">
        <v>108</v>
      </c>
      <c r="G677" s="1">
        <v>472</v>
      </c>
      <c r="H677" s="19">
        <v>78.67</v>
      </c>
    </row>
    <row r="678" spans="1:8" x14ac:dyDescent="0.35">
      <c r="A678" s="3">
        <v>44</v>
      </c>
      <c r="B678" s="4">
        <v>50</v>
      </c>
      <c r="C678" s="5">
        <v>91</v>
      </c>
      <c r="D678" s="6">
        <v>24</v>
      </c>
      <c r="E678" s="7">
        <v>86</v>
      </c>
      <c r="F678" s="8">
        <v>10</v>
      </c>
      <c r="G678" s="1">
        <v>305</v>
      </c>
      <c r="H678" s="19">
        <v>50.83</v>
      </c>
    </row>
    <row r="679" spans="1:8" x14ac:dyDescent="0.35">
      <c r="A679" s="3">
        <v>74</v>
      </c>
      <c r="B679" s="4">
        <v>94</v>
      </c>
      <c r="C679" s="5">
        <v>131</v>
      </c>
      <c r="D679" s="6">
        <v>54</v>
      </c>
      <c r="E679" s="7">
        <v>116</v>
      </c>
      <c r="F679" s="8">
        <v>20</v>
      </c>
      <c r="G679" s="1">
        <v>489</v>
      </c>
      <c r="H679" s="19">
        <v>81.5</v>
      </c>
    </row>
    <row r="680" spans="1:8" x14ac:dyDescent="0.35">
      <c r="A680" s="3">
        <v>40</v>
      </c>
      <c r="B680" s="4">
        <v>55</v>
      </c>
      <c r="C680" s="5">
        <v>70</v>
      </c>
      <c r="D680" s="6">
        <v>45</v>
      </c>
      <c r="E680" s="7">
        <v>60</v>
      </c>
      <c r="F680" s="8">
        <v>30</v>
      </c>
      <c r="G680" s="1">
        <v>300</v>
      </c>
      <c r="H680" s="19">
        <v>50</v>
      </c>
    </row>
    <row r="681" spans="1:8" x14ac:dyDescent="0.35">
      <c r="A681" s="3">
        <v>60</v>
      </c>
      <c r="B681" s="4">
        <v>80</v>
      </c>
      <c r="C681" s="5">
        <v>95</v>
      </c>
      <c r="D681" s="6">
        <v>70</v>
      </c>
      <c r="E681" s="7">
        <v>85</v>
      </c>
      <c r="F681" s="8">
        <v>50</v>
      </c>
      <c r="G681" s="1">
        <v>440</v>
      </c>
      <c r="H681" s="19">
        <v>73.33</v>
      </c>
    </row>
    <row r="682" spans="1:8" x14ac:dyDescent="0.35">
      <c r="A682" s="3">
        <v>60</v>
      </c>
      <c r="B682" s="4">
        <v>100</v>
      </c>
      <c r="C682" s="5">
        <v>115</v>
      </c>
      <c r="D682" s="6">
        <v>70</v>
      </c>
      <c r="E682" s="7">
        <v>85</v>
      </c>
      <c r="F682" s="8">
        <v>90</v>
      </c>
      <c r="G682" s="1">
        <v>520</v>
      </c>
      <c r="H682" s="19">
        <v>86.67</v>
      </c>
    </row>
    <row r="683" spans="1:8" x14ac:dyDescent="0.35">
      <c r="A683" s="3">
        <v>35</v>
      </c>
      <c r="B683" s="4">
        <v>55</v>
      </c>
      <c r="C683" s="5">
        <v>40</v>
      </c>
      <c r="D683" s="6">
        <v>45</v>
      </c>
      <c r="E683" s="7">
        <v>40</v>
      </c>
      <c r="F683" s="8">
        <v>60</v>
      </c>
      <c r="G683" s="1">
        <v>275</v>
      </c>
      <c r="H683" s="19">
        <v>45.83</v>
      </c>
    </row>
    <row r="684" spans="1:8" x14ac:dyDescent="0.35">
      <c r="A684" s="3">
        <v>65</v>
      </c>
      <c r="B684" s="4">
        <v>85</v>
      </c>
      <c r="C684" s="5">
        <v>70</v>
      </c>
      <c r="D684" s="6">
        <v>75</v>
      </c>
      <c r="E684" s="7">
        <v>70</v>
      </c>
      <c r="F684" s="8">
        <v>40</v>
      </c>
      <c r="G684" s="1">
        <v>405</v>
      </c>
      <c r="H684" s="19">
        <v>67.5</v>
      </c>
    </row>
    <row r="685" spans="1:8" x14ac:dyDescent="0.35">
      <c r="A685" s="3">
        <v>85</v>
      </c>
      <c r="B685" s="4">
        <v>115</v>
      </c>
      <c r="C685" s="5">
        <v>80</v>
      </c>
      <c r="D685" s="6">
        <v>105</v>
      </c>
      <c r="E685" s="7">
        <v>80</v>
      </c>
      <c r="F685" s="8">
        <v>50</v>
      </c>
      <c r="G685" s="1">
        <v>515</v>
      </c>
      <c r="H685" s="19">
        <v>85.83</v>
      </c>
    </row>
    <row r="686" spans="1:8" x14ac:dyDescent="0.35">
      <c r="A686" s="3">
        <v>55</v>
      </c>
      <c r="B686" s="4">
        <v>55</v>
      </c>
      <c r="C686" s="5">
        <v>55</v>
      </c>
      <c r="D686" s="6">
        <v>85</v>
      </c>
      <c r="E686" s="7">
        <v>55</v>
      </c>
      <c r="F686" s="8">
        <v>30</v>
      </c>
      <c r="G686" s="1">
        <v>335</v>
      </c>
      <c r="H686" s="19">
        <v>55.83</v>
      </c>
    </row>
    <row r="687" spans="1:8" x14ac:dyDescent="0.35">
      <c r="A687" s="3">
        <v>75</v>
      </c>
      <c r="B687" s="4">
        <v>75</v>
      </c>
      <c r="C687" s="5">
        <v>75</v>
      </c>
      <c r="D687" s="6">
        <v>125</v>
      </c>
      <c r="E687" s="7">
        <v>95</v>
      </c>
      <c r="F687" s="8">
        <v>40</v>
      </c>
      <c r="G687" s="1">
        <v>485</v>
      </c>
      <c r="H687" s="19">
        <v>80.83</v>
      </c>
    </row>
    <row r="688" spans="1:8" x14ac:dyDescent="0.35">
      <c r="A688" s="3">
        <v>50</v>
      </c>
      <c r="B688" s="4">
        <v>30</v>
      </c>
      <c r="C688" s="5">
        <v>55</v>
      </c>
      <c r="D688" s="6">
        <v>65</v>
      </c>
      <c r="E688" s="7">
        <v>55</v>
      </c>
      <c r="F688" s="8">
        <v>20</v>
      </c>
      <c r="G688" s="1">
        <v>275</v>
      </c>
      <c r="H688" s="19">
        <v>45.83</v>
      </c>
    </row>
    <row r="689" spans="1:8" x14ac:dyDescent="0.35">
      <c r="A689" s="3">
        <v>60</v>
      </c>
      <c r="B689" s="4">
        <v>40</v>
      </c>
      <c r="C689" s="5">
        <v>60</v>
      </c>
      <c r="D689" s="6">
        <v>95</v>
      </c>
      <c r="E689" s="7">
        <v>60</v>
      </c>
      <c r="F689" s="8">
        <v>55</v>
      </c>
      <c r="G689" s="1">
        <v>370</v>
      </c>
      <c r="H689" s="19">
        <v>61.67</v>
      </c>
    </row>
    <row r="690" spans="1:8" x14ac:dyDescent="0.35">
      <c r="A690" s="3">
        <v>60</v>
      </c>
      <c r="B690" s="4">
        <v>55</v>
      </c>
      <c r="C690" s="5">
        <v>90</v>
      </c>
      <c r="D690" s="6">
        <v>145</v>
      </c>
      <c r="E690" s="7">
        <v>90</v>
      </c>
      <c r="F690" s="8">
        <v>80</v>
      </c>
      <c r="G690" s="1">
        <v>520</v>
      </c>
      <c r="H690" s="19">
        <v>86.67</v>
      </c>
    </row>
    <row r="691" spans="1:8" x14ac:dyDescent="0.35">
      <c r="A691" s="3">
        <v>46</v>
      </c>
      <c r="B691" s="4">
        <v>87</v>
      </c>
      <c r="C691" s="5">
        <v>60</v>
      </c>
      <c r="D691" s="6">
        <v>30</v>
      </c>
      <c r="E691" s="7">
        <v>40</v>
      </c>
      <c r="F691" s="8">
        <v>57</v>
      </c>
      <c r="G691" s="1">
        <v>320</v>
      </c>
      <c r="H691" s="19">
        <v>53.33</v>
      </c>
    </row>
    <row r="692" spans="1:8" x14ac:dyDescent="0.35">
      <c r="A692" s="3">
        <v>66</v>
      </c>
      <c r="B692" s="4">
        <v>117</v>
      </c>
      <c r="C692" s="5">
        <v>70</v>
      </c>
      <c r="D692" s="6">
        <v>40</v>
      </c>
      <c r="E692" s="7">
        <v>50</v>
      </c>
      <c r="F692" s="8">
        <v>67</v>
      </c>
      <c r="G692" s="1">
        <v>410</v>
      </c>
      <c r="H692" s="19">
        <v>68.33</v>
      </c>
    </row>
    <row r="693" spans="1:8" x14ac:dyDescent="0.35">
      <c r="A693" s="3">
        <v>76</v>
      </c>
      <c r="B693" s="4">
        <v>147</v>
      </c>
      <c r="C693" s="5">
        <v>90</v>
      </c>
      <c r="D693" s="6">
        <v>60</v>
      </c>
      <c r="E693" s="43">
        <v>70</v>
      </c>
      <c r="F693" s="8">
        <v>97</v>
      </c>
      <c r="G693" s="1">
        <v>540</v>
      </c>
      <c r="H693" s="19">
        <v>90</v>
      </c>
    </row>
    <row r="694" spans="1:8" x14ac:dyDescent="0.35">
      <c r="A694" s="3">
        <v>55</v>
      </c>
      <c r="B694" s="4">
        <v>70</v>
      </c>
      <c r="C694" s="5">
        <v>40</v>
      </c>
      <c r="D694" s="6">
        <v>60</v>
      </c>
      <c r="E694" s="7">
        <v>40</v>
      </c>
      <c r="F694" s="8">
        <v>40</v>
      </c>
      <c r="G694" s="1">
        <v>305</v>
      </c>
      <c r="H694" s="19">
        <v>50.83</v>
      </c>
    </row>
    <row r="695" spans="1:8" x14ac:dyDescent="0.35">
      <c r="A695" s="3">
        <v>95</v>
      </c>
      <c r="B695" s="4">
        <v>130</v>
      </c>
      <c r="C695" s="5">
        <v>80</v>
      </c>
      <c r="D695" s="6">
        <v>70</v>
      </c>
      <c r="E695" s="7">
        <v>80</v>
      </c>
      <c r="F695" s="8">
        <v>50</v>
      </c>
      <c r="G695" s="1">
        <v>505</v>
      </c>
      <c r="H695" s="19">
        <v>84.17</v>
      </c>
    </row>
    <row r="696" spans="1:8" x14ac:dyDescent="0.35">
      <c r="A696" s="3">
        <v>80</v>
      </c>
      <c r="B696" s="4">
        <v>50</v>
      </c>
      <c r="C696" s="5">
        <v>50</v>
      </c>
      <c r="D696" s="6">
        <v>95</v>
      </c>
      <c r="E696" s="7">
        <v>135</v>
      </c>
      <c r="F696" s="8">
        <v>105</v>
      </c>
      <c r="G696" s="1">
        <v>515</v>
      </c>
      <c r="H696" s="19">
        <v>85.83</v>
      </c>
    </row>
    <row r="697" spans="1:8" x14ac:dyDescent="0.35">
      <c r="A697" s="3">
        <v>50</v>
      </c>
      <c r="B697" s="4">
        <v>40</v>
      </c>
      <c r="C697" s="5">
        <v>85</v>
      </c>
      <c r="D697" s="6">
        <v>40</v>
      </c>
      <c r="E697" s="7">
        <v>65</v>
      </c>
      <c r="F697" s="8">
        <v>25</v>
      </c>
      <c r="G697" s="1">
        <v>305</v>
      </c>
      <c r="H697" s="19">
        <v>50.83</v>
      </c>
    </row>
    <row r="698" spans="1:8" x14ac:dyDescent="0.35">
      <c r="A698" s="3">
        <v>80</v>
      </c>
      <c r="B698" s="4">
        <v>70</v>
      </c>
      <c r="C698" s="5">
        <v>40</v>
      </c>
      <c r="D698" s="6">
        <v>100</v>
      </c>
      <c r="E698" s="7">
        <v>60</v>
      </c>
      <c r="F698" s="8">
        <v>145</v>
      </c>
      <c r="G698" s="1">
        <v>495</v>
      </c>
      <c r="H698" s="19">
        <v>82.5</v>
      </c>
    </row>
    <row r="699" spans="1:8" x14ac:dyDescent="0.35">
      <c r="A699" s="3">
        <v>109</v>
      </c>
      <c r="B699" s="4">
        <v>66</v>
      </c>
      <c r="C699" s="5">
        <v>84</v>
      </c>
      <c r="D699" s="6">
        <v>81</v>
      </c>
      <c r="E699" s="43">
        <v>99</v>
      </c>
      <c r="F699" s="8">
        <v>32</v>
      </c>
      <c r="G699" s="1">
        <v>471</v>
      </c>
      <c r="H699" s="19">
        <v>78.5</v>
      </c>
    </row>
    <row r="700" spans="1:8" x14ac:dyDescent="0.35">
      <c r="A700" s="3">
        <v>45</v>
      </c>
      <c r="B700" s="4">
        <v>85</v>
      </c>
      <c r="C700" s="5">
        <v>50</v>
      </c>
      <c r="D700" s="6">
        <v>55</v>
      </c>
      <c r="E700" s="7">
        <v>50</v>
      </c>
      <c r="F700" s="8">
        <v>65</v>
      </c>
      <c r="G700" s="1">
        <v>350</v>
      </c>
      <c r="H700" s="19">
        <v>58.33</v>
      </c>
    </row>
    <row r="701" spans="1:8" x14ac:dyDescent="0.35">
      <c r="A701" s="3">
        <v>65</v>
      </c>
      <c r="B701" s="4">
        <v>125</v>
      </c>
      <c r="C701" s="5">
        <v>60</v>
      </c>
      <c r="D701" s="6">
        <v>95</v>
      </c>
      <c r="E701" s="7">
        <v>60</v>
      </c>
      <c r="F701" s="8">
        <v>105</v>
      </c>
      <c r="G701" s="1">
        <v>510</v>
      </c>
      <c r="H701" s="19">
        <v>85</v>
      </c>
    </row>
    <row r="702" spans="1:8" x14ac:dyDescent="0.35">
      <c r="A702" s="3">
        <v>77</v>
      </c>
      <c r="B702" s="4">
        <v>120</v>
      </c>
      <c r="C702" s="5">
        <v>90</v>
      </c>
      <c r="D702" s="6">
        <v>60</v>
      </c>
      <c r="E702" s="7">
        <v>90</v>
      </c>
      <c r="F702" s="8">
        <v>48</v>
      </c>
      <c r="G702" s="1">
        <v>485</v>
      </c>
      <c r="H702" s="19">
        <v>80.83</v>
      </c>
    </row>
    <row r="703" spans="1:8" x14ac:dyDescent="0.35">
      <c r="A703" s="3">
        <v>59</v>
      </c>
      <c r="B703" s="4">
        <v>74</v>
      </c>
      <c r="C703" s="5">
        <v>50</v>
      </c>
      <c r="D703" s="6">
        <v>35</v>
      </c>
      <c r="E703" s="7">
        <v>50</v>
      </c>
      <c r="F703" s="8">
        <v>35</v>
      </c>
      <c r="G703" s="1">
        <v>303</v>
      </c>
      <c r="H703" s="19">
        <v>50.5</v>
      </c>
    </row>
    <row r="704" spans="1:8" x14ac:dyDescent="0.35">
      <c r="A704" s="3">
        <v>89</v>
      </c>
      <c r="B704" s="4">
        <v>124</v>
      </c>
      <c r="C704" s="5">
        <v>80</v>
      </c>
      <c r="D704" s="6">
        <v>55</v>
      </c>
      <c r="E704" s="7">
        <v>80</v>
      </c>
      <c r="F704" s="8">
        <v>55</v>
      </c>
      <c r="G704" s="1">
        <v>483</v>
      </c>
      <c r="H704" s="19">
        <v>80.5</v>
      </c>
    </row>
    <row r="705" spans="1:8" x14ac:dyDescent="0.35">
      <c r="A705" s="3">
        <v>45</v>
      </c>
      <c r="B705" s="4">
        <v>85</v>
      </c>
      <c r="C705" s="5">
        <v>70</v>
      </c>
      <c r="D705" s="6">
        <v>40</v>
      </c>
      <c r="E705" s="7">
        <v>40</v>
      </c>
      <c r="F705" s="8">
        <v>60</v>
      </c>
      <c r="G705" s="1">
        <v>340</v>
      </c>
      <c r="H705" s="19">
        <v>56.67</v>
      </c>
    </row>
    <row r="706" spans="1:8" x14ac:dyDescent="0.35">
      <c r="A706" s="3">
        <v>65</v>
      </c>
      <c r="B706" s="4">
        <v>125</v>
      </c>
      <c r="C706" s="5">
        <v>100</v>
      </c>
      <c r="D706" s="6">
        <v>60</v>
      </c>
      <c r="E706" s="7">
        <v>70</v>
      </c>
      <c r="F706" s="8">
        <v>70</v>
      </c>
      <c r="G706" s="1">
        <v>490</v>
      </c>
      <c r="H706" s="19">
        <v>81.67</v>
      </c>
    </row>
    <row r="707" spans="1:8" x14ac:dyDescent="0.35">
      <c r="A707" s="3">
        <v>95</v>
      </c>
      <c r="B707" s="4">
        <v>110</v>
      </c>
      <c r="C707" s="5">
        <v>95</v>
      </c>
      <c r="D707" s="6">
        <v>40</v>
      </c>
      <c r="E707" s="7">
        <v>95</v>
      </c>
      <c r="F707" s="8">
        <v>55</v>
      </c>
      <c r="G707" s="1">
        <v>490</v>
      </c>
      <c r="H707" s="19">
        <v>81.67</v>
      </c>
    </row>
    <row r="708" spans="1:8" x14ac:dyDescent="0.35">
      <c r="A708" s="3">
        <v>70</v>
      </c>
      <c r="B708" s="4">
        <v>83</v>
      </c>
      <c r="C708" s="5">
        <v>50</v>
      </c>
      <c r="D708" s="6">
        <v>37</v>
      </c>
      <c r="E708" s="7">
        <v>50</v>
      </c>
      <c r="F708" s="8">
        <v>60</v>
      </c>
      <c r="G708" s="1">
        <v>350</v>
      </c>
      <c r="H708" s="19">
        <v>58.33</v>
      </c>
    </row>
    <row r="709" spans="1:8" x14ac:dyDescent="0.35">
      <c r="A709" s="3">
        <v>100</v>
      </c>
      <c r="B709" s="4">
        <v>123</v>
      </c>
      <c r="C709" s="5">
        <v>75</v>
      </c>
      <c r="D709" s="6">
        <v>57</v>
      </c>
      <c r="E709" s="7">
        <v>75</v>
      </c>
      <c r="F709" s="8">
        <v>80</v>
      </c>
      <c r="G709" s="1">
        <v>510</v>
      </c>
      <c r="H709" s="19">
        <v>85</v>
      </c>
    </row>
    <row r="710" spans="1:8" x14ac:dyDescent="0.35">
      <c r="A710" s="3">
        <v>70</v>
      </c>
      <c r="B710" s="4">
        <v>55</v>
      </c>
      <c r="C710" s="5">
        <v>75</v>
      </c>
      <c r="D710" s="6">
        <v>45</v>
      </c>
      <c r="E710" s="7">
        <v>65</v>
      </c>
      <c r="F710" s="8">
        <v>60</v>
      </c>
      <c r="G710" s="1">
        <v>370</v>
      </c>
      <c r="H710" s="19">
        <v>61.67</v>
      </c>
    </row>
    <row r="711" spans="1:8" x14ac:dyDescent="0.35">
      <c r="A711" s="3">
        <v>110</v>
      </c>
      <c r="B711" s="4">
        <v>65</v>
      </c>
      <c r="C711" s="5">
        <v>105</v>
      </c>
      <c r="D711" s="6">
        <v>55</v>
      </c>
      <c r="E711" s="7">
        <v>95</v>
      </c>
      <c r="F711" s="8">
        <v>80</v>
      </c>
      <c r="G711" s="1">
        <v>510</v>
      </c>
      <c r="H711" s="19">
        <v>85</v>
      </c>
    </row>
    <row r="712" spans="1:8" x14ac:dyDescent="0.35">
      <c r="A712" s="3">
        <v>85</v>
      </c>
      <c r="B712" s="4">
        <v>97</v>
      </c>
      <c r="C712" s="5">
        <v>66</v>
      </c>
      <c r="D712" s="6">
        <v>105</v>
      </c>
      <c r="E712" s="7">
        <v>66</v>
      </c>
      <c r="F712" s="8">
        <v>65</v>
      </c>
      <c r="G712" s="1">
        <v>484</v>
      </c>
      <c r="H712" s="19">
        <v>80.67</v>
      </c>
    </row>
    <row r="713" spans="1:8" x14ac:dyDescent="0.35">
      <c r="A713" s="3">
        <v>58</v>
      </c>
      <c r="B713" s="4">
        <v>109</v>
      </c>
      <c r="C713" s="5">
        <v>112</v>
      </c>
      <c r="D713" s="6">
        <v>48</v>
      </c>
      <c r="E713" s="7">
        <v>48</v>
      </c>
      <c r="F713" s="8">
        <v>109</v>
      </c>
      <c r="G713" s="1">
        <v>484</v>
      </c>
      <c r="H713" s="19">
        <v>80.67</v>
      </c>
    </row>
    <row r="714" spans="1:8" x14ac:dyDescent="0.35">
      <c r="A714" s="3">
        <v>52</v>
      </c>
      <c r="B714" s="4">
        <v>65</v>
      </c>
      <c r="C714" s="5">
        <v>50</v>
      </c>
      <c r="D714" s="6">
        <v>45</v>
      </c>
      <c r="E714" s="7">
        <v>50</v>
      </c>
      <c r="F714" s="8">
        <v>38</v>
      </c>
      <c r="G714" s="1">
        <v>300</v>
      </c>
      <c r="H714" s="19">
        <v>50</v>
      </c>
    </row>
    <row r="715" spans="1:8" x14ac:dyDescent="0.35">
      <c r="A715" s="3">
        <v>72</v>
      </c>
      <c r="B715" s="4">
        <v>85</v>
      </c>
      <c r="C715" s="5">
        <v>70</v>
      </c>
      <c r="D715" s="6">
        <v>65</v>
      </c>
      <c r="E715" s="7">
        <v>70</v>
      </c>
      <c r="F715" s="8">
        <v>58</v>
      </c>
      <c r="G715" s="1">
        <v>420</v>
      </c>
      <c r="H715" s="19">
        <v>70</v>
      </c>
    </row>
    <row r="716" spans="1:8" x14ac:dyDescent="0.35">
      <c r="A716" s="3">
        <v>92</v>
      </c>
      <c r="B716" s="4">
        <v>105</v>
      </c>
      <c r="C716" s="5">
        <v>90</v>
      </c>
      <c r="D716" s="6">
        <v>125</v>
      </c>
      <c r="E716" s="7">
        <v>90</v>
      </c>
      <c r="F716" s="8">
        <v>98</v>
      </c>
      <c r="G716" s="1">
        <v>600</v>
      </c>
      <c r="H716" s="19">
        <v>100</v>
      </c>
    </row>
    <row r="717" spans="1:8" x14ac:dyDescent="0.35">
      <c r="A717" s="3">
        <v>55</v>
      </c>
      <c r="B717" s="4">
        <v>85</v>
      </c>
      <c r="C717" s="5">
        <v>55</v>
      </c>
      <c r="D717" s="6">
        <v>50</v>
      </c>
      <c r="E717" s="7">
        <v>55</v>
      </c>
      <c r="F717" s="8">
        <v>60</v>
      </c>
      <c r="G717" s="1">
        <v>360</v>
      </c>
      <c r="H717" s="19">
        <v>60</v>
      </c>
    </row>
    <row r="718" spans="1:8" x14ac:dyDescent="0.35">
      <c r="A718" s="3">
        <v>85</v>
      </c>
      <c r="B718" s="4">
        <v>60</v>
      </c>
      <c r="C718" s="5">
        <v>65</v>
      </c>
      <c r="D718" s="6">
        <v>135</v>
      </c>
      <c r="E718" s="7">
        <v>105</v>
      </c>
      <c r="F718" s="8">
        <v>100</v>
      </c>
      <c r="G718" s="1">
        <v>550</v>
      </c>
      <c r="H718" s="19">
        <v>91.67</v>
      </c>
    </row>
    <row r="719" spans="1:8" x14ac:dyDescent="0.35">
      <c r="A719" s="3">
        <v>91</v>
      </c>
      <c r="B719" s="4">
        <v>90</v>
      </c>
      <c r="C719" s="5">
        <v>129</v>
      </c>
      <c r="D719" s="6">
        <v>90</v>
      </c>
      <c r="E719" s="7">
        <v>72</v>
      </c>
      <c r="F719" s="8">
        <v>108</v>
      </c>
      <c r="G719" s="1">
        <v>580</v>
      </c>
      <c r="H719" s="19">
        <v>96.67</v>
      </c>
    </row>
    <row r="720" spans="1:8" x14ac:dyDescent="0.35">
      <c r="A720" s="3">
        <v>91</v>
      </c>
      <c r="B720" s="4">
        <v>129</v>
      </c>
      <c r="C720" s="5">
        <v>90</v>
      </c>
      <c r="D720" s="6">
        <v>72</v>
      </c>
      <c r="E720" s="7">
        <v>90</v>
      </c>
      <c r="F720" s="8">
        <v>108</v>
      </c>
      <c r="G720" s="1">
        <v>580</v>
      </c>
      <c r="H720" s="19">
        <v>96.67</v>
      </c>
    </row>
    <row r="721" spans="1:8" x14ac:dyDescent="0.35">
      <c r="A721" s="3">
        <v>91</v>
      </c>
      <c r="B721" s="4">
        <v>90</v>
      </c>
      <c r="C721" s="5">
        <v>72</v>
      </c>
      <c r="D721" s="6">
        <v>90</v>
      </c>
      <c r="E721" s="7">
        <v>129</v>
      </c>
      <c r="F721" s="8">
        <v>108</v>
      </c>
      <c r="G721" s="1">
        <v>580</v>
      </c>
      <c r="H721" s="19">
        <v>96.67</v>
      </c>
    </row>
    <row r="722" spans="1:8" x14ac:dyDescent="0.35">
      <c r="A722" s="3">
        <v>79</v>
      </c>
      <c r="B722" s="4">
        <v>115</v>
      </c>
      <c r="C722" s="5">
        <v>70</v>
      </c>
      <c r="D722" s="6">
        <v>125</v>
      </c>
      <c r="E722" s="7">
        <v>80</v>
      </c>
      <c r="F722" s="8">
        <v>111</v>
      </c>
      <c r="G722" s="1">
        <v>580</v>
      </c>
      <c r="H722" s="19">
        <v>96.67</v>
      </c>
    </row>
    <row r="723" spans="1:8" x14ac:dyDescent="0.35">
      <c r="A723" s="3">
        <v>79</v>
      </c>
      <c r="B723" s="4">
        <v>100</v>
      </c>
      <c r="C723" s="5">
        <v>80</v>
      </c>
      <c r="D723" s="6">
        <v>110</v>
      </c>
      <c r="E723" s="7">
        <v>90</v>
      </c>
      <c r="F723" s="8">
        <v>121</v>
      </c>
      <c r="G723" s="1">
        <v>580</v>
      </c>
      <c r="H723" s="19">
        <v>96.67</v>
      </c>
    </row>
    <row r="724" spans="1:8" x14ac:dyDescent="0.35">
      <c r="A724" s="3">
        <v>79</v>
      </c>
      <c r="B724" s="4">
        <v>115</v>
      </c>
      <c r="C724" s="5">
        <v>70</v>
      </c>
      <c r="D724" s="6">
        <v>125</v>
      </c>
      <c r="E724" s="7">
        <v>80</v>
      </c>
      <c r="F724" s="8">
        <v>111</v>
      </c>
      <c r="G724" s="1">
        <v>580</v>
      </c>
      <c r="H724" s="19">
        <v>96.67</v>
      </c>
    </row>
    <row r="725" spans="1:8" x14ac:dyDescent="0.35">
      <c r="A725" s="3">
        <v>79</v>
      </c>
      <c r="B725" s="4">
        <v>105</v>
      </c>
      <c r="C725" s="5">
        <v>70</v>
      </c>
      <c r="D725" s="6">
        <v>145</v>
      </c>
      <c r="E725" s="7">
        <v>80</v>
      </c>
      <c r="F725" s="8">
        <v>101</v>
      </c>
      <c r="G725" s="1">
        <v>580</v>
      </c>
      <c r="H725" s="19">
        <v>96.67</v>
      </c>
    </row>
    <row r="726" spans="1:8" x14ac:dyDescent="0.35">
      <c r="A726" s="3">
        <v>100</v>
      </c>
      <c r="B726" s="4">
        <v>120</v>
      </c>
      <c r="C726" s="5">
        <v>100</v>
      </c>
      <c r="D726" s="6">
        <v>150</v>
      </c>
      <c r="E726" s="7">
        <v>120</v>
      </c>
      <c r="F726" s="8">
        <v>90</v>
      </c>
      <c r="G726" s="1">
        <v>680</v>
      </c>
      <c r="H726" s="19">
        <v>113.33</v>
      </c>
    </row>
    <row r="727" spans="1:8" x14ac:dyDescent="0.35">
      <c r="A727" s="3">
        <v>100</v>
      </c>
      <c r="B727" s="4">
        <v>150</v>
      </c>
      <c r="C727" s="5">
        <v>120</v>
      </c>
      <c r="D727" s="6">
        <v>120</v>
      </c>
      <c r="E727" s="7">
        <v>100</v>
      </c>
      <c r="F727" s="8">
        <v>90</v>
      </c>
      <c r="G727" s="45">
        <v>680</v>
      </c>
      <c r="H727" s="19">
        <v>113.33</v>
      </c>
    </row>
    <row r="728" spans="1:8" x14ac:dyDescent="0.35">
      <c r="A728" s="3">
        <v>89</v>
      </c>
      <c r="B728" s="4">
        <v>125</v>
      </c>
      <c r="C728" s="5">
        <v>90</v>
      </c>
      <c r="D728" s="6">
        <v>115</v>
      </c>
      <c r="E728" s="7">
        <v>80</v>
      </c>
      <c r="F728" s="8">
        <v>101</v>
      </c>
      <c r="G728" s="1">
        <v>600</v>
      </c>
      <c r="H728" s="19">
        <v>100</v>
      </c>
    </row>
    <row r="729" spans="1:8" x14ac:dyDescent="0.35">
      <c r="A729" s="3">
        <v>89</v>
      </c>
      <c r="B729" s="4">
        <v>145</v>
      </c>
      <c r="C729" s="5">
        <v>90</v>
      </c>
      <c r="D729" s="6">
        <v>105</v>
      </c>
      <c r="E729" s="7">
        <v>80</v>
      </c>
      <c r="F729" s="8">
        <v>91</v>
      </c>
      <c r="G729" s="1">
        <v>600</v>
      </c>
      <c r="H729" s="19">
        <v>100</v>
      </c>
    </row>
    <row r="730" spans="1:8" x14ac:dyDescent="0.35">
      <c r="A730" s="3">
        <v>125</v>
      </c>
      <c r="B730" s="4">
        <v>120</v>
      </c>
      <c r="C730" s="5">
        <v>90</v>
      </c>
      <c r="D730" s="6">
        <v>170</v>
      </c>
      <c r="E730" s="7">
        <v>100</v>
      </c>
      <c r="F730" s="8">
        <v>95</v>
      </c>
      <c r="G730" s="1">
        <v>700</v>
      </c>
      <c r="H730" s="19">
        <v>116.67</v>
      </c>
    </row>
    <row r="731" spans="1:8" x14ac:dyDescent="0.35">
      <c r="A731" s="3">
        <v>125</v>
      </c>
      <c r="B731" s="4">
        <v>170</v>
      </c>
      <c r="C731" s="5">
        <v>100</v>
      </c>
      <c r="D731" s="6">
        <v>120</v>
      </c>
      <c r="E731" s="7">
        <v>90</v>
      </c>
      <c r="F731" s="8">
        <v>95</v>
      </c>
      <c r="G731" s="1">
        <v>700</v>
      </c>
      <c r="H731" s="19">
        <v>116.67</v>
      </c>
    </row>
    <row r="732" spans="1:8" x14ac:dyDescent="0.35">
      <c r="A732" s="3">
        <v>125</v>
      </c>
      <c r="B732" s="4">
        <v>130</v>
      </c>
      <c r="C732" s="5">
        <v>90</v>
      </c>
      <c r="D732" s="6">
        <v>130</v>
      </c>
      <c r="E732" s="7">
        <v>90</v>
      </c>
      <c r="F732" s="8">
        <v>95</v>
      </c>
      <c r="G732" s="1">
        <v>660</v>
      </c>
      <c r="H732" s="19">
        <v>110</v>
      </c>
    </row>
    <row r="733" spans="1:8" x14ac:dyDescent="0.35">
      <c r="A733" s="3">
        <v>91</v>
      </c>
      <c r="B733" s="4">
        <v>72</v>
      </c>
      <c r="C733" s="5">
        <v>90</v>
      </c>
      <c r="D733" s="6">
        <v>129</v>
      </c>
      <c r="E733" s="7">
        <v>90</v>
      </c>
      <c r="F733" s="8">
        <v>108</v>
      </c>
      <c r="G733" s="1">
        <v>580</v>
      </c>
      <c r="H733" s="19">
        <v>96.67</v>
      </c>
    </row>
    <row r="734" spans="1:8" x14ac:dyDescent="0.35">
      <c r="A734" s="3">
        <v>100</v>
      </c>
      <c r="B734" s="4">
        <v>77</v>
      </c>
      <c r="C734" s="5">
        <v>77</v>
      </c>
      <c r="D734" s="6">
        <v>128</v>
      </c>
      <c r="E734" s="7">
        <v>128</v>
      </c>
      <c r="F734" s="8">
        <v>90</v>
      </c>
      <c r="G734" s="1">
        <v>600</v>
      </c>
      <c r="H734" s="19">
        <v>100</v>
      </c>
    </row>
    <row r="735" spans="1:8" x14ac:dyDescent="0.35">
      <c r="A735" s="3">
        <v>100</v>
      </c>
      <c r="B735" s="4">
        <v>128</v>
      </c>
      <c r="C735" s="5">
        <v>90</v>
      </c>
      <c r="D735" s="6">
        <v>77</v>
      </c>
      <c r="E735" s="7">
        <v>77</v>
      </c>
      <c r="F735" s="8">
        <v>128</v>
      </c>
      <c r="G735" s="1">
        <v>600</v>
      </c>
      <c r="H735" s="19">
        <v>100</v>
      </c>
    </row>
    <row r="736" spans="1:8" x14ac:dyDescent="0.35">
      <c r="A736" s="3">
        <v>71</v>
      </c>
      <c r="B736" s="4">
        <v>120</v>
      </c>
      <c r="C736" s="5">
        <v>95</v>
      </c>
      <c r="D736" s="6">
        <v>120</v>
      </c>
      <c r="E736" s="7">
        <v>95</v>
      </c>
      <c r="F736" s="8">
        <v>99</v>
      </c>
      <c r="G736" s="1">
        <v>600</v>
      </c>
      <c r="H736" s="19">
        <v>100</v>
      </c>
    </row>
    <row r="737" spans="1:8" x14ac:dyDescent="0.35">
      <c r="A737" s="3">
        <v>56</v>
      </c>
      <c r="B737" s="4">
        <v>61</v>
      </c>
      <c r="C737" s="5">
        <v>65</v>
      </c>
      <c r="D737" s="6">
        <v>48</v>
      </c>
      <c r="E737" s="7">
        <v>45</v>
      </c>
      <c r="F737" s="8">
        <v>38</v>
      </c>
      <c r="G737" s="1">
        <v>313</v>
      </c>
      <c r="H737" s="19">
        <v>52.17</v>
      </c>
    </row>
    <row r="738" spans="1:8" x14ac:dyDescent="0.35">
      <c r="A738" s="3">
        <v>61</v>
      </c>
      <c r="B738" s="4">
        <v>78</v>
      </c>
      <c r="C738" s="5">
        <v>95</v>
      </c>
      <c r="D738" s="6">
        <v>56</v>
      </c>
      <c r="E738" s="7">
        <v>58</v>
      </c>
      <c r="F738" s="8">
        <v>57</v>
      </c>
      <c r="G738" s="1">
        <v>405</v>
      </c>
      <c r="H738" s="19">
        <v>67.5</v>
      </c>
    </row>
    <row r="739" spans="1:8" x14ac:dyDescent="0.35">
      <c r="A739" s="3">
        <v>88</v>
      </c>
      <c r="B739" s="4">
        <v>107</v>
      </c>
      <c r="C739" s="5">
        <v>122</v>
      </c>
      <c r="D739" s="6">
        <v>74</v>
      </c>
      <c r="E739" s="7">
        <v>75</v>
      </c>
      <c r="F739" s="8">
        <v>64</v>
      </c>
      <c r="G739" s="1">
        <v>530</v>
      </c>
      <c r="H739" s="19">
        <v>88.33</v>
      </c>
    </row>
    <row r="740" spans="1:8" x14ac:dyDescent="0.35">
      <c r="A740" s="3">
        <v>40</v>
      </c>
      <c r="B740" s="4">
        <v>45</v>
      </c>
      <c r="C740" s="5">
        <v>40</v>
      </c>
      <c r="D740" s="6">
        <v>62</v>
      </c>
      <c r="E740" s="7">
        <v>60</v>
      </c>
      <c r="F740" s="8">
        <v>60</v>
      </c>
      <c r="G740" s="1">
        <v>307</v>
      </c>
      <c r="H740" s="19">
        <v>51.17</v>
      </c>
    </row>
    <row r="741" spans="1:8" x14ac:dyDescent="0.35">
      <c r="A741" s="3">
        <v>59</v>
      </c>
      <c r="B741" s="4">
        <v>59</v>
      </c>
      <c r="C741" s="5">
        <v>58</v>
      </c>
      <c r="D741" s="6">
        <v>90</v>
      </c>
      <c r="E741" s="7">
        <v>70</v>
      </c>
      <c r="F741" s="8">
        <v>73</v>
      </c>
      <c r="G741" s="1">
        <v>409</v>
      </c>
      <c r="H741" s="19">
        <v>68.17</v>
      </c>
    </row>
    <row r="742" spans="1:8" x14ac:dyDescent="0.35">
      <c r="A742" s="3">
        <v>75</v>
      </c>
      <c r="B742" s="4">
        <v>69</v>
      </c>
      <c r="C742" s="5">
        <v>72</v>
      </c>
      <c r="D742" s="6">
        <v>114</v>
      </c>
      <c r="E742" s="7">
        <v>100</v>
      </c>
      <c r="F742" s="8">
        <v>104</v>
      </c>
      <c r="G742" s="1">
        <v>534</v>
      </c>
      <c r="H742" s="19">
        <v>89</v>
      </c>
    </row>
    <row r="743" spans="1:8" x14ac:dyDescent="0.35">
      <c r="A743" s="3">
        <v>41</v>
      </c>
      <c r="B743" s="4">
        <v>56</v>
      </c>
      <c r="C743" s="5">
        <v>40</v>
      </c>
      <c r="D743" s="6">
        <v>62</v>
      </c>
      <c r="E743" s="7">
        <v>44</v>
      </c>
      <c r="F743" s="8">
        <v>71</v>
      </c>
      <c r="G743" s="1">
        <v>314</v>
      </c>
      <c r="H743" s="19">
        <v>52.33</v>
      </c>
    </row>
    <row r="744" spans="1:8" x14ac:dyDescent="0.35">
      <c r="A744" s="3">
        <v>54</v>
      </c>
      <c r="B744" s="4">
        <v>63</v>
      </c>
      <c r="C744" s="5">
        <v>52</v>
      </c>
      <c r="D744" s="6">
        <v>83</v>
      </c>
      <c r="E744" s="7">
        <v>56</v>
      </c>
      <c r="F744" s="8">
        <v>97</v>
      </c>
      <c r="G744" s="1">
        <v>405</v>
      </c>
      <c r="H744" s="19">
        <v>67.5</v>
      </c>
    </row>
    <row r="745" spans="1:8" x14ac:dyDescent="0.35">
      <c r="A745" s="3">
        <v>72</v>
      </c>
      <c r="B745" s="4">
        <v>95</v>
      </c>
      <c r="C745" s="5">
        <v>67</v>
      </c>
      <c r="D745" s="6">
        <v>103</v>
      </c>
      <c r="E745" s="7">
        <v>71</v>
      </c>
      <c r="F745" s="8">
        <v>122</v>
      </c>
      <c r="G745" s="1">
        <v>530</v>
      </c>
      <c r="H745" s="19">
        <v>88.33</v>
      </c>
    </row>
    <row r="746" spans="1:8" x14ac:dyDescent="0.35">
      <c r="A746" s="3">
        <v>38</v>
      </c>
      <c r="B746" s="4">
        <v>36</v>
      </c>
      <c r="C746" s="5">
        <v>38</v>
      </c>
      <c r="D746" s="6">
        <v>32</v>
      </c>
      <c r="E746" s="7">
        <v>36</v>
      </c>
      <c r="F746" s="8">
        <v>57</v>
      </c>
      <c r="G746" s="1">
        <v>237</v>
      </c>
      <c r="H746" s="19">
        <v>39.5</v>
      </c>
    </row>
    <row r="747" spans="1:8" x14ac:dyDescent="0.35">
      <c r="A747" s="3">
        <v>85</v>
      </c>
      <c r="B747" s="4">
        <v>56</v>
      </c>
      <c r="C747" s="5">
        <v>77</v>
      </c>
      <c r="D747" s="6">
        <v>50</v>
      </c>
      <c r="E747" s="7">
        <v>77</v>
      </c>
      <c r="F747" s="8">
        <v>78</v>
      </c>
      <c r="G747" s="1">
        <v>423</v>
      </c>
      <c r="H747" s="19">
        <v>70.5</v>
      </c>
    </row>
    <row r="748" spans="1:8" x14ac:dyDescent="0.35">
      <c r="A748" s="3">
        <v>45</v>
      </c>
      <c r="B748" s="4">
        <v>50</v>
      </c>
      <c r="C748" s="5">
        <v>43</v>
      </c>
      <c r="D748" s="6">
        <v>40</v>
      </c>
      <c r="E748" s="7">
        <v>38</v>
      </c>
      <c r="F748" s="8">
        <v>62</v>
      </c>
      <c r="G748" s="1">
        <v>278</v>
      </c>
      <c r="H748" s="19">
        <v>46.33</v>
      </c>
    </row>
    <row r="749" spans="1:8" x14ac:dyDescent="0.35">
      <c r="A749" s="3">
        <v>62</v>
      </c>
      <c r="B749" s="4">
        <v>73</v>
      </c>
      <c r="C749" s="5">
        <v>55</v>
      </c>
      <c r="D749" s="6">
        <v>56</v>
      </c>
      <c r="E749" s="7">
        <v>52</v>
      </c>
      <c r="F749" s="8">
        <v>84</v>
      </c>
      <c r="G749" s="1">
        <v>382</v>
      </c>
      <c r="H749" s="19">
        <v>63.67</v>
      </c>
    </row>
    <row r="750" spans="1:8" x14ac:dyDescent="0.35">
      <c r="A750" s="3">
        <v>78</v>
      </c>
      <c r="B750" s="4">
        <v>81</v>
      </c>
      <c r="C750" s="5">
        <v>71</v>
      </c>
      <c r="D750" s="6">
        <v>74</v>
      </c>
      <c r="E750" s="7">
        <v>69</v>
      </c>
      <c r="F750" s="8">
        <v>126</v>
      </c>
      <c r="G750" s="1">
        <v>499</v>
      </c>
      <c r="H750" s="19">
        <v>83.17</v>
      </c>
    </row>
    <row r="751" spans="1:8" x14ac:dyDescent="0.35">
      <c r="A751" s="3">
        <v>38</v>
      </c>
      <c r="B751" s="4">
        <v>35</v>
      </c>
      <c r="C751" s="5">
        <v>40</v>
      </c>
      <c r="D751" s="6">
        <v>27</v>
      </c>
      <c r="E751" s="7">
        <v>25</v>
      </c>
      <c r="F751" s="8">
        <v>35</v>
      </c>
      <c r="G751" s="1">
        <v>200</v>
      </c>
      <c r="H751" s="19">
        <v>33.33</v>
      </c>
    </row>
    <row r="752" spans="1:8" x14ac:dyDescent="0.35">
      <c r="A752" s="3">
        <v>45</v>
      </c>
      <c r="B752" s="4">
        <v>22</v>
      </c>
      <c r="C752" s="5">
        <v>60</v>
      </c>
      <c r="D752" s="6">
        <v>27</v>
      </c>
      <c r="E752" s="7">
        <v>30</v>
      </c>
      <c r="F752" s="8">
        <v>29</v>
      </c>
      <c r="G752" s="1">
        <v>213</v>
      </c>
      <c r="H752" s="19">
        <v>35.5</v>
      </c>
    </row>
    <row r="753" spans="1:8" x14ac:dyDescent="0.35">
      <c r="A753" s="3">
        <v>80</v>
      </c>
      <c r="B753" s="4">
        <v>52</v>
      </c>
      <c r="C753" s="5">
        <v>50</v>
      </c>
      <c r="D753" s="6">
        <v>90</v>
      </c>
      <c r="E753" s="7">
        <v>50</v>
      </c>
      <c r="F753" s="8">
        <v>89</v>
      </c>
      <c r="G753" s="1">
        <v>411</v>
      </c>
      <c r="H753" s="19">
        <v>68.5</v>
      </c>
    </row>
    <row r="754" spans="1:8" x14ac:dyDescent="0.35">
      <c r="A754" s="3">
        <v>62</v>
      </c>
      <c r="B754" s="4">
        <v>50</v>
      </c>
      <c r="C754" s="5">
        <v>58</v>
      </c>
      <c r="D754" s="6">
        <v>73</v>
      </c>
      <c r="E754" s="7">
        <v>54</v>
      </c>
      <c r="F754" s="8">
        <v>72</v>
      </c>
      <c r="G754" s="1">
        <v>369</v>
      </c>
      <c r="H754" s="19">
        <v>61.5</v>
      </c>
    </row>
    <row r="755" spans="1:8" x14ac:dyDescent="0.35">
      <c r="A755" s="3">
        <v>86</v>
      </c>
      <c r="B755" s="4">
        <v>68</v>
      </c>
      <c r="C755" s="5">
        <v>72</v>
      </c>
      <c r="D755" s="6">
        <v>109</v>
      </c>
      <c r="E755" s="7">
        <v>66</v>
      </c>
      <c r="F755" s="8">
        <v>106</v>
      </c>
      <c r="G755" s="1">
        <v>507</v>
      </c>
      <c r="H755" s="19">
        <v>84.5</v>
      </c>
    </row>
    <row r="756" spans="1:8" x14ac:dyDescent="0.35">
      <c r="A756" s="3">
        <v>44</v>
      </c>
      <c r="B756" s="4">
        <v>38</v>
      </c>
      <c r="C756" s="5">
        <v>39</v>
      </c>
      <c r="D756" s="6">
        <v>61</v>
      </c>
      <c r="E756" s="7">
        <v>79</v>
      </c>
      <c r="F756" s="8">
        <v>42</v>
      </c>
      <c r="G756" s="1">
        <v>303</v>
      </c>
      <c r="H756" s="19">
        <v>50.5</v>
      </c>
    </row>
    <row r="757" spans="1:8" x14ac:dyDescent="0.35">
      <c r="A757" s="3">
        <v>54</v>
      </c>
      <c r="B757" s="4">
        <v>45</v>
      </c>
      <c r="C757" s="5">
        <v>47</v>
      </c>
      <c r="D757" s="6">
        <v>75</v>
      </c>
      <c r="E757" s="7">
        <v>98</v>
      </c>
      <c r="F757" s="8">
        <v>52</v>
      </c>
      <c r="G757" s="1">
        <v>371</v>
      </c>
      <c r="H757" s="19">
        <v>61.83</v>
      </c>
    </row>
    <row r="758" spans="1:8" x14ac:dyDescent="0.35">
      <c r="A758" s="3">
        <v>78</v>
      </c>
      <c r="B758" s="4">
        <v>65</v>
      </c>
      <c r="C758" s="5">
        <v>68</v>
      </c>
      <c r="D758" s="6">
        <v>112</v>
      </c>
      <c r="E758" s="7">
        <v>154</v>
      </c>
      <c r="F758" s="8">
        <v>75</v>
      </c>
      <c r="G758" s="1">
        <v>552</v>
      </c>
      <c r="H758" s="19">
        <v>92</v>
      </c>
    </row>
    <row r="759" spans="1:8" x14ac:dyDescent="0.35">
      <c r="A759" s="3">
        <v>66</v>
      </c>
      <c r="B759" s="4">
        <v>65</v>
      </c>
      <c r="C759" s="5">
        <v>48</v>
      </c>
      <c r="D759" s="6">
        <v>62</v>
      </c>
      <c r="E759" s="7">
        <v>57</v>
      </c>
      <c r="F759" s="8">
        <v>52</v>
      </c>
      <c r="G759" s="1">
        <v>350</v>
      </c>
      <c r="H759" s="19">
        <v>58.33</v>
      </c>
    </row>
    <row r="760" spans="1:8" x14ac:dyDescent="0.35">
      <c r="A760" s="3">
        <v>123</v>
      </c>
      <c r="B760" s="4">
        <v>100</v>
      </c>
      <c r="C760" s="5">
        <v>62</v>
      </c>
      <c r="D760" s="6">
        <v>97</v>
      </c>
      <c r="E760" s="7">
        <v>81</v>
      </c>
      <c r="F760" s="8">
        <v>68</v>
      </c>
      <c r="G760" s="1">
        <v>531</v>
      </c>
      <c r="H760" s="19">
        <v>88.5</v>
      </c>
    </row>
    <row r="761" spans="1:8" x14ac:dyDescent="0.35">
      <c r="A761" s="39">
        <v>67</v>
      </c>
      <c r="B761" s="4">
        <v>82</v>
      </c>
      <c r="C761" s="5">
        <v>62</v>
      </c>
      <c r="D761" s="6">
        <v>46</v>
      </c>
      <c r="E761" s="7">
        <v>48</v>
      </c>
      <c r="F761" s="8">
        <v>43</v>
      </c>
      <c r="G761" s="1">
        <v>348</v>
      </c>
      <c r="H761" s="19">
        <v>58</v>
      </c>
    </row>
    <row r="762" spans="1:8" x14ac:dyDescent="0.35">
      <c r="A762" s="3">
        <v>95</v>
      </c>
      <c r="B762" s="4">
        <v>124</v>
      </c>
      <c r="C762" s="5">
        <v>78</v>
      </c>
      <c r="D762" s="6">
        <v>69</v>
      </c>
      <c r="E762" s="7">
        <v>71</v>
      </c>
      <c r="F762" s="8">
        <v>58</v>
      </c>
      <c r="G762" s="1">
        <v>495</v>
      </c>
      <c r="H762" s="19">
        <v>82.5</v>
      </c>
    </row>
    <row r="763" spans="1:8" x14ac:dyDescent="0.35">
      <c r="A763" s="3">
        <v>75</v>
      </c>
      <c r="B763" s="4">
        <v>80</v>
      </c>
      <c r="C763" s="5">
        <v>60</v>
      </c>
      <c r="D763" s="6">
        <v>65</v>
      </c>
      <c r="E763" s="7">
        <v>90</v>
      </c>
      <c r="F763" s="8">
        <v>102</v>
      </c>
      <c r="G763" s="1">
        <v>472</v>
      </c>
      <c r="H763" s="19">
        <v>78.67</v>
      </c>
    </row>
    <row r="764" spans="1:8" x14ac:dyDescent="0.35">
      <c r="A764" s="3">
        <v>62</v>
      </c>
      <c r="B764" s="4">
        <v>48</v>
      </c>
      <c r="C764" s="5">
        <v>54</v>
      </c>
      <c r="D764" s="6">
        <v>63</v>
      </c>
      <c r="E764" s="7">
        <v>60</v>
      </c>
      <c r="F764" s="8">
        <v>68</v>
      </c>
      <c r="G764" s="1">
        <v>355</v>
      </c>
      <c r="H764" s="19">
        <v>59.17</v>
      </c>
    </row>
    <row r="765" spans="1:8" x14ac:dyDescent="0.35">
      <c r="A765" s="3">
        <v>74</v>
      </c>
      <c r="B765" s="4">
        <v>48</v>
      </c>
      <c r="C765" s="5">
        <v>76</v>
      </c>
      <c r="D765" s="6">
        <v>83</v>
      </c>
      <c r="E765" s="7">
        <v>81</v>
      </c>
      <c r="F765" s="8">
        <v>104</v>
      </c>
      <c r="G765" s="1">
        <v>466</v>
      </c>
      <c r="H765" s="19">
        <v>77.67</v>
      </c>
    </row>
    <row r="766" spans="1:8" x14ac:dyDescent="0.35">
      <c r="A766" s="3">
        <v>45</v>
      </c>
      <c r="B766" s="4">
        <v>80</v>
      </c>
      <c r="C766" s="5">
        <v>100</v>
      </c>
      <c r="D766" s="6">
        <v>35</v>
      </c>
      <c r="E766" s="7">
        <v>37</v>
      </c>
      <c r="F766" s="8">
        <v>28</v>
      </c>
      <c r="G766" s="1">
        <v>325</v>
      </c>
      <c r="H766" s="19">
        <v>54.17</v>
      </c>
    </row>
    <row r="767" spans="1:8" x14ac:dyDescent="0.35">
      <c r="A767" s="3">
        <v>59</v>
      </c>
      <c r="B767" s="4">
        <v>110</v>
      </c>
      <c r="C767" s="5">
        <v>150</v>
      </c>
      <c r="D767" s="6">
        <v>45</v>
      </c>
      <c r="E767" s="7">
        <v>49</v>
      </c>
      <c r="F767" s="8">
        <v>35</v>
      </c>
      <c r="G767" s="1">
        <v>448</v>
      </c>
      <c r="H767" s="19">
        <v>74.67</v>
      </c>
    </row>
    <row r="768" spans="1:8" x14ac:dyDescent="0.35">
      <c r="A768" s="3">
        <v>60</v>
      </c>
      <c r="B768" s="4">
        <v>150</v>
      </c>
      <c r="C768" s="5">
        <v>50</v>
      </c>
      <c r="D768" s="6">
        <v>150</v>
      </c>
      <c r="E768" s="7">
        <v>50</v>
      </c>
      <c r="F768" s="8">
        <v>60</v>
      </c>
      <c r="G768" s="1">
        <v>520</v>
      </c>
      <c r="H768" s="19">
        <v>86.67</v>
      </c>
    </row>
    <row r="769" spans="1:8" x14ac:dyDescent="0.35">
      <c r="A769" s="3">
        <v>60</v>
      </c>
      <c r="B769" s="4">
        <v>50</v>
      </c>
      <c r="C769" s="5">
        <v>150</v>
      </c>
      <c r="D769" s="6">
        <v>50</v>
      </c>
      <c r="E769" s="7">
        <v>150</v>
      </c>
      <c r="F769" s="8">
        <v>60</v>
      </c>
      <c r="G769" s="1">
        <v>520</v>
      </c>
      <c r="H769" s="19">
        <v>86.67</v>
      </c>
    </row>
    <row r="770" spans="1:8" x14ac:dyDescent="0.35">
      <c r="A770" s="3">
        <v>78</v>
      </c>
      <c r="B770" s="4">
        <v>52</v>
      </c>
      <c r="C770" s="5">
        <v>60</v>
      </c>
      <c r="D770" s="6">
        <v>63</v>
      </c>
      <c r="E770" s="7">
        <v>65</v>
      </c>
      <c r="F770" s="8">
        <v>23</v>
      </c>
      <c r="G770" s="1">
        <v>341</v>
      </c>
      <c r="H770" s="19">
        <v>56.83</v>
      </c>
    </row>
    <row r="771" spans="1:8" x14ac:dyDescent="0.35">
      <c r="A771" s="3">
        <v>101</v>
      </c>
      <c r="B771" s="4">
        <v>72</v>
      </c>
      <c r="C771" s="5">
        <v>72</v>
      </c>
      <c r="D771" s="6">
        <v>99</v>
      </c>
      <c r="E771" s="7">
        <v>89</v>
      </c>
      <c r="F771" s="8">
        <v>29</v>
      </c>
      <c r="G771" s="1">
        <v>462</v>
      </c>
      <c r="H771" s="19">
        <v>77</v>
      </c>
    </row>
    <row r="772" spans="1:8" x14ac:dyDescent="0.35">
      <c r="A772" s="3">
        <v>62</v>
      </c>
      <c r="B772" s="4">
        <v>48</v>
      </c>
      <c r="C772" s="5">
        <v>66</v>
      </c>
      <c r="D772" s="6">
        <v>59</v>
      </c>
      <c r="E772" s="7">
        <v>57</v>
      </c>
      <c r="F772" s="8">
        <v>49</v>
      </c>
      <c r="G772" s="1">
        <v>341</v>
      </c>
      <c r="H772" s="19">
        <v>56.83</v>
      </c>
    </row>
    <row r="773" spans="1:8" x14ac:dyDescent="0.35">
      <c r="A773" s="3">
        <v>82</v>
      </c>
      <c r="B773" s="4">
        <v>80</v>
      </c>
      <c r="C773" s="5">
        <v>86</v>
      </c>
      <c r="D773" s="6">
        <v>85</v>
      </c>
      <c r="E773" s="7">
        <v>75</v>
      </c>
      <c r="F773" s="8">
        <v>72</v>
      </c>
      <c r="G773" s="1">
        <v>480</v>
      </c>
      <c r="H773" s="19">
        <v>80</v>
      </c>
    </row>
    <row r="774" spans="1:8" x14ac:dyDescent="0.35">
      <c r="A774" s="3">
        <v>53</v>
      </c>
      <c r="B774" s="4">
        <v>54</v>
      </c>
      <c r="C774" s="5">
        <v>53</v>
      </c>
      <c r="D774" s="6">
        <v>37</v>
      </c>
      <c r="E774" s="7">
        <v>46</v>
      </c>
      <c r="F774" s="8">
        <v>45</v>
      </c>
      <c r="G774" s="1">
        <v>288</v>
      </c>
      <c r="H774" s="19">
        <v>48</v>
      </c>
    </row>
    <row r="775" spans="1:8" x14ac:dyDescent="0.35">
      <c r="A775" s="3">
        <v>86</v>
      </c>
      <c r="B775" s="4">
        <v>92</v>
      </c>
      <c r="C775" s="5">
        <v>88</v>
      </c>
      <c r="D775" s="6">
        <v>68</v>
      </c>
      <c r="E775" s="7">
        <v>75</v>
      </c>
      <c r="F775" s="8">
        <v>73</v>
      </c>
      <c r="G775" s="1">
        <v>482</v>
      </c>
      <c r="H775" s="19">
        <v>80.33</v>
      </c>
    </row>
    <row r="776" spans="1:8" x14ac:dyDescent="0.35">
      <c r="A776" s="3">
        <v>42</v>
      </c>
      <c r="B776" s="4">
        <v>52</v>
      </c>
      <c r="C776" s="5">
        <v>67</v>
      </c>
      <c r="D776" s="6">
        <v>39</v>
      </c>
      <c r="E776" s="7">
        <v>56</v>
      </c>
      <c r="F776" s="8">
        <v>50</v>
      </c>
      <c r="G776" s="1">
        <v>306</v>
      </c>
      <c r="H776" s="19">
        <v>51</v>
      </c>
    </row>
    <row r="777" spans="1:8" x14ac:dyDescent="0.35">
      <c r="A777" s="3">
        <v>72</v>
      </c>
      <c r="B777" s="4">
        <v>105</v>
      </c>
      <c r="C777" s="5">
        <v>115</v>
      </c>
      <c r="D777" s="6">
        <v>54</v>
      </c>
      <c r="E777" s="7">
        <v>86</v>
      </c>
      <c r="F777" s="8">
        <v>68</v>
      </c>
      <c r="G777" s="1">
        <v>500</v>
      </c>
      <c r="H777" s="19">
        <v>83.33</v>
      </c>
    </row>
    <row r="778" spans="1:8" x14ac:dyDescent="0.35">
      <c r="A778" s="3">
        <v>50</v>
      </c>
      <c r="B778" s="4">
        <v>60</v>
      </c>
      <c r="C778" s="5">
        <v>60</v>
      </c>
      <c r="D778" s="6">
        <v>60</v>
      </c>
      <c r="E778" s="43">
        <v>60</v>
      </c>
      <c r="F778" s="8">
        <v>30</v>
      </c>
      <c r="G778" s="1">
        <v>320</v>
      </c>
      <c r="H778" s="19">
        <v>53.33</v>
      </c>
    </row>
    <row r="779" spans="1:8" x14ac:dyDescent="0.35">
      <c r="A779" s="3">
        <v>65</v>
      </c>
      <c r="B779" s="4">
        <v>75</v>
      </c>
      <c r="C779" s="5">
        <v>90</v>
      </c>
      <c r="D779" s="6">
        <v>97</v>
      </c>
      <c r="E779" s="7">
        <v>123</v>
      </c>
      <c r="F779" s="8">
        <v>44</v>
      </c>
      <c r="G779" s="1">
        <v>494</v>
      </c>
      <c r="H779" s="19">
        <v>82.33</v>
      </c>
    </row>
    <row r="780" spans="1:8" x14ac:dyDescent="0.35">
      <c r="A780" s="3">
        <v>50</v>
      </c>
      <c r="B780" s="4">
        <v>53</v>
      </c>
      <c r="C780" s="5">
        <v>62</v>
      </c>
      <c r="D780" s="6">
        <v>58</v>
      </c>
      <c r="E780" s="7">
        <v>63</v>
      </c>
      <c r="F780" s="8">
        <v>44</v>
      </c>
      <c r="G780" s="1">
        <v>330</v>
      </c>
      <c r="H780" s="19">
        <v>55</v>
      </c>
    </row>
    <row r="781" spans="1:8" x14ac:dyDescent="0.35">
      <c r="A781" s="3">
        <v>71</v>
      </c>
      <c r="B781" s="4">
        <v>73</v>
      </c>
      <c r="C781" s="5">
        <v>88</v>
      </c>
      <c r="D781" s="6">
        <v>120</v>
      </c>
      <c r="E781" s="7">
        <v>89</v>
      </c>
      <c r="F781" s="8">
        <v>59</v>
      </c>
      <c r="G781" s="1">
        <v>500</v>
      </c>
      <c r="H781" s="19">
        <v>83.33</v>
      </c>
    </row>
    <row r="782" spans="1:8" x14ac:dyDescent="0.35">
      <c r="A782" s="3">
        <v>44</v>
      </c>
      <c r="B782" s="4">
        <v>38</v>
      </c>
      <c r="C782" s="5">
        <v>33</v>
      </c>
      <c r="D782" s="6">
        <v>61</v>
      </c>
      <c r="E782" s="7">
        <v>43</v>
      </c>
      <c r="F782" s="8">
        <v>70</v>
      </c>
      <c r="G782" s="1">
        <v>289</v>
      </c>
      <c r="H782" s="19">
        <v>48.17</v>
      </c>
    </row>
    <row r="783" spans="1:8" x14ac:dyDescent="0.35">
      <c r="A783" s="3">
        <v>62</v>
      </c>
      <c r="B783" s="4">
        <v>55</v>
      </c>
      <c r="C783" s="5">
        <v>52</v>
      </c>
      <c r="D783" s="6">
        <v>109</v>
      </c>
      <c r="E783" s="7">
        <v>94</v>
      </c>
      <c r="F783" s="8">
        <v>109</v>
      </c>
      <c r="G783" s="1">
        <v>481</v>
      </c>
      <c r="H783" s="19">
        <v>80.17</v>
      </c>
    </row>
    <row r="784" spans="1:8" x14ac:dyDescent="0.35">
      <c r="A784" s="3">
        <v>58</v>
      </c>
      <c r="B784" s="4">
        <v>89</v>
      </c>
      <c r="C784" s="5">
        <v>77</v>
      </c>
      <c r="D784" s="6">
        <v>45</v>
      </c>
      <c r="E784" s="7">
        <v>45</v>
      </c>
      <c r="F784" s="8">
        <v>48</v>
      </c>
      <c r="G784" s="45">
        <v>362</v>
      </c>
      <c r="H784" s="19">
        <v>60.33</v>
      </c>
    </row>
    <row r="785" spans="1:8" x14ac:dyDescent="0.35">
      <c r="A785" s="3">
        <v>82</v>
      </c>
      <c r="B785" s="4">
        <v>121</v>
      </c>
      <c r="C785" s="5">
        <v>119</v>
      </c>
      <c r="D785" s="6">
        <v>69</v>
      </c>
      <c r="E785" s="7">
        <v>59</v>
      </c>
      <c r="F785" s="8">
        <v>71</v>
      </c>
      <c r="G785" s="1">
        <v>521</v>
      </c>
      <c r="H785" s="19">
        <v>86.83</v>
      </c>
    </row>
    <row r="786" spans="1:8" x14ac:dyDescent="0.35">
      <c r="A786" s="3">
        <v>77</v>
      </c>
      <c r="B786" s="4">
        <v>59</v>
      </c>
      <c r="C786" s="5">
        <v>50</v>
      </c>
      <c r="D786" s="42">
        <v>67</v>
      </c>
      <c r="E786" s="7">
        <v>63</v>
      </c>
      <c r="F786" s="44">
        <v>46</v>
      </c>
      <c r="G786" s="1">
        <v>362</v>
      </c>
      <c r="H786" s="19">
        <v>60.33</v>
      </c>
    </row>
    <row r="787" spans="1:8" x14ac:dyDescent="0.35">
      <c r="A787" s="3">
        <v>123</v>
      </c>
      <c r="B787" s="4">
        <v>77</v>
      </c>
      <c r="C787" s="5">
        <v>72</v>
      </c>
      <c r="D787" s="6">
        <v>99</v>
      </c>
      <c r="E787" s="7">
        <v>92</v>
      </c>
      <c r="F787" s="8">
        <v>58</v>
      </c>
      <c r="G787" s="1">
        <v>521</v>
      </c>
      <c r="H787" s="19">
        <v>86.83</v>
      </c>
    </row>
    <row r="788" spans="1:8" x14ac:dyDescent="0.35">
      <c r="A788" s="3">
        <v>95</v>
      </c>
      <c r="B788" s="40">
        <v>65</v>
      </c>
      <c r="C788" s="5">
        <v>65</v>
      </c>
      <c r="D788" s="6">
        <v>110</v>
      </c>
      <c r="E788" s="7">
        <v>130</v>
      </c>
      <c r="F788" s="8">
        <v>60</v>
      </c>
      <c r="G788" s="1">
        <v>525</v>
      </c>
      <c r="H788" s="19">
        <v>87.5</v>
      </c>
    </row>
    <row r="789" spans="1:8" x14ac:dyDescent="0.35">
      <c r="A789" s="3">
        <v>78</v>
      </c>
      <c r="B789" s="4">
        <v>92</v>
      </c>
      <c r="C789" s="5">
        <v>75</v>
      </c>
      <c r="D789" s="6">
        <v>74</v>
      </c>
      <c r="E789" s="7">
        <v>63</v>
      </c>
      <c r="F789" s="8">
        <v>118</v>
      </c>
      <c r="G789" s="1">
        <v>500</v>
      </c>
      <c r="H789" s="19">
        <v>83.33</v>
      </c>
    </row>
    <row r="790" spans="1:8" x14ac:dyDescent="0.35">
      <c r="A790" s="3">
        <v>67</v>
      </c>
      <c r="B790" s="4">
        <v>58</v>
      </c>
      <c r="C790" s="5">
        <v>57</v>
      </c>
      <c r="D790" s="6">
        <v>81</v>
      </c>
      <c r="E790" s="7">
        <v>67</v>
      </c>
      <c r="F790" s="8">
        <v>101</v>
      </c>
      <c r="G790" s="1">
        <v>431</v>
      </c>
      <c r="H790" s="19">
        <v>71.83</v>
      </c>
    </row>
    <row r="791" spans="1:8" x14ac:dyDescent="0.35">
      <c r="A791" s="3">
        <v>50</v>
      </c>
      <c r="B791" s="4">
        <v>50</v>
      </c>
      <c r="C791" s="5">
        <v>150</v>
      </c>
      <c r="D791" s="6">
        <v>50</v>
      </c>
      <c r="E791" s="7">
        <v>150</v>
      </c>
      <c r="F791" s="8">
        <v>50</v>
      </c>
      <c r="G791" s="1">
        <v>500</v>
      </c>
      <c r="H791" s="19">
        <v>83.33</v>
      </c>
    </row>
    <row r="792" spans="1:8" x14ac:dyDescent="0.35">
      <c r="A792" s="3">
        <v>45</v>
      </c>
      <c r="B792" s="4">
        <v>50</v>
      </c>
      <c r="C792" s="5">
        <v>35</v>
      </c>
      <c r="D792" s="6">
        <v>55</v>
      </c>
      <c r="E792" s="7">
        <v>75</v>
      </c>
      <c r="F792" s="8">
        <v>40</v>
      </c>
      <c r="G792" s="1">
        <v>300</v>
      </c>
      <c r="H792" s="19">
        <v>50</v>
      </c>
    </row>
    <row r="793" spans="1:8" x14ac:dyDescent="0.35">
      <c r="A793" s="3">
        <v>68</v>
      </c>
      <c r="B793" s="4">
        <v>75</v>
      </c>
      <c r="C793" s="5">
        <v>53</v>
      </c>
      <c r="D793" s="6">
        <v>83</v>
      </c>
      <c r="E793" s="7">
        <v>113</v>
      </c>
      <c r="F793" s="8">
        <v>60</v>
      </c>
      <c r="G793" s="1">
        <v>452</v>
      </c>
      <c r="H793" s="19">
        <v>75.33</v>
      </c>
    </row>
    <row r="794" spans="1:8" x14ac:dyDescent="0.35">
      <c r="A794" s="3">
        <v>90</v>
      </c>
      <c r="B794" s="4">
        <v>100</v>
      </c>
      <c r="C794" s="5">
        <v>70</v>
      </c>
      <c r="D794" s="42">
        <v>110</v>
      </c>
      <c r="E794" s="7">
        <v>150</v>
      </c>
      <c r="F794" s="8">
        <v>80</v>
      </c>
      <c r="G794" s="1">
        <v>600</v>
      </c>
      <c r="H794" s="19">
        <v>100</v>
      </c>
    </row>
    <row r="795" spans="1:8" x14ac:dyDescent="0.35">
      <c r="A795" s="3">
        <v>57</v>
      </c>
      <c r="B795" s="4">
        <v>80</v>
      </c>
      <c r="C795" s="5">
        <v>91</v>
      </c>
      <c r="D795" s="6">
        <v>80</v>
      </c>
      <c r="E795" s="7">
        <v>87</v>
      </c>
      <c r="F795" s="8">
        <v>75</v>
      </c>
      <c r="G795" s="1">
        <v>470</v>
      </c>
      <c r="H795" s="19">
        <v>78.33</v>
      </c>
    </row>
    <row r="796" spans="1:8" x14ac:dyDescent="0.35">
      <c r="A796" s="3">
        <v>43</v>
      </c>
      <c r="B796" s="4">
        <v>70</v>
      </c>
      <c r="C796" s="5">
        <v>48</v>
      </c>
      <c r="D796" s="6">
        <v>50</v>
      </c>
      <c r="E796" s="7">
        <v>60</v>
      </c>
      <c r="F796" s="8">
        <v>38</v>
      </c>
      <c r="G796" s="1">
        <v>309</v>
      </c>
      <c r="H796" s="19">
        <v>51.5</v>
      </c>
    </row>
    <row r="797" spans="1:8" x14ac:dyDescent="0.35">
      <c r="A797" s="3">
        <v>85</v>
      </c>
      <c r="B797" s="4">
        <v>110</v>
      </c>
      <c r="C797" s="41">
        <v>76</v>
      </c>
      <c r="D797" s="6">
        <v>65</v>
      </c>
      <c r="E797" s="7">
        <v>82</v>
      </c>
      <c r="F797" s="8">
        <v>56</v>
      </c>
      <c r="G797" s="45">
        <v>474</v>
      </c>
      <c r="H797" s="19">
        <v>79</v>
      </c>
    </row>
    <row r="798" spans="1:8" x14ac:dyDescent="0.35">
      <c r="A798" s="3">
        <v>59</v>
      </c>
      <c r="B798" s="4">
        <v>66</v>
      </c>
      <c r="C798" s="5">
        <v>70</v>
      </c>
      <c r="D798" s="6">
        <v>44</v>
      </c>
      <c r="E798" s="7">
        <v>55</v>
      </c>
      <c r="F798" s="8">
        <v>41</v>
      </c>
      <c r="G798" s="1">
        <v>335</v>
      </c>
      <c r="H798" s="19">
        <v>55.83</v>
      </c>
    </row>
    <row r="799" spans="1:8" x14ac:dyDescent="0.35">
      <c r="A799" s="3">
        <v>54</v>
      </c>
      <c r="B799" s="4">
        <v>66</v>
      </c>
      <c r="C799" s="41">
        <v>70</v>
      </c>
      <c r="D799" s="6">
        <v>44</v>
      </c>
      <c r="E799" s="7">
        <v>55</v>
      </c>
      <c r="F799" s="8">
        <v>46</v>
      </c>
      <c r="G799" s="45">
        <v>335</v>
      </c>
      <c r="H799" s="19">
        <v>55.83</v>
      </c>
    </row>
    <row r="800" spans="1:8" x14ac:dyDescent="0.35">
      <c r="A800" s="3">
        <v>49</v>
      </c>
      <c r="B800" s="4">
        <v>66</v>
      </c>
      <c r="C800" s="5">
        <v>70</v>
      </c>
      <c r="D800" s="6">
        <v>44</v>
      </c>
      <c r="E800" s="7">
        <v>55</v>
      </c>
      <c r="F800" s="8">
        <v>51</v>
      </c>
      <c r="G800" s="1">
        <v>335</v>
      </c>
      <c r="H800" s="19">
        <v>55.83</v>
      </c>
    </row>
    <row r="801" spans="1:8" x14ac:dyDescent="0.35">
      <c r="A801" s="3">
        <v>44</v>
      </c>
      <c r="B801" s="4">
        <v>66</v>
      </c>
      <c r="C801" s="41">
        <v>70</v>
      </c>
      <c r="D801" s="6">
        <v>44</v>
      </c>
      <c r="E801" s="7">
        <v>55</v>
      </c>
      <c r="F801" s="8">
        <v>56</v>
      </c>
      <c r="G801" s="45">
        <v>335</v>
      </c>
      <c r="H801" s="19">
        <v>55.83</v>
      </c>
    </row>
    <row r="802" spans="1:8" x14ac:dyDescent="0.35">
      <c r="A802" s="3">
        <v>85</v>
      </c>
      <c r="B802" s="4">
        <v>100</v>
      </c>
      <c r="C802" s="5">
        <v>122</v>
      </c>
      <c r="D802" s="6">
        <v>58</v>
      </c>
      <c r="E802" s="7">
        <v>75</v>
      </c>
      <c r="F802" s="8">
        <v>54</v>
      </c>
      <c r="G802" s="1">
        <v>494</v>
      </c>
      <c r="H802" s="19">
        <v>82.33</v>
      </c>
    </row>
    <row r="803" spans="1:8" x14ac:dyDescent="0.35">
      <c r="A803" s="3">
        <v>75</v>
      </c>
      <c r="B803" s="4">
        <v>95</v>
      </c>
      <c r="C803" s="41">
        <v>122</v>
      </c>
      <c r="D803" s="6">
        <v>58</v>
      </c>
      <c r="E803" s="7">
        <v>75</v>
      </c>
      <c r="F803" s="8">
        <v>69</v>
      </c>
      <c r="G803" s="45">
        <v>494</v>
      </c>
      <c r="H803" s="19">
        <v>82.33</v>
      </c>
    </row>
    <row r="804" spans="1:8" x14ac:dyDescent="0.35">
      <c r="A804" s="3">
        <v>65</v>
      </c>
      <c r="B804" s="4">
        <v>90</v>
      </c>
      <c r="C804" s="5">
        <v>122</v>
      </c>
      <c r="D804" s="6">
        <v>58</v>
      </c>
      <c r="E804" s="7">
        <v>75</v>
      </c>
      <c r="F804" s="8">
        <v>84</v>
      </c>
      <c r="G804" s="1">
        <v>494</v>
      </c>
      <c r="H804" s="19">
        <v>82.33</v>
      </c>
    </row>
    <row r="805" spans="1:8" x14ac:dyDescent="0.35">
      <c r="A805" s="3">
        <v>55</v>
      </c>
      <c r="B805" s="4">
        <v>85</v>
      </c>
      <c r="C805" s="41">
        <v>122</v>
      </c>
      <c r="D805" s="6">
        <v>58</v>
      </c>
      <c r="E805" s="7">
        <v>75</v>
      </c>
      <c r="F805" s="8">
        <v>99</v>
      </c>
      <c r="G805" s="45">
        <v>494</v>
      </c>
      <c r="H805" s="19">
        <v>82.33</v>
      </c>
    </row>
    <row r="806" spans="1:8" x14ac:dyDescent="0.35">
      <c r="A806" s="3">
        <v>55</v>
      </c>
      <c r="B806" s="4">
        <v>69</v>
      </c>
      <c r="C806" s="5">
        <v>85</v>
      </c>
      <c r="D806" s="6">
        <v>32</v>
      </c>
      <c r="E806" s="7">
        <v>35</v>
      </c>
      <c r="F806" s="8">
        <v>28</v>
      </c>
      <c r="G806" s="1">
        <v>304</v>
      </c>
      <c r="H806" s="19">
        <v>50.67</v>
      </c>
    </row>
    <row r="807" spans="1:8" x14ac:dyDescent="0.35">
      <c r="A807" s="3">
        <v>95</v>
      </c>
      <c r="B807" s="4">
        <v>117</v>
      </c>
      <c r="C807" s="41">
        <v>184</v>
      </c>
      <c r="D807" s="6">
        <v>44</v>
      </c>
      <c r="E807" s="7">
        <v>46</v>
      </c>
      <c r="F807" s="8">
        <v>28</v>
      </c>
      <c r="G807" s="45">
        <v>514</v>
      </c>
      <c r="H807" s="19">
        <v>85.67</v>
      </c>
    </row>
    <row r="808" spans="1:8" x14ac:dyDescent="0.35">
      <c r="A808" s="3">
        <v>40</v>
      </c>
      <c r="B808" s="4">
        <v>30</v>
      </c>
      <c r="C808" s="5">
        <v>35</v>
      </c>
      <c r="D808" s="6">
        <v>45</v>
      </c>
      <c r="E808" s="7">
        <v>40</v>
      </c>
      <c r="F808" s="8">
        <v>55</v>
      </c>
      <c r="G808" s="1">
        <v>245</v>
      </c>
      <c r="H808" s="19">
        <v>40.83</v>
      </c>
    </row>
    <row r="809" spans="1:8" x14ac:dyDescent="0.35">
      <c r="A809" s="3">
        <v>85</v>
      </c>
      <c r="B809" s="4">
        <v>70</v>
      </c>
      <c r="C809" s="41">
        <v>80</v>
      </c>
      <c r="D809" s="6">
        <v>97</v>
      </c>
      <c r="E809" s="7">
        <v>80</v>
      </c>
      <c r="F809" s="8">
        <v>123</v>
      </c>
      <c r="G809" s="45">
        <v>535</v>
      </c>
      <c r="H809" s="19">
        <v>89.17</v>
      </c>
    </row>
    <row r="810" spans="1:8" x14ac:dyDescent="0.35">
      <c r="A810" s="3">
        <v>126</v>
      </c>
      <c r="B810" s="4">
        <v>131</v>
      </c>
      <c r="C810" s="5">
        <v>95</v>
      </c>
      <c r="D810" s="6">
        <v>131</v>
      </c>
      <c r="E810" s="7">
        <v>98</v>
      </c>
      <c r="F810" s="8">
        <v>99</v>
      </c>
      <c r="G810" s="1">
        <v>680</v>
      </c>
      <c r="H810" s="19">
        <v>113.33</v>
      </c>
    </row>
    <row r="811" spans="1:8" x14ac:dyDescent="0.35">
      <c r="A811" s="3">
        <v>126</v>
      </c>
      <c r="B811" s="4">
        <v>131</v>
      </c>
      <c r="C811" s="41">
        <v>95</v>
      </c>
      <c r="D811" s="6">
        <v>131</v>
      </c>
      <c r="E811" s="7">
        <v>98</v>
      </c>
      <c r="F811" s="8">
        <v>99</v>
      </c>
      <c r="G811" s="45">
        <v>680</v>
      </c>
      <c r="H811" s="19">
        <v>113.33</v>
      </c>
    </row>
    <row r="812" spans="1:8" x14ac:dyDescent="0.35">
      <c r="A812" s="3">
        <v>108</v>
      </c>
      <c r="B812" s="4">
        <v>100</v>
      </c>
      <c r="C812" s="5">
        <v>121</v>
      </c>
      <c r="D812" s="6">
        <v>81</v>
      </c>
      <c r="E812" s="7">
        <v>95</v>
      </c>
      <c r="F812" s="8">
        <v>95</v>
      </c>
      <c r="G812" s="1">
        <v>600</v>
      </c>
      <c r="H812" s="19">
        <v>100</v>
      </c>
    </row>
    <row r="813" spans="1:8" x14ac:dyDescent="0.35">
      <c r="A813" s="3">
        <v>50</v>
      </c>
      <c r="B813" s="4">
        <v>160</v>
      </c>
      <c r="C813" s="41">
        <v>110</v>
      </c>
      <c r="D813" s="6">
        <v>160</v>
      </c>
      <c r="E813" s="7">
        <v>110</v>
      </c>
      <c r="F813" s="8">
        <v>110</v>
      </c>
      <c r="G813" s="45">
        <v>700</v>
      </c>
      <c r="H813" s="19">
        <v>116.67</v>
      </c>
    </row>
    <row r="814" spans="1:8" x14ac:dyDescent="0.35">
      <c r="A814" s="3">
        <v>50</v>
      </c>
      <c r="B814" s="4">
        <v>100</v>
      </c>
      <c r="C814" s="5">
        <v>150</v>
      </c>
      <c r="D814" s="6">
        <v>100</v>
      </c>
      <c r="E814" s="7">
        <v>150</v>
      </c>
      <c r="F814" s="8">
        <v>50</v>
      </c>
      <c r="G814" s="1">
        <v>600</v>
      </c>
      <c r="H814" s="19">
        <v>100</v>
      </c>
    </row>
    <row r="815" spans="1:8" x14ac:dyDescent="0.35">
      <c r="A815" s="3">
        <v>80</v>
      </c>
      <c r="B815" s="4">
        <v>160</v>
      </c>
      <c r="C815" s="41">
        <v>60</v>
      </c>
      <c r="D815" s="6">
        <v>170</v>
      </c>
      <c r="E815" s="7">
        <v>130</v>
      </c>
      <c r="F815" s="8">
        <v>80</v>
      </c>
      <c r="G815" s="45">
        <v>680</v>
      </c>
      <c r="H815" s="19">
        <v>113.33</v>
      </c>
    </row>
    <row r="816" spans="1:8" x14ac:dyDescent="0.35">
      <c r="A816" s="3">
        <v>80</v>
      </c>
      <c r="B816" s="4">
        <v>110</v>
      </c>
      <c r="C816" s="5">
        <v>60</v>
      </c>
      <c r="D816" s="6">
        <v>150</v>
      </c>
      <c r="E816" s="7">
        <v>130</v>
      </c>
      <c r="F816" s="8">
        <v>70</v>
      </c>
      <c r="G816" s="1">
        <v>600</v>
      </c>
      <c r="H816" s="19">
        <v>100</v>
      </c>
    </row>
    <row r="817" spans="1:8" x14ac:dyDescent="0.35">
      <c r="A817" s="3">
        <v>80</v>
      </c>
      <c r="B817" s="4">
        <v>110</v>
      </c>
      <c r="C817" s="41">
        <v>120</v>
      </c>
      <c r="D817" s="6">
        <v>130</v>
      </c>
      <c r="E817" s="7">
        <v>90</v>
      </c>
      <c r="F817" s="8">
        <v>70</v>
      </c>
      <c r="G817" s="45">
        <v>600</v>
      </c>
      <c r="H817" s="19">
        <v>100</v>
      </c>
    </row>
    <row r="818" spans="1:8" x14ac:dyDescent="0.35">
      <c r="A818" s="3">
        <v>68</v>
      </c>
      <c r="B818" s="4">
        <v>55</v>
      </c>
      <c r="C818" s="5">
        <v>55</v>
      </c>
      <c r="D818" s="6">
        <v>50</v>
      </c>
      <c r="E818" s="7">
        <v>50</v>
      </c>
      <c r="F818" s="8">
        <v>42</v>
      </c>
      <c r="G818" s="1">
        <v>320</v>
      </c>
      <c r="H818" s="19">
        <v>53.33</v>
      </c>
    </row>
    <row r="819" spans="1:8" x14ac:dyDescent="0.35">
      <c r="A819" s="3">
        <v>78</v>
      </c>
      <c r="B819" s="4">
        <v>75</v>
      </c>
      <c r="C819" s="41">
        <v>75</v>
      </c>
      <c r="D819" s="6">
        <v>70</v>
      </c>
      <c r="E819" s="7">
        <v>70</v>
      </c>
      <c r="F819" s="8">
        <v>52</v>
      </c>
      <c r="G819" s="45">
        <v>420</v>
      </c>
      <c r="H819" s="19">
        <v>70</v>
      </c>
    </row>
    <row r="820" spans="1:8" x14ac:dyDescent="0.35">
      <c r="A820" s="3">
        <v>78</v>
      </c>
      <c r="B820" s="4">
        <v>107</v>
      </c>
      <c r="C820" s="5">
        <v>75</v>
      </c>
      <c r="D820" s="6">
        <v>100</v>
      </c>
      <c r="E820" s="7">
        <v>100</v>
      </c>
      <c r="F820" s="8">
        <v>70</v>
      </c>
      <c r="G820" s="1">
        <v>530</v>
      </c>
      <c r="H820" s="19">
        <v>88.33</v>
      </c>
    </row>
    <row r="821" spans="1:8" x14ac:dyDescent="0.35">
      <c r="A821" s="39">
        <v>45</v>
      </c>
      <c r="B821" s="40">
        <v>65</v>
      </c>
      <c r="C821" s="41">
        <v>40</v>
      </c>
      <c r="D821" s="42">
        <v>60</v>
      </c>
      <c r="E821" s="43">
        <v>40</v>
      </c>
      <c r="F821" s="44">
        <v>70</v>
      </c>
      <c r="G821" s="45">
        <v>320</v>
      </c>
      <c r="H821" s="19">
        <v>53.33</v>
      </c>
    </row>
    <row r="822" spans="1:8" x14ac:dyDescent="0.35">
      <c r="A822" s="39">
        <v>65</v>
      </c>
      <c r="B822" s="40">
        <v>85</v>
      </c>
      <c r="C822" s="41">
        <v>50</v>
      </c>
      <c r="D822" s="42">
        <v>80</v>
      </c>
      <c r="E822" s="43">
        <v>50</v>
      </c>
      <c r="F822" s="44">
        <v>90</v>
      </c>
      <c r="G822" s="45">
        <v>420</v>
      </c>
      <c r="H822" s="19">
        <v>70</v>
      </c>
    </row>
    <row r="823" spans="1:8" x14ac:dyDescent="0.35">
      <c r="A823" s="39">
        <v>95</v>
      </c>
      <c r="B823" s="40">
        <v>115</v>
      </c>
      <c r="C823" s="41">
        <v>90</v>
      </c>
      <c r="D823" s="42">
        <v>80</v>
      </c>
      <c r="E823" s="43">
        <v>90</v>
      </c>
      <c r="F823" s="44">
        <v>60</v>
      </c>
      <c r="G823" s="45">
        <v>530</v>
      </c>
      <c r="H823" s="19">
        <v>88.33</v>
      </c>
    </row>
    <row r="824" spans="1:8" x14ac:dyDescent="0.35">
      <c r="A824" s="39">
        <v>50</v>
      </c>
      <c r="B824" s="40">
        <v>54</v>
      </c>
      <c r="C824" s="41">
        <v>54</v>
      </c>
      <c r="D824" s="42">
        <v>66</v>
      </c>
      <c r="E824" s="43">
        <v>56</v>
      </c>
      <c r="F824" s="44">
        <v>40</v>
      </c>
      <c r="G824" s="45">
        <v>320</v>
      </c>
      <c r="H824" s="19">
        <v>53.33</v>
      </c>
    </row>
    <row r="825" spans="1:8" x14ac:dyDescent="0.35">
      <c r="A825" s="39">
        <v>60</v>
      </c>
      <c r="B825" s="40">
        <v>69</v>
      </c>
      <c r="C825" s="41">
        <v>69</v>
      </c>
      <c r="D825" s="42">
        <v>91</v>
      </c>
      <c r="E825" s="43">
        <v>81</v>
      </c>
      <c r="F825" s="44">
        <v>50</v>
      </c>
      <c r="G825" s="45">
        <v>420</v>
      </c>
      <c r="H825" s="19">
        <v>70</v>
      </c>
    </row>
    <row r="826" spans="1:8" x14ac:dyDescent="0.35">
      <c r="A826" s="39">
        <v>80</v>
      </c>
      <c r="B826" s="40">
        <v>74</v>
      </c>
      <c r="C826" s="41">
        <v>74</v>
      </c>
      <c r="D826" s="42">
        <v>126</v>
      </c>
      <c r="E826" s="43">
        <v>116</v>
      </c>
      <c r="F826" s="44">
        <v>60</v>
      </c>
      <c r="G826" s="45">
        <v>530</v>
      </c>
      <c r="H826" s="19">
        <v>88.33</v>
      </c>
    </row>
    <row r="827" spans="1:8" x14ac:dyDescent="0.35">
      <c r="A827" s="39">
        <v>35</v>
      </c>
      <c r="B827" s="40">
        <v>75</v>
      </c>
      <c r="C827" s="41">
        <v>30</v>
      </c>
      <c r="D827" s="42">
        <v>30</v>
      </c>
      <c r="E827" s="43">
        <v>30</v>
      </c>
      <c r="F827" s="44">
        <v>65</v>
      </c>
      <c r="G827" s="45">
        <v>265</v>
      </c>
      <c r="H827" s="19">
        <v>44.17</v>
      </c>
    </row>
    <row r="828" spans="1:8" x14ac:dyDescent="0.35">
      <c r="A828" s="39">
        <v>55</v>
      </c>
      <c r="B828" s="40">
        <v>85</v>
      </c>
      <c r="C828" s="41">
        <v>50</v>
      </c>
      <c r="D828" s="42">
        <v>40</v>
      </c>
      <c r="E828" s="43">
        <v>50</v>
      </c>
      <c r="F828" s="44">
        <v>75</v>
      </c>
      <c r="G828" s="45">
        <v>355</v>
      </c>
      <c r="H828" s="19">
        <v>59.17</v>
      </c>
    </row>
    <row r="829" spans="1:8" x14ac:dyDescent="0.35">
      <c r="A829" s="39">
        <v>80</v>
      </c>
      <c r="B829" s="40">
        <v>120</v>
      </c>
      <c r="C829" s="41">
        <v>75</v>
      </c>
      <c r="D829" s="42">
        <v>75</v>
      </c>
      <c r="E829" s="43">
        <v>75</v>
      </c>
      <c r="F829" s="44">
        <v>60</v>
      </c>
      <c r="G829" s="45">
        <v>485</v>
      </c>
      <c r="H829" s="19">
        <v>80.83</v>
      </c>
    </row>
    <row r="830" spans="1:8" x14ac:dyDescent="0.35">
      <c r="A830" s="39">
        <v>48</v>
      </c>
      <c r="B830" s="40">
        <v>70</v>
      </c>
      <c r="C830" s="41">
        <v>30</v>
      </c>
      <c r="D830" s="42">
        <v>30</v>
      </c>
      <c r="E830" s="43">
        <v>30</v>
      </c>
      <c r="F830" s="44">
        <v>45</v>
      </c>
      <c r="G830" s="45">
        <v>253</v>
      </c>
      <c r="H830" s="19">
        <v>42.17</v>
      </c>
    </row>
    <row r="831" spans="1:8" x14ac:dyDescent="0.35">
      <c r="A831" s="39">
        <v>88</v>
      </c>
      <c r="B831" s="40">
        <v>110</v>
      </c>
      <c r="C831" s="41">
        <v>60</v>
      </c>
      <c r="D831" s="42">
        <v>55</v>
      </c>
      <c r="E831" s="43">
        <v>60</v>
      </c>
      <c r="F831" s="44">
        <v>45</v>
      </c>
      <c r="G831" s="45">
        <v>418</v>
      </c>
      <c r="H831" s="19">
        <v>69.67</v>
      </c>
    </row>
    <row r="832" spans="1:8" x14ac:dyDescent="0.35">
      <c r="A832" s="39">
        <v>47</v>
      </c>
      <c r="B832" s="40">
        <v>62</v>
      </c>
      <c r="C832" s="41">
        <v>45</v>
      </c>
      <c r="D832" s="42">
        <v>55</v>
      </c>
      <c r="E832" s="43">
        <v>45</v>
      </c>
      <c r="F832" s="44">
        <v>46</v>
      </c>
      <c r="G832" s="45">
        <v>300</v>
      </c>
      <c r="H832" s="19">
        <v>50</v>
      </c>
    </row>
    <row r="833" spans="1:8" x14ac:dyDescent="0.35">
      <c r="A833" s="39">
        <v>57</v>
      </c>
      <c r="B833" s="40">
        <v>82</v>
      </c>
      <c r="C833" s="41">
        <v>95</v>
      </c>
      <c r="D833" s="42">
        <v>55</v>
      </c>
      <c r="E833" s="43">
        <v>75</v>
      </c>
      <c r="F833" s="44">
        <v>36</v>
      </c>
      <c r="G833" s="45">
        <v>400</v>
      </c>
      <c r="H833" s="19">
        <v>66.67</v>
      </c>
    </row>
    <row r="834" spans="1:8" x14ac:dyDescent="0.35">
      <c r="A834" s="39">
        <v>77</v>
      </c>
      <c r="B834" s="40">
        <v>70</v>
      </c>
      <c r="C834" s="41">
        <v>90</v>
      </c>
      <c r="D834" s="42">
        <v>145</v>
      </c>
      <c r="E834" s="43">
        <v>75</v>
      </c>
      <c r="F834" s="44">
        <v>43</v>
      </c>
      <c r="G834" s="45">
        <v>500</v>
      </c>
      <c r="H834" s="19">
        <v>83.33</v>
      </c>
    </row>
    <row r="835" spans="1:8" x14ac:dyDescent="0.35">
      <c r="A835" s="39">
        <v>47</v>
      </c>
      <c r="B835" s="40">
        <v>82</v>
      </c>
      <c r="C835" s="41">
        <v>57</v>
      </c>
      <c r="D835" s="42">
        <v>42</v>
      </c>
      <c r="E835" s="43">
        <v>47</v>
      </c>
      <c r="F835" s="44">
        <v>63</v>
      </c>
      <c r="G835" s="45">
        <v>338</v>
      </c>
      <c r="H835" s="19">
        <v>56.33</v>
      </c>
    </row>
    <row r="836" spans="1:8" x14ac:dyDescent="0.35">
      <c r="A836" s="39">
        <v>97</v>
      </c>
      <c r="B836" s="40">
        <v>132</v>
      </c>
      <c r="C836" s="41">
        <v>77</v>
      </c>
      <c r="D836" s="42">
        <v>62</v>
      </c>
      <c r="E836" s="43">
        <v>67</v>
      </c>
      <c r="F836" s="44">
        <v>43</v>
      </c>
      <c r="G836" s="45">
        <v>478</v>
      </c>
      <c r="H836" s="19">
        <v>79.67</v>
      </c>
    </row>
    <row r="837" spans="1:8" x14ac:dyDescent="0.35">
      <c r="A837" s="39">
        <v>75</v>
      </c>
      <c r="B837" s="40">
        <v>70</v>
      </c>
      <c r="C837" s="41">
        <v>70</v>
      </c>
      <c r="D837" s="42">
        <v>98</v>
      </c>
      <c r="E837" s="43">
        <v>70</v>
      </c>
      <c r="F837" s="44">
        <v>93</v>
      </c>
      <c r="G837" s="45">
        <v>476</v>
      </c>
      <c r="H837" s="19">
        <v>79.33</v>
      </c>
    </row>
    <row r="838" spans="1:8" x14ac:dyDescent="0.35">
      <c r="A838" s="39">
        <v>75</v>
      </c>
      <c r="B838" s="40">
        <v>70</v>
      </c>
      <c r="C838" s="41">
        <v>70</v>
      </c>
      <c r="D838" s="42">
        <v>98</v>
      </c>
      <c r="E838" s="43">
        <v>70</v>
      </c>
      <c r="F838" s="44">
        <v>93</v>
      </c>
      <c r="G838" s="45">
        <v>476</v>
      </c>
      <c r="H838" s="19">
        <v>79.33</v>
      </c>
    </row>
    <row r="839" spans="1:8" x14ac:dyDescent="0.35">
      <c r="A839" s="39">
        <v>75</v>
      </c>
      <c r="B839" s="40">
        <v>70</v>
      </c>
      <c r="C839" s="41">
        <v>70</v>
      </c>
      <c r="D839" s="42">
        <v>98</v>
      </c>
      <c r="E839" s="43">
        <v>70</v>
      </c>
      <c r="F839" s="44">
        <v>93</v>
      </c>
      <c r="G839" s="45">
        <v>476</v>
      </c>
      <c r="H839" s="19">
        <v>79.33</v>
      </c>
    </row>
    <row r="840" spans="1:8" x14ac:dyDescent="0.35">
      <c r="A840" s="39">
        <v>75</v>
      </c>
      <c r="B840" s="40">
        <v>70</v>
      </c>
      <c r="C840" s="41">
        <v>70</v>
      </c>
      <c r="D840" s="42">
        <v>98</v>
      </c>
      <c r="E840" s="43">
        <v>70</v>
      </c>
      <c r="F840" s="44">
        <v>93</v>
      </c>
      <c r="G840" s="45">
        <v>476</v>
      </c>
      <c r="H840" s="19">
        <v>79.33</v>
      </c>
    </row>
    <row r="841" spans="1:8" x14ac:dyDescent="0.35">
      <c r="A841" s="39">
        <v>40</v>
      </c>
      <c r="B841" s="40">
        <v>45</v>
      </c>
      <c r="C841" s="41">
        <v>40</v>
      </c>
      <c r="D841" s="42">
        <v>55</v>
      </c>
      <c r="E841" s="43">
        <v>40</v>
      </c>
      <c r="F841" s="44">
        <v>84</v>
      </c>
      <c r="G841" s="45">
        <v>304</v>
      </c>
      <c r="H841" s="19">
        <v>50.67</v>
      </c>
    </row>
    <row r="842" spans="1:8" x14ac:dyDescent="0.35">
      <c r="A842" s="39">
        <v>60</v>
      </c>
      <c r="B842" s="40">
        <v>55</v>
      </c>
      <c r="C842" s="41">
        <v>60</v>
      </c>
      <c r="D842" s="42">
        <v>95</v>
      </c>
      <c r="E842" s="43">
        <v>70</v>
      </c>
      <c r="F842" s="44">
        <v>124</v>
      </c>
      <c r="G842" s="45">
        <v>464</v>
      </c>
      <c r="H842" s="19">
        <v>77.33</v>
      </c>
    </row>
    <row r="843" spans="1:8" x14ac:dyDescent="0.35">
      <c r="A843" s="39">
        <v>45</v>
      </c>
      <c r="B843" s="40">
        <v>65</v>
      </c>
      <c r="C843" s="41">
        <v>40</v>
      </c>
      <c r="D843" s="42">
        <v>30</v>
      </c>
      <c r="E843" s="43">
        <v>40</v>
      </c>
      <c r="F843" s="44">
        <v>60</v>
      </c>
      <c r="G843" s="45">
        <v>280</v>
      </c>
      <c r="H843" s="19">
        <v>46.67</v>
      </c>
    </row>
    <row r="844" spans="1:8" x14ac:dyDescent="0.35">
      <c r="A844" s="39">
        <v>75</v>
      </c>
      <c r="B844" s="40">
        <v>115</v>
      </c>
      <c r="C844" s="41">
        <v>65</v>
      </c>
      <c r="D844" s="42">
        <v>55</v>
      </c>
      <c r="E844" s="43">
        <v>65</v>
      </c>
      <c r="F844" s="44">
        <v>112</v>
      </c>
      <c r="G844" s="45">
        <v>487</v>
      </c>
      <c r="H844" s="19">
        <v>81.17</v>
      </c>
    </row>
    <row r="845" spans="1:8" x14ac:dyDescent="0.35">
      <c r="A845" s="39">
        <v>45</v>
      </c>
      <c r="B845" s="40">
        <v>20</v>
      </c>
      <c r="C845" s="41">
        <v>20</v>
      </c>
      <c r="D845" s="42">
        <v>25</v>
      </c>
      <c r="E845" s="43">
        <v>25</v>
      </c>
      <c r="F845" s="44">
        <v>40</v>
      </c>
      <c r="G845" s="45">
        <v>175</v>
      </c>
      <c r="H845" s="19">
        <v>29.17</v>
      </c>
    </row>
    <row r="846" spans="1:8" x14ac:dyDescent="0.35">
      <c r="A846" s="39">
        <v>45</v>
      </c>
      <c r="B846" s="40">
        <v>140</v>
      </c>
      <c r="C846" s="41">
        <v>130</v>
      </c>
      <c r="D846" s="42">
        <v>140</v>
      </c>
      <c r="E846" s="43">
        <v>135</v>
      </c>
      <c r="F846" s="44">
        <v>30</v>
      </c>
      <c r="G846" s="45">
        <v>620</v>
      </c>
      <c r="H846" s="19">
        <v>103.33</v>
      </c>
    </row>
    <row r="847" spans="1:8" x14ac:dyDescent="0.35">
      <c r="A847" s="39">
        <v>50</v>
      </c>
      <c r="B847" s="40">
        <v>53</v>
      </c>
      <c r="C847" s="41">
        <v>62</v>
      </c>
      <c r="D847" s="42">
        <v>43</v>
      </c>
      <c r="E847" s="43">
        <v>52</v>
      </c>
      <c r="F847" s="44">
        <v>45</v>
      </c>
      <c r="G847" s="45">
        <v>305</v>
      </c>
      <c r="H847" s="19">
        <v>50.83</v>
      </c>
    </row>
    <row r="848" spans="1:8" x14ac:dyDescent="0.35">
      <c r="A848" s="39">
        <v>50</v>
      </c>
      <c r="B848" s="40">
        <v>63</v>
      </c>
      <c r="C848" s="41">
        <v>152</v>
      </c>
      <c r="D848" s="42">
        <v>53</v>
      </c>
      <c r="E848" s="43">
        <v>142</v>
      </c>
      <c r="F848" s="44">
        <v>35</v>
      </c>
      <c r="G848" s="45">
        <v>495</v>
      </c>
      <c r="H848" s="19">
        <v>82.5</v>
      </c>
    </row>
    <row r="849" spans="1:8" x14ac:dyDescent="0.35">
      <c r="A849" s="39">
        <v>70</v>
      </c>
      <c r="B849" s="40">
        <v>100</v>
      </c>
      <c r="C849" s="41">
        <v>70</v>
      </c>
      <c r="D849" s="42">
        <v>45</v>
      </c>
      <c r="E849" s="43">
        <v>55</v>
      </c>
      <c r="F849" s="44">
        <v>45</v>
      </c>
      <c r="G849" s="45">
        <v>385</v>
      </c>
      <c r="H849" s="19">
        <v>64.17</v>
      </c>
    </row>
    <row r="850" spans="1:8" x14ac:dyDescent="0.35">
      <c r="A850" s="39">
        <v>100</v>
      </c>
      <c r="B850" s="40">
        <v>125</v>
      </c>
      <c r="C850" s="41">
        <v>100</v>
      </c>
      <c r="D850" s="42">
        <v>55</v>
      </c>
      <c r="E850" s="43">
        <v>85</v>
      </c>
      <c r="F850" s="44">
        <v>35</v>
      </c>
      <c r="G850" s="45">
        <v>500</v>
      </c>
      <c r="H850" s="19">
        <v>83.33</v>
      </c>
    </row>
    <row r="851" spans="1:8" x14ac:dyDescent="0.35">
      <c r="A851" s="39">
        <v>38</v>
      </c>
      <c r="B851" s="40">
        <v>40</v>
      </c>
      <c r="C851" s="41">
        <v>52</v>
      </c>
      <c r="D851" s="42">
        <v>40</v>
      </c>
      <c r="E851" s="43">
        <v>72</v>
      </c>
      <c r="F851" s="44">
        <v>27</v>
      </c>
      <c r="G851" s="45">
        <v>269</v>
      </c>
      <c r="H851" s="19">
        <v>44.83</v>
      </c>
    </row>
    <row r="852" spans="1:8" x14ac:dyDescent="0.35">
      <c r="A852" s="39">
        <v>68</v>
      </c>
      <c r="B852" s="40">
        <v>70</v>
      </c>
      <c r="C852" s="41">
        <v>92</v>
      </c>
      <c r="D852" s="42">
        <v>50</v>
      </c>
      <c r="E852" s="43">
        <v>132</v>
      </c>
      <c r="F852" s="44">
        <v>42</v>
      </c>
      <c r="G852" s="45">
        <v>454</v>
      </c>
      <c r="H852" s="19">
        <v>75.67</v>
      </c>
    </row>
    <row r="853" spans="1:8" x14ac:dyDescent="0.35">
      <c r="A853" s="39">
        <v>40</v>
      </c>
      <c r="B853" s="40">
        <v>55</v>
      </c>
      <c r="C853" s="41">
        <v>35</v>
      </c>
      <c r="D853" s="42">
        <v>50</v>
      </c>
      <c r="E853" s="43">
        <v>35</v>
      </c>
      <c r="F853" s="44">
        <v>35</v>
      </c>
      <c r="G853" s="45">
        <v>250</v>
      </c>
      <c r="H853" s="19">
        <v>41.67</v>
      </c>
    </row>
    <row r="854" spans="1:8" x14ac:dyDescent="0.35">
      <c r="A854" s="39">
        <v>70</v>
      </c>
      <c r="B854" s="40">
        <v>105</v>
      </c>
      <c r="C854" s="41">
        <v>90</v>
      </c>
      <c r="D854" s="42">
        <v>80</v>
      </c>
      <c r="E854" s="43">
        <v>90</v>
      </c>
      <c r="F854" s="44">
        <v>45</v>
      </c>
      <c r="G854" s="45">
        <v>480</v>
      </c>
      <c r="H854" s="19">
        <v>80</v>
      </c>
    </row>
    <row r="855" spans="1:8" x14ac:dyDescent="0.35">
      <c r="A855" s="39">
        <v>40</v>
      </c>
      <c r="B855" s="40">
        <v>35</v>
      </c>
      <c r="C855" s="41">
        <v>55</v>
      </c>
      <c r="D855" s="42">
        <v>65</v>
      </c>
      <c r="E855" s="43">
        <v>75</v>
      </c>
      <c r="F855" s="44">
        <v>15</v>
      </c>
      <c r="G855" s="45">
        <v>285</v>
      </c>
      <c r="H855" s="19">
        <v>47.5</v>
      </c>
    </row>
    <row r="856" spans="1:8" x14ac:dyDescent="0.35">
      <c r="A856" s="39">
        <v>60</v>
      </c>
      <c r="B856" s="40">
        <v>45</v>
      </c>
      <c r="C856" s="41">
        <v>80</v>
      </c>
      <c r="D856" s="42">
        <v>90</v>
      </c>
      <c r="E856" s="43">
        <v>100</v>
      </c>
      <c r="F856" s="44">
        <v>30</v>
      </c>
      <c r="G856" s="45">
        <v>405</v>
      </c>
      <c r="H856" s="19">
        <v>67.5</v>
      </c>
    </row>
    <row r="857" spans="1:8" x14ac:dyDescent="0.35">
      <c r="A857" s="39">
        <v>48</v>
      </c>
      <c r="B857" s="40">
        <v>44</v>
      </c>
      <c r="C857" s="41">
        <v>40</v>
      </c>
      <c r="D857" s="42">
        <v>71</v>
      </c>
      <c r="E857" s="43">
        <v>40</v>
      </c>
      <c r="F857" s="44">
        <v>77</v>
      </c>
      <c r="G857" s="45">
        <v>320</v>
      </c>
      <c r="H857" s="19">
        <v>53.33</v>
      </c>
    </row>
    <row r="858" spans="1:8" x14ac:dyDescent="0.35">
      <c r="A858" s="39">
        <v>68</v>
      </c>
      <c r="B858" s="40">
        <v>64</v>
      </c>
      <c r="C858" s="41">
        <v>60</v>
      </c>
      <c r="D858" s="42">
        <v>111</v>
      </c>
      <c r="E858" s="43">
        <v>60</v>
      </c>
      <c r="F858" s="44">
        <v>117</v>
      </c>
      <c r="G858" s="45">
        <v>480</v>
      </c>
      <c r="H858" s="19">
        <v>80</v>
      </c>
    </row>
    <row r="859" spans="1:8" x14ac:dyDescent="0.35">
      <c r="A859" s="39">
        <v>70</v>
      </c>
      <c r="B859" s="40">
        <v>75</v>
      </c>
      <c r="C859" s="41">
        <v>50</v>
      </c>
      <c r="D859" s="42">
        <v>45</v>
      </c>
      <c r="E859" s="43">
        <v>50</v>
      </c>
      <c r="F859" s="44">
        <v>50</v>
      </c>
      <c r="G859" s="45">
        <v>340</v>
      </c>
      <c r="H859" s="19">
        <v>56.67</v>
      </c>
    </row>
    <row r="860" spans="1:8" x14ac:dyDescent="0.35">
      <c r="A860" s="39">
        <v>120</v>
      </c>
      <c r="B860" s="40">
        <v>125</v>
      </c>
      <c r="C860" s="41">
        <v>80</v>
      </c>
      <c r="D860" s="42">
        <v>55</v>
      </c>
      <c r="E860" s="43">
        <v>60</v>
      </c>
      <c r="F860" s="44">
        <v>60</v>
      </c>
      <c r="G860" s="45">
        <v>500</v>
      </c>
      <c r="H860" s="19">
        <v>83.33</v>
      </c>
    </row>
    <row r="861" spans="1:8" x14ac:dyDescent="0.35">
      <c r="A861" s="39">
        <v>42</v>
      </c>
      <c r="B861" s="40">
        <v>30</v>
      </c>
      <c r="C861" s="41">
        <v>38</v>
      </c>
      <c r="D861" s="42">
        <v>30</v>
      </c>
      <c r="E861" s="43">
        <v>38</v>
      </c>
      <c r="F861" s="44">
        <v>32</v>
      </c>
      <c r="G861" s="45">
        <v>210</v>
      </c>
      <c r="H861" s="19">
        <v>35</v>
      </c>
    </row>
    <row r="862" spans="1:8" x14ac:dyDescent="0.35">
      <c r="A862" s="39">
        <v>52</v>
      </c>
      <c r="B862" s="40">
        <v>40</v>
      </c>
      <c r="C862" s="41">
        <v>48</v>
      </c>
      <c r="D862" s="42">
        <v>40</v>
      </c>
      <c r="E862" s="43">
        <v>48</v>
      </c>
      <c r="F862" s="44">
        <v>62</v>
      </c>
      <c r="G862" s="45">
        <v>290</v>
      </c>
      <c r="H862" s="19">
        <v>48.33</v>
      </c>
    </row>
    <row r="863" spans="1:8" x14ac:dyDescent="0.35">
      <c r="A863" s="39">
        <v>72</v>
      </c>
      <c r="B863" s="40">
        <v>120</v>
      </c>
      <c r="C863" s="41">
        <v>98</v>
      </c>
      <c r="D863" s="42">
        <v>50</v>
      </c>
      <c r="E863" s="43">
        <v>98</v>
      </c>
      <c r="F863" s="44">
        <v>72</v>
      </c>
      <c r="G863" s="45">
        <v>510</v>
      </c>
      <c r="H863" s="19">
        <v>85</v>
      </c>
    </row>
    <row r="864" spans="1:8" x14ac:dyDescent="0.35">
      <c r="A864" s="39">
        <v>51</v>
      </c>
      <c r="B864" s="40">
        <v>52</v>
      </c>
      <c r="C864" s="41">
        <v>90</v>
      </c>
      <c r="D864" s="42">
        <v>82</v>
      </c>
      <c r="E864" s="43">
        <v>110</v>
      </c>
      <c r="F864" s="44">
        <v>100</v>
      </c>
      <c r="G864" s="45">
        <v>485</v>
      </c>
      <c r="H864" s="19">
        <v>80.83</v>
      </c>
    </row>
    <row r="865" spans="1:8" x14ac:dyDescent="0.35">
      <c r="A865" s="39">
        <v>90</v>
      </c>
      <c r="B865" s="40">
        <v>60</v>
      </c>
      <c r="C865" s="41">
        <v>80</v>
      </c>
      <c r="D865" s="42">
        <v>90</v>
      </c>
      <c r="E865" s="43">
        <v>110</v>
      </c>
      <c r="F865" s="44">
        <v>60</v>
      </c>
      <c r="G865" s="45">
        <v>490</v>
      </c>
      <c r="H865" s="19">
        <v>81.67</v>
      </c>
    </row>
    <row r="866" spans="1:8" x14ac:dyDescent="0.35">
      <c r="A866" s="39">
        <v>100</v>
      </c>
      <c r="B866" s="40">
        <v>120</v>
      </c>
      <c r="C866" s="41">
        <v>90</v>
      </c>
      <c r="D866" s="42">
        <v>40</v>
      </c>
      <c r="E866" s="43">
        <v>60</v>
      </c>
      <c r="F866" s="44">
        <v>80</v>
      </c>
      <c r="G866" s="45">
        <v>490</v>
      </c>
      <c r="H866" s="19">
        <v>81.67</v>
      </c>
    </row>
    <row r="867" spans="1:8" x14ac:dyDescent="0.35">
      <c r="A867" s="39">
        <v>25</v>
      </c>
      <c r="B867" s="40">
        <v>35</v>
      </c>
      <c r="C867" s="41">
        <v>40</v>
      </c>
      <c r="D867" s="42">
        <v>20</v>
      </c>
      <c r="E867" s="43">
        <v>30</v>
      </c>
      <c r="F867" s="44">
        <v>80</v>
      </c>
      <c r="G867" s="45">
        <v>230</v>
      </c>
      <c r="H867" s="19">
        <v>38.33</v>
      </c>
    </row>
    <row r="868" spans="1:8" x14ac:dyDescent="0.35">
      <c r="A868" s="39">
        <v>75</v>
      </c>
      <c r="B868" s="40">
        <v>125</v>
      </c>
      <c r="C868" s="41">
        <v>140</v>
      </c>
      <c r="D868" s="42">
        <v>60</v>
      </c>
      <c r="E868" s="43">
        <v>90</v>
      </c>
      <c r="F868" s="44">
        <v>40</v>
      </c>
      <c r="G868" s="45">
        <v>530</v>
      </c>
      <c r="H868" s="19">
        <v>88.33</v>
      </c>
    </row>
    <row r="869" spans="1:8" x14ac:dyDescent="0.35">
      <c r="A869" s="39">
        <v>55</v>
      </c>
      <c r="B869" s="40">
        <v>55</v>
      </c>
      <c r="C869" s="41">
        <v>80</v>
      </c>
      <c r="D869" s="42">
        <v>70</v>
      </c>
      <c r="E869" s="43">
        <v>45</v>
      </c>
      <c r="F869" s="44">
        <v>15</v>
      </c>
      <c r="G869" s="45">
        <v>320</v>
      </c>
      <c r="H869" s="19">
        <v>53.33</v>
      </c>
    </row>
    <row r="870" spans="1:8" x14ac:dyDescent="0.35">
      <c r="A870" s="39">
        <v>85</v>
      </c>
      <c r="B870" s="40">
        <v>75</v>
      </c>
      <c r="C870" s="41">
        <v>110</v>
      </c>
      <c r="D870" s="42">
        <v>100</v>
      </c>
      <c r="E870" s="43">
        <v>75</v>
      </c>
      <c r="F870" s="44">
        <v>35</v>
      </c>
      <c r="G870" s="45">
        <v>480</v>
      </c>
      <c r="H870" s="19">
        <v>80</v>
      </c>
    </row>
    <row r="871" spans="1:8" x14ac:dyDescent="0.35">
      <c r="A871" s="39">
        <v>55</v>
      </c>
      <c r="B871" s="40">
        <v>60</v>
      </c>
      <c r="C871" s="41">
        <v>130</v>
      </c>
      <c r="D871" s="42">
        <v>30</v>
      </c>
      <c r="E871" s="43">
        <v>130</v>
      </c>
      <c r="F871" s="44">
        <v>5</v>
      </c>
      <c r="G871" s="45">
        <v>410</v>
      </c>
      <c r="H871" s="19">
        <v>68.33</v>
      </c>
    </row>
    <row r="872" spans="1:8" x14ac:dyDescent="0.35">
      <c r="A872" s="39">
        <v>95</v>
      </c>
      <c r="B872" s="40">
        <v>95</v>
      </c>
      <c r="C872" s="41">
        <v>95</v>
      </c>
      <c r="D872" s="42">
        <v>95</v>
      </c>
      <c r="E872" s="43">
        <v>95</v>
      </c>
      <c r="F872" s="44">
        <v>59</v>
      </c>
      <c r="G872" s="45">
        <v>534</v>
      </c>
      <c r="H872" s="19">
        <v>89</v>
      </c>
    </row>
    <row r="873" spans="1:8" x14ac:dyDescent="0.35">
      <c r="A873" s="39">
        <v>95</v>
      </c>
      <c r="B873" s="40">
        <v>95</v>
      </c>
      <c r="C873" s="41">
        <v>95</v>
      </c>
      <c r="D873" s="42">
        <v>95</v>
      </c>
      <c r="E873" s="43">
        <v>95</v>
      </c>
      <c r="F873" s="44">
        <v>95</v>
      </c>
      <c r="G873" s="45">
        <v>570</v>
      </c>
      <c r="H873" s="19">
        <v>95</v>
      </c>
    </row>
    <row r="874" spans="1:8" x14ac:dyDescent="0.35">
      <c r="A874" s="39">
        <v>60</v>
      </c>
      <c r="B874" s="40">
        <v>60</v>
      </c>
      <c r="C874" s="41">
        <v>100</v>
      </c>
      <c r="D874" s="42">
        <v>60</v>
      </c>
      <c r="E874" s="43">
        <v>100</v>
      </c>
      <c r="F874" s="44">
        <v>60</v>
      </c>
      <c r="G874" s="45">
        <v>440</v>
      </c>
      <c r="H874" s="19">
        <v>73.33</v>
      </c>
    </row>
    <row r="875" spans="1:8" x14ac:dyDescent="0.35">
      <c r="A875" s="39">
        <v>65</v>
      </c>
      <c r="B875" s="40">
        <v>115</v>
      </c>
      <c r="C875" s="41">
        <v>65</v>
      </c>
      <c r="D875" s="42">
        <v>75</v>
      </c>
      <c r="E875" s="43">
        <v>95</v>
      </c>
      <c r="F875" s="44">
        <v>65</v>
      </c>
      <c r="G875" s="45">
        <v>480</v>
      </c>
      <c r="H875" s="19">
        <v>80</v>
      </c>
    </row>
    <row r="876" spans="1:8" x14ac:dyDescent="0.35">
      <c r="A876" s="39">
        <v>60</v>
      </c>
      <c r="B876" s="40">
        <v>78</v>
      </c>
      <c r="C876" s="41">
        <v>135</v>
      </c>
      <c r="D876" s="42">
        <v>91</v>
      </c>
      <c r="E876" s="43">
        <v>85</v>
      </c>
      <c r="F876" s="44">
        <v>36</v>
      </c>
      <c r="G876" s="45">
        <v>485</v>
      </c>
      <c r="H876" s="19">
        <v>80.83</v>
      </c>
    </row>
    <row r="877" spans="1:8" x14ac:dyDescent="0.35">
      <c r="A877" s="39">
        <v>65</v>
      </c>
      <c r="B877" s="40">
        <v>98</v>
      </c>
      <c r="C877" s="41">
        <v>63</v>
      </c>
      <c r="D877" s="42">
        <v>40</v>
      </c>
      <c r="E877" s="43">
        <v>73</v>
      </c>
      <c r="F877" s="44">
        <v>96</v>
      </c>
      <c r="G877" s="45">
        <v>435</v>
      </c>
      <c r="H877" s="19">
        <v>72.5</v>
      </c>
    </row>
    <row r="878" spans="1:8" x14ac:dyDescent="0.35">
      <c r="A878" s="39">
        <v>55</v>
      </c>
      <c r="B878" s="40">
        <v>90</v>
      </c>
      <c r="C878" s="41">
        <v>80</v>
      </c>
      <c r="D878" s="42">
        <v>50</v>
      </c>
      <c r="E878" s="43">
        <v>105</v>
      </c>
      <c r="F878" s="44">
        <v>96</v>
      </c>
      <c r="G878" s="45">
        <v>476</v>
      </c>
      <c r="H878" s="19">
        <v>79.33</v>
      </c>
    </row>
    <row r="879" spans="1:8" x14ac:dyDescent="0.35">
      <c r="A879" s="39">
        <v>68</v>
      </c>
      <c r="B879" s="40">
        <v>105</v>
      </c>
      <c r="C879" s="41">
        <v>70</v>
      </c>
      <c r="D879" s="42">
        <v>70</v>
      </c>
      <c r="E879" s="43">
        <v>70</v>
      </c>
      <c r="F879" s="44">
        <v>92</v>
      </c>
      <c r="G879" s="45">
        <v>475</v>
      </c>
      <c r="H879" s="19">
        <v>79.17</v>
      </c>
    </row>
    <row r="880" spans="1:8" x14ac:dyDescent="0.35">
      <c r="A880" s="39">
        <v>78</v>
      </c>
      <c r="B880" s="40">
        <v>60</v>
      </c>
      <c r="C880" s="41">
        <v>85</v>
      </c>
      <c r="D880" s="42">
        <v>135</v>
      </c>
      <c r="E880" s="43">
        <v>91</v>
      </c>
      <c r="F880" s="44">
        <v>36</v>
      </c>
      <c r="G880" s="45">
        <v>485</v>
      </c>
      <c r="H880" s="19">
        <v>80.83</v>
      </c>
    </row>
    <row r="881" spans="1:8" x14ac:dyDescent="0.35">
      <c r="A881" s="39">
        <v>70</v>
      </c>
      <c r="B881" s="40">
        <v>131</v>
      </c>
      <c r="C881" s="41">
        <v>100</v>
      </c>
      <c r="D881" s="42">
        <v>86</v>
      </c>
      <c r="E881" s="43">
        <v>90</v>
      </c>
      <c r="F881" s="44">
        <v>40</v>
      </c>
      <c r="G881" s="45">
        <v>517</v>
      </c>
      <c r="H881" s="19">
        <v>86.17</v>
      </c>
    </row>
    <row r="882" spans="1:8" x14ac:dyDescent="0.35">
      <c r="A882" s="39">
        <v>45</v>
      </c>
      <c r="B882" s="40">
        <v>55</v>
      </c>
      <c r="C882" s="41">
        <v>65</v>
      </c>
      <c r="D882" s="42">
        <v>45</v>
      </c>
      <c r="E882" s="43">
        <v>45</v>
      </c>
      <c r="F882" s="44">
        <v>45</v>
      </c>
      <c r="G882" s="45">
        <v>300</v>
      </c>
      <c r="H882" s="19">
        <v>50</v>
      </c>
    </row>
    <row r="883" spans="1:8" x14ac:dyDescent="0.35">
      <c r="A883" s="39">
        <v>55</v>
      </c>
      <c r="B883" s="40">
        <v>75</v>
      </c>
      <c r="C883" s="41">
        <v>90</v>
      </c>
      <c r="D883" s="42">
        <v>65</v>
      </c>
      <c r="E883" s="43">
        <v>70</v>
      </c>
      <c r="F883" s="44">
        <v>65</v>
      </c>
      <c r="G883" s="45">
        <v>420</v>
      </c>
      <c r="H883" s="19">
        <v>70</v>
      </c>
    </row>
    <row r="884" spans="1:8" x14ac:dyDescent="0.35">
      <c r="A884" s="39">
        <v>75</v>
      </c>
      <c r="B884" s="40">
        <v>110</v>
      </c>
      <c r="C884" s="41">
        <v>125</v>
      </c>
      <c r="D884" s="42">
        <v>100</v>
      </c>
      <c r="E884" s="43">
        <v>105</v>
      </c>
      <c r="F884" s="44">
        <v>85</v>
      </c>
      <c r="G884" s="45">
        <v>600</v>
      </c>
      <c r="H884" s="19">
        <v>100</v>
      </c>
    </row>
    <row r="885" spans="1:8" x14ac:dyDescent="0.35">
      <c r="A885" s="39">
        <v>70</v>
      </c>
      <c r="B885" s="40">
        <v>115</v>
      </c>
      <c r="C885" s="41">
        <v>85</v>
      </c>
      <c r="D885" s="42">
        <v>95</v>
      </c>
      <c r="E885" s="43">
        <v>75</v>
      </c>
      <c r="F885" s="44">
        <v>130</v>
      </c>
      <c r="G885" s="45">
        <v>570</v>
      </c>
      <c r="H885" s="19">
        <v>95</v>
      </c>
    </row>
    <row r="886" spans="1:8" x14ac:dyDescent="0.35">
      <c r="A886" s="39">
        <v>70</v>
      </c>
      <c r="B886" s="40">
        <v>85</v>
      </c>
      <c r="C886" s="41">
        <v>75</v>
      </c>
      <c r="D886" s="42">
        <v>130</v>
      </c>
      <c r="E886" s="43">
        <v>115</v>
      </c>
      <c r="F886" s="44">
        <v>95</v>
      </c>
      <c r="G886" s="45">
        <v>570</v>
      </c>
      <c r="H886" s="19">
        <v>95</v>
      </c>
    </row>
    <row r="887" spans="1:8" x14ac:dyDescent="0.35">
      <c r="A887" s="39">
        <v>70</v>
      </c>
      <c r="B887" s="40">
        <v>130</v>
      </c>
      <c r="C887" s="41">
        <v>115</v>
      </c>
      <c r="D887" s="42">
        <v>85</v>
      </c>
      <c r="E887" s="43">
        <v>95</v>
      </c>
      <c r="F887" s="44">
        <v>75</v>
      </c>
      <c r="G887" s="45">
        <v>570</v>
      </c>
      <c r="H887" s="19">
        <v>95</v>
      </c>
    </row>
    <row r="888" spans="1:8" x14ac:dyDescent="0.35">
      <c r="A888" s="39">
        <v>70</v>
      </c>
      <c r="B888" s="40">
        <v>75</v>
      </c>
      <c r="C888" s="41">
        <v>115</v>
      </c>
      <c r="D888" s="42">
        <v>95</v>
      </c>
      <c r="E888" s="43">
        <v>130</v>
      </c>
      <c r="F888" s="44">
        <v>85</v>
      </c>
      <c r="G888" s="45">
        <v>570</v>
      </c>
      <c r="H888" s="19">
        <v>95</v>
      </c>
    </row>
    <row r="889" spans="1:8" x14ac:dyDescent="0.35">
      <c r="A889" s="39">
        <v>43</v>
      </c>
      <c r="B889" s="40">
        <v>29</v>
      </c>
      <c r="C889" s="41">
        <v>31</v>
      </c>
      <c r="D889" s="42">
        <v>29</v>
      </c>
      <c r="E889" s="43">
        <v>31</v>
      </c>
      <c r="F889" s="44">
        <v>37</v>
      </c>
      <c r="G889" s="45">
        <v>200</v>
      </c>
      <c r="H889" s="19">
        <v>33.33</v>
      </c>
    </row>
    <row r="890" spans="1:8" x14ac:dyDescent="0.35">
      <c r="A890" s="39">
        <v>43</v>
      </c>
      <c r="B890" s="40">
        <v>29</v>
      </c>
      <c r="C890" s="41">
        <v>131</v>
      </c>
      <c r="D890" s="42">
        <v>29</v>
      </c>
      <c r="E890" s="43">
        <v>131</v>
      </c>
      <c r="F890" s="44">
        <v>37</v>
      </c>
      <c r="G890" s="45">
        <v>400</v>
      </c>
      <c r="H890" s="19">
        <v>66.67</v>
      </c>
    </row>
    <row r="891" spans="1:8" x14ac:dyDescent="0.35">
      <c r="A891" s="39">
        <v>137</v>
      </c>
      <c r="B891" s="40">
        <v>137</v>
      </c>
      <c r="C891" s="41">
        <v>107</v>
      </c>
      <c r="D891" s="42">
        <v>113</v>
      </c>
      <c r="E891" s="43">
        <v>89</v>
      </c>
      <c r="F891" s="44">
        <v>97</v>
      </c>
      <c r="G891" s="45">
        <v>680</v>
      </c>
      <c r="H891" s="19">
        <v>113.33</v>
      </c>
    </row>
    <row r="892" spans="1:8" x14ac:dyDescent="0.35">
      <c r="A892" s="39">
        <v>137</v>
      </c>
      <c r="B892" s="40">
        <v>113</v>
      </c>
      <c r="C892" s="41">
        <v>89</v>
      </c>
      <c r="D892" s="42">
        <v>137</v>
      </c>
      <c r="E892" s="43">
        <v>107</v>
      </c>
      <c r="F892" s="44">
        <v>97</v>
      </c>
      <c r="G892" s="45">
        <v>680</v>
      </c>
      <c r="H892" s="19">
        <v>113.33</v>
      </c>
    </row>
    <row r="893" spans="1:8" x14ac:dyDescent="0.35">
      <c r="A893" s="39">
        <v>109</v>
      </c>
      <c r="B893" s="40">
        <v>53</v>
      </c>
      <c r="C893" s="41">
        <v>47</v>
      </c>
      <c r="D893" s="42">
        <v>127</v>
      </c>
      <c r="E893" s="43">
        <v>131</v>
      </c>
      <c r="F893" s="44">
        <v>103</v>
      </c>
      <c r="G893" s="45">
        <v>570</v>
      </c>
      <c r="H893" s="19">
        <v>95</v>
      </c>
    </row>
    <row r="894" spans="1:8" x14ac:dyDescent="0.35">
      <c r="A894" s="39">
        <v>107</v>
      </c>
      <c r="B894" s="40">
        <v>139</v>
      </c>
      <c r="C894" s="41">
        <v>139</v>
      </c>
      <c r="D894" s="42">
        <v>53</v>
      </c>
      <c r="E894" s="43">
        <v>53</v>
      </c>
      <c r="F894" s="44">
        <v>79</v>
      </c>
      <c r="G894" s="45">
        <v>570</v>
      </c>
      <c r="H894" s="19">
        <v>95</v>
      </c>
    </row>
    <row r="895" spans="1:8" x14ac:dyDescent="0.35">
      <c r="A895" s="39">
        <v>71</v>
      </c>
      <c r="B895" s="40">
        <v>137</v>
      </c>
      <c r="C895" s="41">
        <v>37</v>
      </c>
      <c r="D895" s="42">
        <v>137</v>
      </c>
      <c r="E895" s="43">
        <v>37</v>
      </c>
      <c r="F895" s="44">
        <v>151</v>
      </c>
      <c r="G895" s="45">
        <v>570</v>
      </c>
      <c r="H895" s="19">
        <v>95</v>
      </c>
    </row>
    <row r="896" spans="1:8" x14ac:dyDescent="0.35">
      <c r="A896" s="39">
        <v>83</v>
      </c>
      <c r="B896" s="40">
        <v>89</v>
      </c>
      <c r="C896" s="41">
        <v>71</v>
      </c>
      <c r="D896" s="42">
        <v>173</v>
      </c>
      <c r="E896" s="43">
        <v>71</v>
      </c>
      <c r="F896" s="44">
        <v>83</v>
      </c>
      <c r="G896" s="45">
        <v>570</v>
      </c>
      <c r="H896" s="19">
        <v>95</v>
      </c>
    </row>
    <row r="897" spans="1:8" x14ac:dyDescent="0.35">
      <c r="A897" s="39">
        <v>97</v>
      </c>
      <c r="B897" s="40">
        <v>101</v>
      </c>
      <c r="C897" s="41">
        <v>103</v>
      </c>
      <c r="D897" s="42">
        <v>107</v>
      </c>
      <c r="E897" s="43">
        <v>101</v>
      </c>
      <c r="F897" s="44">
        <v>61</v>
      </c>
      <c r="G897" s="45">
        <v>570</v>
      </c>
      <c r="H897" s="19">
        <v>95</v>
      </c>
    </row>
    <row r="898" spans="1:8" x14ac:dyDescent="0.35">
      <c r="A898" s="39">
        <v>59</v>
      </c>
      <c r="B898" s="40">
        <v>181</v>
      </c>
      <c r="C898" s="41">
        <v>131</v>
      </c>
      <c r="D898" s="42">
        <v>59</v>
      </c>
      <c r="E898" s="43">
        <v>31</v>
      </c>
      <c r="F898" s="44">
        <v>109</v>
      </c>
      <c r="G898" s="45">
        <v>570</v>
      </c>
      <c r="H898" s="19">
        <v>95</v>
      </c>
    </row>
    <row r="899" spans="1:8" x14ac:dyDescent="0.35">
      <c r="A899" s="39">
        <v>223</v>
      </c>
      <c r="B899" s="40">
        <v>101</v>
      </c>
      <c r="C899" s="41">
        <v>53</v>
      </c>
      <c r="D899" s="42">
        <v>97</v>
      </c>
      <c r="E899" s="43">
        <v>53</v>
      </c>
      <c r="F899" s="44">
        <v>43</v>
      </c>
      <c r="G899" s="45">
        <v>570</v>
      </c>
      <c r="H899" s="19">
        <v>95</v>
      </c>
    </row>
    <row r="900" spans="1:8" x14ac:dyDescent="0.35">
      <c r="A900" s="39">
        <v>97</v>
      </c>
      <c r="B900" s="40">
        <v>107</v>
      </c>
      <c r="C900" s="41">
        <v>101</v>
      </c>
      <c r="D900" s="42">
        <v>127</v>
      </c>
      <c r="E900" s="43">
        <v>89</v>
      </c>
      <c r="F900" s="44">
        <v>79</v>
      </c>
      <c r="G900" s="45">
        <v>600</v>
      </c>
      <c r="H900" s="19">
        <v>100</v>
      </c>
    </row>
    <row r="901" spans="1:8" x14ac:dyDescent="0.35">
      <c r="A901" s="39">
        <v>80</v>
      </c>
      <c r="B901" s="40">
        <v>95</v>
      </c>
      <c r="C901" s="41">
        <v>115</v>
      </c>
      <c r="D901" s="42">
        <v>130</v>
      </c>
      <c r="E901" s="43">
        <v>115</v>
      </c>
      <c r="F901" s="44">
        <v>65</v>
      </c>
      <c r="G901" s="45">
        <v>600</v>
      </c>
      <c r="H901" s="19">
        <v>100</v>
      </c>
    </row>
    <row r="902" spans="1:8" ht="15" thickBot="1" x14ac:dyDescent="0.4">
      <c r="A902" s="22">
        <v>90</v>
      </c>
      <c r="B902" s="23">
        <v>125</v>
      </c>
      <c r="C902" s="24">
        <v>80</v>
      </c>
      <c r="D902" s="25">
        <v>90</v>
      </c>
      <c r="E902" s="26">
        <v>90</v>
      </c>
      <c r="F902" s="27">
        <v>125</v>
      </c>
      <c r="G902" s="28">
        <v>600</v>
      </c>
      <c r="H902" s="29">
        <v>100</v>
      </c>
    </row>
    <row r="903" spans="1:8" ht="15" thickTop="1" x14ac:dyDescent="0.35"/>
  </sheetData>
  <sortState ref="H2:H800">
    <sortCondition ref="H1"/>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42"/>
  <sheetViews>
    <sheetView tabSelected="1" topLeftCell="A13" workbookViewId="0">
      <selection activeCell="J40" sqref="J40"/>
    </sheetView>
  </sheetViews>
  <sheetFormatPr defaultRowHeight="14.5" x14ac:dyDescent="0.35"/>
  <cols>
    <col min="1" max="1" width="10.81640625" bestFit="1" customWidth="1"/>
    <col min="10" max="10" width="10.81640625" bestFit="1" customWidth="1"/>
    <col min="20" max="20" width="10.81640625" bestFit="1" customWidth="1"/>
    <col min="21" max="21" width="10.81640625" customWidth="1"/>
  </cols>
  <sheetData>
    <row r="1" spans="1:29" ht="15.5" thickTop="1" thickBot="1" x14ac:dyDescent="0.4">
      <c r="B1" s="181" t="s">
        <v>879</v>
      </c>
      <c r="C1" s="181"/>
      <c r="D1" s="181"/>
      <c r="E1" s="181"/>
      <c r="F1" s="181"/>
      <c r="G1" s="181"/>
      <c r="H1" s="181"/>
      <c r="K1" s="181" t="s">
        <v>880</v>
      </c>
      <c r="L1" s="181"/>
      <c r="M1" s="181"/>
      <c r="N1" s="181"/>
      <c r="O1" s="181"/>
      <c r="P1" s="181"/>
      <c r="Q1" s="181"/>
      <c r="V1" s="77" t="s">
        <v>782</v>
      </c>
      <c r="W1" s="31" t="s">
        <v>783</v>
      </c>
      <c r="X1" s="32" t="s">
        <v>784</v>
      </c>
      <c r="Y1" s="33" t="s">
        <v>785</v>
      </c>
      <c r="Z1" s="34" t="s">
        <v>786</v>
      </c>
      <c r="AA1" s="35" t="s">
        <v>787</v>
      </c>
      <c r="AB1" s="36" t="s">
        <v>788</v>
      </c>
      <c r="AC1" s="37" t="s">
        <v>789</v>
      </c>
    </row>
    <row r="2" spans="1:29" ht="15.5" thickTop="1" thickBot="1" x14ac:dyDescent="0.4">
      <c r="B2" s="77" t="s">
        <v>782</v>
      </c>
      <c r="C2" s="31" t="s">
        <v>783</v>
      </c>
      <c r="D2" s="32" t="s">
        <v>784</v>
      </c>
      <c r="E2" s="33" t="s">
        <v>785</v>
      </c>
      <c r="F2" s="34" t="s">
        <v>786</v>
      </c>
      <c r="G2" s="35" t="s">
        <v>787</v>
      </c>
      <c r="H2" s="36" t="s">
        <v>788</v>
      </c>
      <c r="K2" s="77" t="s">
        <v>782</v>
      </c>
      <c r="L2" s="31" t="s">
        <v>783</v>
      </c>
      <c r="M2" s="32" t="s">
        <v>784</v>
      </c>
      <c r="N2" s="33" t="s">
        <v>785</v>
      </c>
      <c r="O2" s="34" t="s">
        <v>786</v>
      </c>
      <c r="P2" s="35" t="s">
        <v>787</v>
      </c>
      <c r="Q2" s="36" t="s">
        <v>788</v>
      </c>
      <c r="T2" t="s">
        <v>830</v>
      </c>
      <c r="U2" t="s">
        <v>829</v>
      </c>
      <c r="V2" s="78">
        <v>69.225563909774436</v>
      </c>
      <c r="W2" s="46">
        <v>79.048872180451127</v>
      </c>
      <c r="X2" s="47">
        <v>73.819548872180448</v>
      </c>
      <c r="Y2" s="48">
        <v>72.736842105263165</v>
      </c>
      <c r="Z2" s="49">
        <v>71.868421052631575</v>
      </c>
      <c r="AA2" s="50">
        <v>68.182957393483704</v>
      </c>
      <c r="AB2" s="51">
        <v>434.88220551378447</v>
      </c>
      <c r="AC2" s="52">
        <v>72.480313283208091</v>
      </c>
    </row>
    <row r="3" spans="1:29" ht="15.5" thickTop="1" thickBot="1" x14ac:dyDescent="0.4">
      <c r="A3" t="s">
        <v>830</v>
      </c>
      <c r="B3" s="78">
        <v>69.225563909774436</v>
      </c>
      <c r="C3" s="46">
        <v>79.048872180451127</v>
      </c>
      <c r="D3" s="47">
        <v>73.819548872180448</v>
      </c>
      <c r="E3" s="48">
        <v>72.736842105263165</v>
      </c>
      <c r="F3" s="49">
        <v>71.868421052631575</v>
      </c>
      <c r="G3" s="50">
        <v>68.182957393483704</v>
      </c>
      <c r="H3" s="52">
        <v>434.88220551378447</v>
      </c>
      <c r="J3" t="s">
        <v>830</v>
      </c>
      <c r="K3" s="97">
        <f t="shared" ref="K3:K22" si="0">_xlfn.RANK.EQ(B3,B$3:B$22)</f>
        <v>11</v>
      </c>
      <c r="L3" s="98">
        <f t="shared" ref="L3:L22" si="1">_xlfn.RANK.EQ(C3,C$3:C$22)</f>
        <v>10</v>
      </c>
      <c r="M3" s="99">
        <f t="shared" ref="M3:M22" si="2">_xlfn.RANK.EQ(D3,D$3:D$22)</f>
        <v>9</v>
      </c>
      <c r="N3" s="100">
        <f t="shared" ref="N3:N22" si="3">_xlfn.RANK.EQ(E3,E$3:E$22)</f>
        <v>12</v>
      </c>
      <c r="O3" s="101">
        <f t="shared" ref="O3:O22" si="4">_xlfn.RANK.EQ(F3,F$3:F$22)</f>
        <v>11</v>
      </c>
      <c r="P3" s="102">
        <f t="shared" ref="P3:P22" si="5">_xlfn.RANK.EQ(G3,G$3:G$22)</f>
        <v>9</v>
      </c>
      <c r="Q3" s="103">
        <f t="shared" ref="Q3:Q22" si="6">_xlfn.RANK.EQ(H3,H$3:H$22)</f>
        <v>13</v>
      </c>
      <c r="T3" s="95"/>
      <c r="U3" s="95" t="s">
        <v>792</v>
      </c>
      <c r="V3" s="87">
        <v>25.554512758591862</v>
      </c>
      <c r="W3" s="88">
        <v>32.478524783719443</v>
      </c>
      <c r="X3" s="89">
        <v>31.217254161556152</v>
      </c>
      <c r="Y3" s="90">
        <v>32.700740667504675</v>
      </c>
      <c r="Z3" s="91">
        <v>27.854551070168231</v>
      </c>
      <c r="AA3" s="92">
        <v>29.035159930615603</v>
      </c>
      <c r="AB3" s="93">
        <v>119.99856192842989</v>
      </c>
      <c r="AC3" s="94">
        <v>19.999845131824522</v>
      </c>
    </row>
    <row r="4" spans="1:29" ht="15" thickTop="1" x14ac:dyDescent="0.35">
      <c r="A4" t="s">
        <v>811</v>
      </c>
      <c r="B4" s="79">
        <v>56.736111111111114</v>
      </c>
      <c r="C4" s="81">
        <v>71.763888888888886</v>
      </c>
      <c r="D4" s="82">
        <v>71.111111111111114</v>
      </c>
      <c r="E4" s="83">
        <v>53.569444444444443</v>
      </c>
      <c r="F4" s="84">
        <v>64.666666666666671</v>
      </c>
      <c r="G4" s="85">
        <v>61.680555555555557</v>
      </c>
      <c r="H4" s="53">
        <v>379.52777777777777</v>
      </c>
      <c r="J4" t="s">
        <v>811</v>
      </c>
      <c r="K4" s="104">
        <f t="shared" si="0"/>
        <v>20</v>
      </c>
      <c r="L4" s="54">
        <f t="shared" si="1"/>
        <v>17</v>
      </c>
      <c r="M4" s="55">
        <f t="shared" si="2"/>
        <v>12</v>
      </c>
      <c r="N4" s="56">
        <f t="shared" si="3"/>
        <v>20</v>
      </c>
      <c r="O4" s="57">
        <f t="shared" si="4"/>
        <v>19</v>
      </c>
      <c r="P4" s="58">
        <f t="shared" si="5"/>
        <v>14</v>
      </c>
      <c r="Q4" s="105">
        <f t="shared" si="6"/>
        <v>20</v>
      </c>
      <c r="T4" t="s">
        <v>811</v>
      </c>
      <c r="U4" t="s">
        <v>829</v>
      </c>
      <c r="V4" s="78">
        <v>56.736111111111114</v>
      </c>
      <c r="W4" s="46">
        <v>71.763888888888886</v>
      </c>
      <c r="X4" s="47">
        <v>71.111111111111114</v>
      </c>
      <c r="Y4" s="48">
        <v>53.569444444444443</v>
      </c>
      <c r="Z4" s="49">
        <v>64.666666666666671</v>
      </c>
      <c r="AA4" s="50">
        <v>61.680555555555557</v>
      </c>
      <c r="AB4" s="51">
        <v>379.52777777777777</v>
      </c>
      <c r="AC4" s="52">
        <v>63.254722222222227</v>
      </c>
    </row>
    <row r="5" spans="1:29" ht="15" thickBot="1" x14ac:dyDescent="0.4">
      <c r="A5" t="s">
        <v>823</v>
      </c>
      <c r="B5" s="79">
        <v>70.235294117647058</v>
      </c>
      <c r="C5" s="81">
        <v>96.784313725490193</v>
      </c>
      <c r="D5" s="82">
        <v>70.941176470588232</v>
      </c>
      <c r="E5" s="83">
        <v>77.450980392156865</v>
      </c>
      <c r="F5" s="84">
        <v>69.647058823529406</v>
      </c>
      <c r="G5" s="85">
        <v>75.843137254901961</v>
      </c>
      <c r="H5" s="53">
        <v>460.9019607843137</v>
      </c>
      <c r="J5" t="s">
        <v>823</v>
      </c>
      <c r="K5" s="104">
        <f t="shared" si="0"/>
        <v>9</v>
      </c>
      <c r="L5" s="54">
        <f t="shared" si="1"/>
        <v>3</v>
      </c>
      <c r="M5" s="55">
        <f t="shared" si="2"/>
        <v>13</v>
      </c>
      <c r="N5" s="56">
        <f t="shared" si="3"/>
        <v>6</v>
      </c>
      <c r="O5" s="57">
        <f t="shared" si="4"/>
        <v>15</v>
      </c>
      <c r="P5" s="58">
        <f t="shared" si="5"/>
        <v>6</v>
      </c>
      <c r="Q5" s="105">
        <f t="shared" si="6"/>
        <v>7</v>
      </c>
      <c r="T5" s="95"/>
      <c r="U5" s="95" t="s">
        <v>792</v>
      </c>
      <c r="V5" s="87">
        <v>16.30863683352359</v>
      </c>
      <c r="W5" s="88">
        <v>36.998093995656376</v>
      </c>
      <c r="X5" s="89">
        <v>33.250460361339385</v>
      </c>
      <c r="Y5" s="90">
        <v>26.399331184917443</v>
      </c>
      <c r="Z5" s="91">
        <v>31.56214527063246</v>
      </c>
      <c r="AA5" s="92">
        <v>32.618937897273199</v>
      </c>
      <c r="AB5" s="93">
        <v>116.35569218930084</v>
      </c>
      <c r="AC5" s="94">
        <v>19.392567907902105</v>
      </c>
    </row>
    <row r="6" spans="1:29" ht="15" thickTop="1" x14ac:dyDescent="0.35">
      <c r="A6" t="s">
        <v>822</v>
      </c>
      <c r="B6" s="79">
        <v>82.9</v>
      </c>
      <c r="C6" s="81">
        <v>105.76</v>
      </c>
      <c r="D6" s="82">
        <v>86.62</v>
      </c>
      <c r="E6" s="83">
        <v>97.44</v>
      </c>
      <c r="F6" s="84">
        <v>86.9</v>
      </c>
      <c r="G6" s="85">
        <v>82.14</v>
      </c>
      <c r="H6" s="53">
        <v>541.76</v>
      </c>
      <c r="J6" t="s">
        <v>822</v>
      </c>
      <c r="K6" s="104">
        <f t="shared" si="0"/>
        <v>1</v>
      </c>
      <c r="L6" s="54">
        <f t="shared" si="1"/>
        <v>1</v>
      </c>
      <c r="M6" s="55">
        <f t="shared" si="2"/>
        <v>4</v>
      </c>
      <c r="N6" s="56">
        <f t="shared" si="3"/>
        <v>1</v>
      </c>
      <c r="O6" s="57">
        <f t="shared" si="4"/>
        <v>1</v>
      </c>
      <c r="P6" s="58">
        <f t="shared" si="5"/>
        <v>3</v>
      </c>
      <c r="Q6" s="105">
        <f t="shared" si="6"/>
        <v>1</v>
      </c>
      <c r="T6" t="s">
        <v>823</v>
      </c>
      <c r="U6" t="s">
        <v>829</v>
      </c>
      <c r="V6" s="79">
        <v>70.235294117647058</v>
      </c>
      <c r="W6" s="81">
        <v>96.784313725490193</v>
      </c>
      <c r="X6" s="82">
        <v>70.941176470588232</v>
      </c>
      <c r="Y6" s="83">
        <v>77.450980392156865</v>
      </c>
      <c r="Z6" s="84">
        <v>69.647058823529406</v>
      </c>
      <c r="AA6" s="85">
        <v>75.843137254901961</v>
      </c>
      <c r="AB6" s="86">
        <v>460.9019607843137</v>
      </c>
      <c r="AC6" s="53">
        <v>76.816862745098035</v>
      </c>
    </row>
    <row r="7" spans="1:29" ht="15" thickBot="1" x14ac:dyDescent="0.4">
      <c r="A7" t="s">
        <v>813</v>
      </c>
      <c r="B7" s="79">
        <v>63.2</v>
      </c>
      <c r="C7" s="81">
        <v>69.52</v>
      </c>
      <c r="D7" s="82">
        <v>66.540000000000006</v>
      </c>
      <c r="E7" s="83">
        <v>88.96</v>
      </c>
      <c r="F7" s="84">
        <v>73.680000000000007</v>
      </c>
      <c r="G7" s="85">
        <v>82.94</v>
      </c>
      <c r="H7" s="53">
        <v>444.84</v>
      </c>
      <c r="J7" t="s">
        <v>813</v>
      </c>
      <c r="K7" s="104">
        <f t="shared" si="0"/>
        <v>17</v>
      </c>
      <c r="L7" s="54">
        <f t="shared" si="1"/>
        <v>19</v>
      </c>
      <c r="M7" s="55">
        <f t="shared" si="2"/>
        <v>18</v>
      </c>
      <c r="N7" s="56">
        <f t="shared" si="3"/>
        <v>4</v>
      </c>
      <c r="O7" s="57">
        <f t="shared" si="4"/>
        <v>9</v>
      </c>
      <c r="P7" s="58">
        <f t="shared" si="5"/>
        <v>2</v>
      </c>
      <c r="Q7" s="105">
        <f t="shared" si="6"/>
        <v>10</v>
      </c>
      <c r="T7" s="95"/>
      <c r="U7" s="95" t="s">
        <v>792</v>
      </c>
      <c r="V7" s="87">
        <v>20.264834798531282</v>
      </c>
      <c r="W7" s="88">
        <v>29.211171647498297</v>
      </c>
      <c r="X7" s="89">
        <v>27.871427494626744</v>
      </c>
      <c r="Y7" s="90">
        <v>32.162906414371328</v>
      </c>
      <c r="Z7" s="91">
        <v>27.583925412755715</v>
      </c>
      <c r="AA7" s="92">
        <v>24.831731755171333</v>
      </c>
      <c r="AB7" s="93">
        <v>113.14490795470391</v>
      </c>
      <c r="AC7" s="94">
        <v>18.857263161996375</v>
      </c>
    </row>
    <row r="8" spans="1:29" ht="15" thickTop="1" x14ac:dyDescent="0.35">
      <c r="A8" t="s">
        <v>815</v>
      </c>
      <c r="B8" s="79">
        <v>68.948717948717942</v>
      </c>
      <c r="C8" s="81">
        <v>60.46153846153846</v>
      </c>
      <c r="D8" s="82">
        <v>69</v>
      </c>
      <c r="E8" s="83">
        <v>77.051282051282058</v>
      </c>
      <c r="F8" s="84">
        <v>82.820512820512818</v>
      </c>
      <c r="G8" s="85">
        <v>56</v>
      </c>
      <c r="H8" s="53">
        <v>414.28205128205127</v>
      </c>
      <c r="J8" t="s">
        <v>815</v>
      </c>
      <c r="K8" s="104">
        <f t="shared" si="0"/>
        <v>12</v>
      </c>
      <c r="L8" s="54">
        <f t="shared" si="1"/>
        <v>20</v>
      </c>
      <c r="M8" s="55">
        <f t="shared" si="2"/>
        <v>15</v>
      </c>
      <c r="N8" s="56">
        <f t="shared" si="3"/>
        <v>7</v>
      </c>
      <c r="O8" s="57">
        <f t="shared" si="4"/>
        <v>4</v>
      </c>
      <c r="P8" s="58">
        <f t="shared" si="5"/>
        <v>19</v>
      </c>
      <c r="Q8" s="105">
        <f t="shared" si="6"/>
        <v>16</v>
      </c>
      <c r="T8" t="s">
        <v>822</v>
      </c>
      <c r="U8" t="s">
        <v>829</v>
      </c>
      <c r="V8" s="79">
        <v>82.9</v>
      </c>
      <c r="W8" s="81">
        <v>105.76</v>
      </c>
      <c r="X8" s="82">
        <v>86.62</v>
      </c>
      <c r="Y8" s="83">
        <v>97.44</v>
      </c>
      <c r="Z8" s="84">
        <v>86.9</v>
      </c>
      <c r="AA8" s="85">
        <v>82.14</v>
      </c>
      <c r="AB8" s="86">
        <v>541.76</v>
      </c>
      <c r="AC8" s="53">
        <v>90.292999999999992</v>
      </c>
    </row>
    <row r="9" spans="1:29" ht="15" thickBot="1" x14ac:dyDescent="0.4">
      <c r="A9" t="s">
        <v>816</v>
      </c>
      <c r="B9" s="79">
        <v>74.25</v>
      </c>
      <c r="C9" s="81">
        <v>105.28846153846153</v>
      </c>
      <c r="D9" s="82">
        <v>73.75</v>
      </c>
      <c r="E9" s="83">
        <v>65.730769230769226</v>
      </c>
      <c r="F9" s="84">
        <v>73.057692307692307</v>
      </c>
      <c r="G9" s="85">
        <v>75.92307692307692</v>
      </c>
      <c r="H9" s="53">
        <v>468</v>
      </c>
      <c r="J9" t="s">
        <v>816</v>
      </c>
      <c r="K9" s="104">
        <f t="shared" si="0"/>
        <v>5</v>
      </c>
      <c r="L9" s="54">
        <f t="shared" si="1"/>
        <v>2</v>
      </c>
      <c r="M9" s="55">
        <f t="shared" si="2"/>
        <v>10</v>
      </c>
      <c r="N9" s="56">
        <f t="shared" si="3"/>
        <v>16</v>
      </c>
      <c r="O9" s="57">
        <f t="shared" si="4"/>
        <v>10</v>
      </c>
      <c r="P9" s="58">
        <f t="shared" si="5"/>
        <v>5</v>
      </c>
      <c r="Q9" s="105">
        <f t="shared" si="6"/>
        <v>4</v>
      </c>
      <c r="T9" s="95"/>
      <c r="U9" s="95" t="s">
        <v>792</v>
      </c>
      <c r="V9" s="87">
        <v>25.651709574249288</v>
      </c>
      <c r="W9" s="88">
        <v>31.928849471464336</v>
      </c>
      <c r="X9" s="89">
        <v>24.163465422502838</v>
      </c>
      <c r="Y9" s="90">
        <v>41.088833579184985</v>
      </c>
      <c r="Z9" s="91">
        <v>28.606585512673085</v>
      </c>
      <c r="AA9" s="92">
        <v>25.286125904640009</v>
      </c>
      <c r="AB9" s="93">
        <v>143.14692894123195</v>
      </c>
      <c r="AC9" s="94">
        <v>23.858291524956179</v>
      </c>
    </row>
    <row r="10" spans="1:29" ht="15" thickTop="1" x14ac:dyDescent="0.35">
      <c r="A10" t="s">
        <v>808</v>
      </c>
      <c r="B10" s="79">
        <v>70.15625</v>
      </c>
      <c r="C10" s="81">
        <v>84.109375</v>
      </c>
      <c r="D10" s="82">
        <v>70.09375</v>
      </c>
      <c r="E10" s="83">
        <v>93</v>
      </c>
      <c r="F10" s="84">
        <v>74.328125</v>
      </c>
      <c r="G10" s="85">
        <v>75.421875</v>
      </c>
      <c r="H10" s="53">
        <v>467.109375</v>
      </c>
      <c r="J10" t="s">
        <v>808</v>
      </c>
      <c r="K10" s="104">
        <f t="shared" si="0"/>
        <v>10</v>
      </c>
      <c r="L10" s="54">
        <f t="shared" si="1"/>
        <v>7</v>
      </c>
      <c r="M10" s="55">
        <f t="shared" si="2"/>
        <v>14</v>
      </c>
      <c r="N10" s="56">
        <f t="shared" si="3"/>
        <v>3</v>
      </c>
      <c r="O10" s="57">
        <f t="shared" si="4"/>
        <v>7</v>
      </c>
      <c r="P10" s="58">
        <f t="shared" si="5"/>
        <v>7</v>
      </c>
      <c r="Q10" s="105">
        <f t="shared" si="6"/>
        <v>6</v>
      </c>
      <c r="T10" t="s">
        <v>813</v>
      </c>
      <c r="U10" t="s">
        <v>829</v>
      </c>
      <c r="V10" s="79">
        <v>63.2</v>
      </c>
      <c r="W10" s="81">
        <v>69.52</v>
      </c>
      <c r="X10" s="82">
        <v>66.540000000000006</v>
      </c>
      <c r="Y10" s="83">
        <v>88.96</v>
      </c>
      <c r="Z10" s="84">
        <v>73.680000000000007</v>
      </c>
      <c r="AA10" s="85">
        <v>82.94</v>
      </c>
      <c r="AB10" s="86">
        <v>444.84</v>
      </c>
      <c r="AC10" s="53">
        <v>74.140800000000013</v>
      </c>
    </row>
    <row r="11" spans="1:29" ht="15" thickBot="1" x14ac:dyDescent="0.4">
      <c r="A11" t="s">
        <v>809</v>
      </c>
      <c r="B11" s="79">
        <v>71.366336633663366</v>
      </c>
      <c r="C11" s="81">
        <v>80.227722772277232</v>
      </c>
      <c r="D11" s="82">
        <v>68.227722772277232</v>
      </c>
      <c r="E11" s="83">
        <v>76.366336633663366</v>
      </c>
      <c r="F11" s="84">
        <v>71.257425742574256</v>
      </c>
      <c r="G11" s="85">
        <v>86.386138613861391</v>
      </c>
      <c r="H11" s="53">
        <v>453.83168316831683</v>
      </c>
      <c r="J11" t="s">
        <v>809</v>
      </c>
      <c r="K11" s="104">
        <f t="shared" si="0"/>
        <v>6</v>
      </c>
      <c r="L11" s="54">
        <f t="shared" si="1"/>
        <v>9</v>
      </c>
      <c r="M11" s="55">
        <f t="shared" si="2"/>
        <v>16</v>
      </c>
      <c r="N11" s="56">
        <f t="shared" si="3"/>
        <v>9</v>
      </c>
      <c r="O11" s="57">
        <f t="shared" si="4"/>
        <v>13</v>
      </c>
      <c r="P11" s="58">
        <f t="shared" si="5"/>
        <v>1</v>
      </c>
      <c r="Q11" s="105">
        <f t="shared" si="6"/>
        <v>8</v>
      </c>
      <c r="T11" s="95"/>
      <c r="U11" s="95" t="s">
        <v>792</v>
      </c>
      <c r="V11" s="87">
        <v>20.711822513645068</v>
      </c>
      <c r="W11" s="88">
        <v>25.742238774878484</v>
      </c>
      <c r="X11" s="89">
        <v>25.040546711121085</v>
      </c>
      <c r="Y11" s="90">
        <v>29.084647749179929</v>
      </c>
      <c r="Z11" s="91">
        <v>22.298933808135132</v>
      </c>
      <c r="AA11" s="92">
        <v>26.666810373762445</v>
      </c>
      <c r="AB11" s="93">
        <v>107.54047363382666</v>
      </c>
      <c r="AC11" s="94">
        <v>17.92364142120454</v>
      </c>
    </row>
    <row r="12" spans="1:29" ht="15" thickTop="1" x14ac:dyDescent="0.35">
      <c r="A12" t="s">
        <v>821</v>
      </c>
      <c r="B12" s="79">
        <v>62.553191489361701</v>
      </c>
      <c r="C12" s="81">
        <v>77.531914893617028</v>
      </c>
      <c r="D12" s="82">
        <v>82.446808510638292</v>
      </c>
      <c r="E12" s="83">
        <v>77</v>
      </c>
      <c r="F12" s="84">
        <v>77.340425531914889</v>
      </c>
      <c r="G12" s="85">
        <v>60.914893617021278</v>
      </c>
      <c r="H12" s="53">
        <v>437.78723404255317</v>
      </c>
      <c r="J12" t="s">
        <v>821</v>
      </c>
      <c r="K12" s="104">
        <f t="shared" si="0"/>
        <v>19</v>
      </c>
      <c r="L12" s="54">
        <f t="shared" si="1"/>
        <v>11</v>
      </c>
      <c r="M12" s="55">
        <f t="shared" si="2"/>
        <v>5</v>
      </c>
      <c r="N12" s="56">
        <f t="shared" si="3"/>
        <v>8</v>
      </c>
      <c r="O12" s="57">
        <f t="shared" si="4"/>
        <v>6</v>
      </c>
      <c r="P12" s="58">
        <f t="shared" si="5"/>
        <v>15</v>
      </c>
      <c r="Q12" s="105">
        <f t="shared" si="6"/>
        <v>12</v>
      </c>
      <c r="T12" t="s">
        <v>815</v>
      </c>
      <c r="U12" t="s">
        <v>829</v>
      </c>
      <c r="V12" s="79">
        <v>68.948717948717942</v>
      </c>
      <c r="W12" s="81">
        <v>60.46153846153846</v>
      </c>
      <c r="X12" s="82">
        <v>69</v>
      </c>
      <c r="Y12" s="83">
        <v>77.051282051282058</v>
      </c>
      <c r="Z12" s="84">
        <v>82.820512820512818</v>
      </c>
      <c r="AA12" s="85">
        <v>56</v>
      </c>
      <c r="AB12" s="86">
        <v>414.28205128205127</v>
      </c>
      <c r="AC12" s="53">
        <v>69.046153846153828</v>
      </c>
    </row>
    <row r="13" spans="1:29" ht="15" thickBot="1" x14ac:dyDescent="0.4">
      <c r="A13" t="s">
        <v>806</v>
      </c>
      <c r="B13" s="79">
        <v>66.05263157894737</v>
      </c>
      <c r="C13" s="81">
        <v>73.463157894736838</v>
      </c>
      <c r="D13" s="82">
        <v>73.252631578947373</v>
      </c>
      <c r="E13" s="83">
        <v>72.936842105263153</v>
      </c>
      <c r="F13" s="84">
        <v>71.505263157894731</v>
      </c>
      <c r="G13" s="85">
        <v>60.715789473684211</v>
      </c>
      <c r="H13" s="53">
        <v>417.92631578947368</v>
      </c>
      <c r="J13" t="s">
        <v>806</v>
      </c>
      <c r="K13" s="104">
        <f t="shared" si="0"/>
        <v>14</v>
      </c>
      <c r="L13" s="54">
        <f t="shared" si="1"/>
        <v>14</v>
      </c>
      <c r="M13" s="55">
        <f t="shared" si="2"/>
        <v>11</v>
      </c>
      <c r="N13" s="56">
        <f t="shared" si="3"/>
        <v>11</v>
      </c>
      <c r="O13" s="57">
        <f t="shared" si="4"/>
        <v>12</v>
      </c>
      <c r="P13" s="58">
        <f t="shared" si="5"/>
        <v>16</v>
      </c>
      <c r="Q13" s="105">
        <f t="shared" si="6"/>
        <v>15</v>
      </c>
      <c r="T13" s="95"/>
      <c r="U13" s="95" t="s">
        <v>792</v>
      </c>
      <c r="V13" s="87">
        <v>27.076838731312623</v>
      </c>
      <c r="W13" s="88">
        <v>32.05081996967855</v>
      </c>
      <c r="X13" s="89">
        <v>31.553630202361319</v>
      </c>
      <c r="Y13" s="90">
        <v>34.592324002472537</v>
      </c>
      <c r="Z13" s="91">
        <v>35.55342295673681</v>
      </c>
      <c r="AA13" s="92">
        <v>27.148713258254936</v>
      </c>
      <c r="AB13" s="93">
        <v>137.11250638146694</v>
      </c>
      <c r="AC13" s="94">
        <v>22.851800990338308</v>
      </c>
    </row>
    <row r="14" spans="1:29" ht="15" thickTop="1" x14ac:dyDescent="0.35">
      <c r="A14" t="s">
        <v>814</v>
      </c>
      <c r="B14" s="79">
        <v>75.582089552238813</v>
      </c>
      <c r="C14" s="81">
        <v>92.671641791044777</v>
      </c>
      <c r="D14" s="82">
        <v>87.701492537313428</v>
      </c>
      <c r="E14" s="83">
        <v>61.208955223880594</v>
      </c>
      <c r="F14" s="84">
        <v>64.835820895522389</v>
      </c>
      <c r="G14" s="85">
        <v>59.07462686567164</v>
      </c>
      <c r="H14" s="53">
        <v>441.07462686567163</v>
      </c>
      <c r="J14" t="s">
        <v>814</v>
      </c>
      <c r="K14" s="104">
        <f t="shared" si="0"/>
        <v>4</v>
      </c>
      <c r="L14" s="54">
        <f t="shared" si="1"/>
        <v>4</v>
      </c>
      <c r="M14" s="55">
        <f t="shared" si="2"/>
        <v>3</v>
      </c>
      <c r="N14" s="56">
        <f t="shared" si="3"/>
        <v>17</v>
      </c>
      <c r="O14" s="57">
        <f t="shared" si="4"/>
        <v>18</v>
      </c>
      <c r="P14" s="58">
        <f t="shared" si="5"/>
        <v>17</v>
      </c>
      <c r="Q14" s="105">
        <f t="shared" si="6"/>
        <v>11</v>
      </c>
      <c r="T14" t="s">
        <v>816</v>
      </c>
      <c r="U14" t="s">
        <v>829</v>
      </c>
      <c r="V14" s="79">
        <v>74.25</v>
      </c>
      <c r="W14" s="81">
        <v>105.28846153846153</v>
      </c>
      <c r="X14" s="82">
        <v>73.75</v>
      </c>
      <c r="Y14" s="83">
        <v>65.730769230769226</v>
      </c>
      <c r="Z14" s="84">
        <v>73.057692307692307</v>
      </c>
      <c r="AA14" s="85">
        <v>75.92307692307692</v>
      </c>
      <c r="AB14" s="86">
        <v>468</v>
      </c>
      <c r="AC14" s="53">
        <v>77.999807692307684</v>
      </c>
    </row>
    <row r="15" spans="1:29" ht="15" thickBot="1" x14ac:dyDescent="0.4">
      <c r="A15" t="s">
        <v>820</v>
      </c>
      <c r="B15" s="79">
        <v>78.631578947368425</v>
      </c>
      <c r="C15" s="81">
        <v>82.05263157894737</v>
      </c>
      <c r="D15" s="82">
        <v>76.65789473684211</v>
      </c>
      <c r="E15" s="83">
        <v>83.10526315789474</v>
      </c>
      <c r="F15" s="84">
        <v>79.421052631578945</v>
      </c>
      <c r="G15" s="85">
        <v>67.578947368421055</v>
      </c>
      <c r="H15" s="53">
        <v>467.44736842105266</v>
      </c>
      <c r="J15" t="s">
        <v>820</v>
      </c>
      <c r="K15" s="104">
        <f t="shared" si="0"/>
        <v>2</v>
      </c>
      <c r="L15" s="54">
        <f t="shared" si="1"/>
        <v>8</v>
      </c>
      <c r="M15" s="55">
        <f t="shared" si="2"/>
        <v>6</v>
      </c>
      <c r="N15" s="56">
        <f t="shared" si="3"/>
        <v>5</v>
      </c>
      <c r="O15" s="57">
        <f t="shared" si="4"/>
        <v>5</v>
      </c>
      <c r="P15" s="58">
        <f t="shared" si="5"/>
        <v>10</v>
      </c>
      <c r="Q15" s="105">
        <f t="shared" si="6"/>
        <v>5</v>
      </c>
      <c r="T15" s="95"/>
      <c r="U15" s="95" t="s">
        <v>792</v>
      </c>
      <c r="V15" s="87">
        <v>22.098598127838027</v>
      </c>
      <c r="W15" s="88">
        <v>32.206038003163904</v>
      </c>
      <c r="X15" s="89">
        <v>22.009690379199689</v>
      </c>
      <c r="Y15" s="90">
        <v>31.534055903889417</v>
      </c>
      <c r="Z15" s="91">
        <v>24.16561603791024</v>
      </c>
      <c r="AA15" s="92">
        <v>27.824975488491333</v>
      </c>
      <c r="AB15" s="93">
        <v>114.04643017339086</v>
      </c>
      <c r="AC15" s="94">
        <v>19.008326502690444</v>
      </c>
    </row>
    <row r="16" spans="1:29" ht="15" thickTop="1" x14ac:dyDescent="0.35">
      <c r="A16" t="s">
        <v>812</v>
      </c>
      <c r="B16" s="79">
        <v>76.735294117647058</v>
      </c>
      <c r="C16" s="81">
        <v>72.656862745098039</v>
      </c>
      <c r="D16" s="82">
        <v>59.607843137254903</v>
      </c>
      <c r="E16" s="83">
        <v>57.078431372549019</v>
      </c>
      <c r="F16" s="84">
        <v>63.745098039215684</v>
      </c>
      <c r="G16" s="85">
        <v>72.245098039215691</v>
      </c>
      <c r="H16" s="53">
        <v>402.06862745098039</v>
      </c>
      <c r="J16" t="s">
        <v>812</v>
      </c>
      <c r="K16" s="104">
        <f t="shared" si="0"/>
        <v>3</v>
      </c>
      <c r="L16" s="54">
        <f t="shared" si="1"/>
        <v>16</v>
      </c>
      <c r="M16" s="55">
        <f t="shared" si="2"/>
        <v>20</v>
      </c>
      <c r="N16" s="56">
        <f t="shared" si="3"/>
        <v>19</v>
      </c>
      <c r="O16" s="57">
        <f t="shared" si="4"/>
        <v>20</v>
      </c>
      <c r="P16" s="58">
        <f t="shared" si="5"/>
        <v>8</v>
      </c>
      <c r="Q16" s="105">
        <f t="shared" si="6"/>
        <v>18</v>
      </c>
      <c r="T16" t="s">
        <v>808</v>
      </c>
      <c r="U16" t="s">
        <v>829</v>
      </c>
      <c r="V16" s="79">
        <v>70.15625</v>
      </c>
      <c r="W16" s="81">
        <v>84.109375</v>
      </c>
      <c r="X16" s="82">
        <v>70.09375</v>
      </c>
      <c r="Y16" s="83">
        <v>93</v>
      </c>
      <c r="Z16" s="84">
        <v>74.328125</v>
      </c>
      <c r="AA16" s="85">
        <v>75.421875</v>
      </c>
      <c r="AB16" s="86">
        <v>467.109375</v>
      </c>
      <c r="AC16" s="53">
        <v>77.851718750000003</v>
      </c>
    </row>
    <row r="17" spans="1:29" ht="15" thickBot="1" x14ac:dyDescent="0.4">
      <c r="A17" t="s">
        <v>807</v>
      </c>
      <c r="B17" s="79">
        <v>62.596774193548384</v>
      </c>
      <c r="C17" s="81">
        <v>70.790322580645167</v>
      </c>
      <c r="D17" s="82">
        <v>63.741935483870968</v>
      </c>
      <c r="E17" s="83">
        <v>67.887096774193552</v>
      </c>
      <c r="F17" s="84">
        <v>67.41935483870968</v>
      </c>
      <c r="G17" s="85">
        <v>65.258064516129039</v>
      </c>
      <c r="H17" s="53">
        <v>397.69354838709677</v>
      </c>
      <c r="J17" t="s">
        <v>807</v>
      </c>
      <c r="K17" s="104">
        <f t="shared" si="0"/>
        <v>18</v>
      </c>
      <c r="L17" s="54">
        <f t="shared" si="1"/>
        <v>18</v>
      </c>
      <c r="M17" s="55">
        <f t="shared" si="2"/>
        <v>19</v>
      </c>
      <c r="N17" s="56">
        <f t="shared" si="3"/>
        <v>15</v>
      </c>
      <c r="O17" s="57">
        <f t="shared" si="4"/>
        <v>17</v>
      </c>
      <c r="P17" s="58">
        <f t="shared" si="5"/>
        <v>12</v>
      </c>
      <c r="Q17" s="105">
        <f t="shared" si="6"/>
        <v>19</v>
      </c>
      <c r="T17" s="95"/>
      <c r="U17" s="95" t="s">
        <v>792</v>
      </c>
      <c r="V17" s="87">
        <v>19.528748649350881</v>
      </c>
      <c r="W17" s="88">
        <v>30.93470706488872</v>
      </c>
      <c r="X17" s="89">
        <v>26.261033206623175</v>
      </c>
      <c r="Y17" s="90">
        <v>31.705990621171914</v>
      </c>
      <c r="Z17" s="91">
        <v>23.023145488282072</v>
      </c>
      <c r="AA17" s="92">
        <v>25.230873433283065</v>
      </c>
      <c r="AB17" s="93">
        <v>118.26780441653568</v>
      </c>
      <c r="AC17" s="94">
        <v>19.711262718339196</v>
      </c>
    </row>
    <row r="18" spans="1:29" ht="15" thickTop="1" x14ac:dyDescent="0.35">
      <c r="A18" t="s">
        <v>817</v>
      </c>
      <c r="B18" s="79">
        <v>71.17977528089888</v>
      </c>
      <c r="C18" s="81">
        <v>72.921348314606746</v>
      </c>
      <c r="D18" s="82">
        <v>74.764044943820224</v>
      </c>
      <c r="E18" s="83">
        <v>94.730337078651687</v>
      </c>
      <c r="F18" s="84">
        <v>86.831460674157299</v>
      </c>
      <c r="G18" s="85">
        <v>76.786516853932582</v>
      </c>
      <c r="H18" s="53">
        <v>477.2134831460674</v>
      </c>
      <c r="J18" t="s">
        <v>817</v>
      </c>
      <c r="K18" s="104">
        <f t="shared" si="0"/>
        <v>7</v>
      </c>
      <c r="L18" s="54">
        <f t="shared" si="1"/>
        <v>15</v>
      </c>
      <c r="M18" s="55">
        <f t="shared" si="2"/>
        <v>7</v>
      </c>
      <c r="N18" s="56">
        <f t="shared" si="3"/>
        <v>2</v>
      </c>
      <c r="O18" s="57">
        <f t="shared" si="4"/>
        <v>2</v>
      </c>
      <c r="P18" s="58">
        <f t="shared" si="5"/>
        <v>4</v>
      </c>
      <c r="Q18" s="105">
        <f t="shared" si="6"/>
        <v>3</v>
      </c>
      <c r="T18" t="s">
        <v>809</v>
      </c>
      <c r="U18" t="s">
        <v>829</v>
      </c>
      <c r="V18" s="79">
        <v>71.366336633663366</v>
      </c>
      <c r="W18" s="81">
        <v>80.227722772277232</v>
      </c>
      <c r="X18" s="82">
        <v>68.227722772277232</v>
      </c>
      <c r="Y18" s="83">
        <v>76.366336633663366</v>
      </c>
      <c r="Z18" s="84">
        <v>71.257425742574256</v>
      </c>
      <c r="AA18" s="85">
        <v>86.386138613861391</v>
      </c>
      <c r="AB18" s="86">
        <v>453.83168316831683</v>
      </c>
      <c r="AC18" s="53">
        <v>75.639009900990104</v>
      </c>
    </row>
    <row r="19" spans="1:29" ht="15" thickBot="1" x14ac:dyDescent="0.4">
      <c r="A19" t="s">
        <v>818</v>
      </c>
      <c r="B19" s="79">
        <v>66.017241379310349</v>
      </c>
      <c r="C19" s="81">
        <v>90.724137931034477</v>
      </c>
      <c r="D19" s="82">
        <v>107.08620689655173</v>
      </c>
      <c r="E19" s="83">
        <v>60.396551724137929</v>
      </c>
      <c r="F19" s="84">
        <v>73.810344827586206</v>
      </c>
      <c r="G19" s="85">
        <v>51.103448275862071</v>
      </c>
      <c r="H19" s="53">
        <v>449.13793103448273</v>
      </c>
      <c r="J19" t="s">
        <v>818</v>
      </c>
      <c r="K19" s="104">
        <f t="shared" si="0"/>
        <v>15</v>
      </c>
      <c r="L19" s="54">
        <f t="shared" si="1"/>
        <v>6</v>
      </c>
      <c r="M19" s="55">
        <f t="shared" si="2"/>
        <v>2</v>
      </c>
      <c r="N19" s="56">
        <f t="shared" si="3"/>
        <v>18</v>
      </c>
      <c r="O19" s="57">
        <f t="shared" si="4"/>
        <v>8</v>
      </c>
      <c r="P19" s="58">
        <f t="shared" si="5"/>
        <v>20</v>
      </c>
      <c r="Q19" s="105">
        <f t="shared" si="6"/>
        <v>9</v>
      </c>
      <c r="T19" s="95"/>
      <c r="U19" s="95" t="s">
        <v>792</v>
      </c>
      <c r="V19" s="87">
        <v>21.514517318442085</v>
      </c>
      <c r="W19" s="88">
        <v>33.825399092433138</v>
      </c>
      <c r="X19" s="89">
        <v>24.730499868833544</v>
      </c>
      <c r="Y19" s="90">
        <v>32.968385696687442</v>
      </c>
      <c r="Z19" s="91">
        <v>26.868067837247441</v>
      </c>
      <c r="AA19" s="92">
        <v>24.359380245412527</v>
      </c>
      <c r="AB19" s="93">
        <v>123.49648329462103</v>
      </c>
      <c r="AC19" s="94">
        <v>20.582687749900359</v>
      </c>
    </row>
    <row r="20" spans="1:29" ht="15" thickTop="1" x14ac:dyDescent="0.35">
      <c r="A20" t="s">
        <v>819</v>
      </c>
      <c r="B20" s="79">
        <v>64.959183673469383</v>
      </c>
      <c r="C20" s="81">
        <v>92.65306122448979</v>
      </c>
      <c r="D20" s="82">
        <v>116.61224489795919</v>
      </c>
      <c r="E20" s="83">
        <v>72.102040816326536</v>
      </c>
      <c r="F20" s="84">
        <v>83.163265306122454</v>
      </c>
      <c r="G20" s="85">
        <v>57.102040816326529</v>
      </c>
      <c r="H20" s="53">
        <v>486.59183673469386</v>
      </c>
      <c r="J20" t="s">
        <v>819</v>
      </c>
      <c r="K20" s="104">
        <f t="shared" si="0"/>
        <v>16</v>
      </c>
      <c r="L20" s="54">
        <f t="shared" si="1"/>
        <v>5</v>
      </c>
      <c r="M20" s="55">
        <f t="shared" si="2"/>
        <v>1</v>
      </c>
      <c r="N20" s="56">
        <f t="shared" si="3"/>
        <v>13</v>
      </c>
      <c r="O20" s="57">
        <f t="shared" si="4"/>
        <v>3</v>
      </c>
      <c r="P20" s="58">
        <f t="shared" si="5"/>
        <v>18</v>
      </c>
      <c r="Q20" s="105">
        <f t="shared" si="6"/>
        <v>2</v>
      </c>
      <c r="T20" t="s">
        <v>821</v>
      </c>
      <c r="U20" t="s">
        <v>829</v>
      </c>
      <c r="V20" s="79">
        <v>62.553191489361701</v>
      </c>
      <c r="W20" s="81">
        <v>77.531914893617028</v>
      </c>
      <c r="X20" s="82">
        <v>82.446808510638292</v>
      </c>
      <c r="Y20" s="83">
        <v>77</v>
      </c>
      <c r="Z20" s="84">
        <v>77.340425531914889</v>
      </c>
      <c r="AA20" s="85">
        <v>60.914893617021278</v>
      </c>
      <c r="AB20" s="86">
        <v>437.78723404255317</v>
      </c>
      <c r="AC20" s="53">
        <v>72.963829787234033</v>
      </c>
    </row>
    <row r="21" spans="1:29" ht="15" thickBot="1" x14ac:dyDescent="0.4">
      <c r="A21" t="s">
        <v>810</v>
      </c>
      <c r="B21" s="79">
        <v>70.864000000000004</v>
      </c>
      <c r="C21" s="81">
        <v>73.72</v>
      </c>
      <c r="D21" s="82">
        <v>74.168000000000006</v>
      </c>
      <c r="E21" s="83">
        <v>74.343999999999994</v>
      </c>
      <c r="F21" s="84">
        <v>70.152000000000001</v>
      </c>
      <c r="G21" s="85">
        <v>64.64</v>
      </c>
      <c r="H21" s="53">
        <v>427.88799999999998</v>
      </c>
      <c r="J21" t="s">
        <v>810</v>
      </c>
      <c r="K21" s="104">
        <f t="shared" si="0"/>
        <v>8</v>
      </c>
      <c r="L21" s="54">
        <f t="shared" si="1"/>
        <v>13</v>
      </c>
      <c r="M21" s="55">
        <f t="shared" si="2"/>
        <v>8</v>
      </c>
      <c r="N21" s="56">
        <f t="shared" si="3"/>
        <v>10</v>
      </c>
      <c r="O21" s="57">
        <f t="shared" si="4"/>
        <v>14</v>
      </c>
      <c r="P21" s="58">
        <f t="shared" si="5"/>
        <v>13</v>
      </c>
      <c r="Q21" s="105">
        <f t="shared" si="6"/>
        <v>14</v>
      </c>
      <c r="T21" s="95"/>
      <c r="U21" s="95" t="s">
        <v>792</v>
      </c>
      <c r="V21" s="87">
        <v>28.938321599295865</v>
      </c>
      <c r="W21" s="88">
        <v>30.004964128297598</v>
      </c>
      <c r="X21" s="89">
        <v>33.433781738416918</v>
      </c>
      <c r="Y21" s="90">
        <v>33.914214026621316</v>
      </c>
      <c r="Z21" s="91">
        <v>28.752524725245536</v>
      </c>
      <c r="AA21" s="92">
        <v>26.93133764355283</v>
      </c>
      <c r="AB21" s="93">
        <v>105.3276329757302</v>
      </c>
      <c r="AC21" s="94">
        <v>17.55442946123652</v>
      </c>
    </row>
    <row r="22" spans="1:29" ht="15.5" thickTop="1" thickBot="1" x14ac:dyDescent="0.4">
      <c r="A22" t="s">
        <v>827</v>
      </c>
      <c r="B22" s="87">
        <v>67.750649350649354</v>
      </c>
      <c r="C22" s="88">
        <v>74.59480519480519</v>
      </c>
      <c r="D22" s="89">
        <v>67.563636363636363</v>
      </c>
      <c r="E22" s="90">
        <v>68.246753246753244</v>
      </c>
      <c r="F22" s="91">
        <v>67.940259740259734</v>
      </c>
      <c r="G22" s="92">
        <v>65.779220779220779</v>
      </c>
      <c r="H22" s="94">
        <v>411.87532467532469</v>
      </c>
      <c r="J22" t="s">
        <v>827</v>
      </c>
      <c r="K22" s="106">
        <f t="shared" si="0"/>
        <v>13</v>
      </c>
      <c r="L22" s="107">
        <f t="shared" si="1"/>
        <v>12</v>
      </c>
      <c r="M22" s="108">
        <f t="shared" si="2"/>
        <v>17</v>
      </c>
      <c r="N22" s="109">
        <f t="shared" si="3"/>
        <v>14</v>
      </c>
      <c r="O22" s="110">
        <f t="shared" si="4"/>
        <v>16</v>
      </c>
      <c r="P22" s="111">
        <f t="shared" si="5"/>
        <v>11</v>
      </c>
      <c r="Q22" s="112">
        <f t="shared" si="6"/>
        <v>17</v>
      </c>
      <c r="T22" t="s">
        <v>806</v>
      </c>
      <c r="U22" t="s">
        <v>829</v>
      </c>
      <c r="V22" s="79">
        <v>66.05263157894737</v>
      </c>
      <c r="W22" s="81">
        <v>73.463157894736838</v>
      </c>
      <c r="X22" s="82">
        <v>73.252631578947373</v>
      </c>
      <c r="Y22" s="83">
        <v>72.936842105263153</v>
      </c>
      <c r="Z22" s="84">
        <v>71.505263157894731</v>
      </c>
      <c r="AA22" s="85">
        <v>60.715789473684211</v>
      </c>
      <c r="AB22" s="86">
        <v>417.92631578947368</v>
      </c>
      <c r="AC22" s="53">
        <v>69.65463157894736</v>
      </c>
    </row>
    <row r="23" spans="1:29" ht="15.5" thickTop="1" thickBot="1" x14ac:dyDescent="0.4">
      <c r="T23" s="95"/>
      <c r="U23" s="95" t="s">
        <v>792</v>
      </c>
      <c r="V23" s="87">
        <v>18.861966922688879</v>
      </c>
      <c r="W23" s="88">
        <v>24.168209524574639</v>
      </c>
      <c r="X23" s="89">
        <v>24.891239346256121</v>
      </c>
      <c r="Y23" s="90">
        <v>26.270609144350452</v>
      </c>
      <c r="Z23" s="91">
        <v>20.694265668995055</v>
      </c>
      <c r="AA23" s="92">
        <v>27.387550812909055</v>
      </c>
      <c r="AB23" s="93">
        <v>103.22566088947762</v>
      </c>
      <c r="AC23" s="94">
        <v>17.204067295606517</v>
      </c>
    </row>
    <row r="24" spans="1:29" ht="15" thickTop="1" x14ac:dyDescent="0.35">
      <c r="T24" t="s">
        <v>814</v>
      </c>
      <c r="U24" t="s">
        <v>829</v>
      </c>
      <c r="V24" s="79">
        <v>75.582089552238813</v>
      </c>
      <c r="W24" s="81">
        <v>92.671641791044777</v>
      </c>
      <c r="X24" s="82">
        <v>87.701492537313428</v>
      </c>
      <c r="Y24" s="83">
        <v>61.208955223880594</v>
      </c>
      <c r="Z24" s="84">
        <v>64.835820895522389</v>
      </c>
      <c r="AA24" s="85">
        <v>59.07462686567164</v>
      </c>
      <c r="AB24" s="86">
        <v>441.07462686567163</v>
      </c>
      <c r="AC24" s="53">
        <v>73.512686567164181</v>
      </c>
    </row>
    <row r="25" spans="1:29" ht="15" thickBot="1" x14ac:dyDescent="0.4">
      <c r="T25" s="95"/>
      <c r="U25" s="95" t="s">
        <v>792</v>
      </c>
      <c r="V25" s="87">
        <v>24.537632973277038</v>
      </c>
      <c r="W25" s="88">
        <v>31.542365959039664</v>
      </c>
      <c r="X25" s="89">
        <v>37.909387549856916</v>
      </c>
      <c r="Y25" s="90">
        <v>27.443902735885668</v>
      </c>
      <c r="Z25" s="91">
        <v>21.838662556815748</v>
      </c>
      <c r="AA25" s="92">
        <v>25.343885421690022</v>
      </c>
      <c r="AB25" s="93">
        <v>120.35091537374387</v>
      </c>
      <c r="AC25" s="94">
        <v>20.058505607807703</v>
      </c>
    </row>
    <row r="26" spans="1:29" ht="15" thickTop="1" x14ac:dyDescent="0.35">
      <c r="T26" t="s">
        <v>820</v>
      </c>
      <c r="U26" t="s">
        <v>829</v>
      </c>
      <c r="V26" s="79">
        <v>78.631578947368425</v>
      </c>
      <c r="W26" s="81">
        <v>82.05263157894737</v>
      </c>
      <c r="X26" s="82">
        <v>76.65789473684211</v>
      </c>
      <c r="Y26" s="83">
        <v>83.10526315789474</v>
      </c>
      <c r="Z26" s="84">
        <v>79.421052631578945</v>
      </c>
      <c r="AA26" s="85">
        <v>67.578947368421055</v>
      </c>
      <c r="AB26" s="86">
        <v>467.44736842105266</v>
      </c>
      <c r="AC26" s="53">
        <v>77.907894736842124</v>
      </c>
    </row>
    <row r="27" spans="1:29" ht="15" thickBot="1" x14ac:dyDescent="0.4">
      <c r="T27" s="95"/>
      <c r="U27" s="95" t="s">
        <v>792</v>
      </c>
      <c r="V27" s="87">
        <v>26.275485494659939</v>
      </c>
      <c r="W27" s="88">
        <v>31.387678223133609</v>
      </c>
      <c r="X27" s="89">
        <v>34.183350076829903</v>
      </c>
      <c r="Y27" s="90">
        <v>31.186266445243831</v>
      </c>
      <c r="Z27" s="91">
        <v>31.496573454942059</v>
      </c>
      <c r="AA27" s="92">
        <v>26.102326269891311</v>
      </c>
      <c r="AB27" s="93">
        <v>116.83406976457036</v>
      </c>
      <c r="AC27" s="94">
        <v>19.473243480845603</v>
      </c>
    </row>
    <row r="28" spans="1:29" ht="15" thickTop="1" x14ac:dyDescent="0.35">
      <c r="T28" t="s">
        <v>812</v>
      </c>
      <c r="U28" t="s">
        <v>829</v>
      </c>
      <c r="V28" s="79">
        <v>76.735294117647058</v>
      </c>
      <c r="W28" s="81">
        <v>72.656862745098039</v>
      </c>
      <c r="X28" s="82">
        <v>59.607843137254903</v>
      </c>
      <c r="Y28" s="83">
        <v>57.078431372549019</v>
      </c>
      <c r="Z28" s="84">
        <v>63.745098039215684</v>
      </c>
      <c r="AA28" s="85">
        <v>72.245098039215691</v>
      </c>
      <c r="AB28" s="86">
        <v>402.06862745098039</v>
      </c>
      <c r="AC28" s="53">
        <v>67.011666666666656</v>
      </c>
    </row>
    <row r="29" spans="1:29" ht="15" thickBot="1" x14ac:dyDescent="0.4">
      <c r="T29" s="95"/>
      <c r="U29" s="95" t="s">
        <v>792</v>
      </c>
      <c r="V29" s="87">
        <v>35.733869578610623</v>
      </c>
      <c r="W29" s="88">
        <v>30.040070631167449</v>
      </c>
      <c r="X29" s="89">
        <v>23.492639193840738</v>
      </c>
      <c r="Y29" s="90">
        <v>24.663953845586548</v>
      </c>
      <c r="Z29" s="91">
        <v>24.928684926576263</v>
      </c>
      <c r="AA29" s="92">
        <v>28.286524194046756</v>
      </c>
      <c r="AB29" s="93">
        <v>114.76901122128449</v>
      </c>
      <c r="AC29" s="94">
        <v>19.128034015902681</v>
      </c>
    </row>
    <row r="30" spans="1:29" ht="15" thickTop="1" x14ac:dyDescent="0.35">
      <c r="T30" t="s">
        <v>807</v>
      </c>
      <c r="U30" t="s">
        <v>829</v>
      </c>
      <c r="V30" s="79">
        <v>62.596774193548384</v>
      </c>
      <c r="W30" s="81">
        <v>70.790322580645167</v>
      </c>
      <c r="X30" s="82">
        <v>63.741935483870968</v>
      </c>
      <c r="Y30" s="83">
        <v>67.887096774193552</v>
      </c>
      <c r="Z30" s="84">
        <v>67.41935483870968</v>
      </c>
      <c r="AA30" s="85">
        <v>65.258064516129039</v>
      </c>
      <c r="AB30" s="86">
        <v>397.69354838709677</v>
      </c>
      <c r="AC30" s="53">
        <v>66.281774193548372</v>
      </c>
    </row>
    <row r="31" spans="1:29" ht="15" thickBot="1" x14ac:dyDescent="0.4">
      <c r="T31" s="95"/>
      <c r="U31" s="95" t="s">
        <v>792</v>
      </c>
      <c r="V31" s="87">
        <v>18.781277455652695</v>
      </c>
      <c r="W31" s="88">
        <v>23.259855726526457</v>
      </c>
      <c r="X31" s="89">
        <v>21.380192674890505</v>
      </c>
      <c r="Y31" s="90">
        <v>29.944815276186077</v>
      </c>
      <c r="Z31" s="91">
        <v>22.953658508420965</v>
      </c>
      <c r="AA31" s="92">
        <v>26.904162322786625</v>
      </c>
      <c r="AB31" s="93">
        <v>99.756685746555206</v>
      </c>
      <c r="AC31" s="94">
        <v>16.626258169987032</v>
      </c>
    </row>
    <row r="32" spans="1:29" ht="15" thickTop="1" x14ac:dyDescent="0.35">
      <c r="T32" t="s">
        <v>817</v>
      </c>
      <c r="U32" t="s">
        <v>829</v>
      </c>
      <c r="V32" s="79">
        <v>71.17977528089888</v>
      </c>
      <c r="W32" s="81">
        <v>72.921348314606746</v>
      </c>
      <c r="X32" s="82">
        <v>74.764044943820224</v>
      </c>
      <c r="Y32" s="83">
        <v>94.730337078651687</v>
      </c>
      <c r="Z32" s="84">
        <v>86.831460674157299</v>
      </c>
      <c r="AA32" s="85">
        <v>76.786516853932582</v>
      </c>
      <c r="AB32" s="86">
        <v>477.2134831460674</v>
      </c>
      <c r="AC32" s="53">
        <v>79.53550561797752</v>
      </c>
    </row>
    <row r="33" spans="20:29" ht="15" thickBot="1" x14ac:dyDescent="0.4">
      <c r="T33" s="95"/>
      <c r="U33" s="95" t="s">
        <v>792</v>
      </c>
      <c r="V33" s="87">
        <v>25.459665871974121</v>
      </c>
      <c r="W33" s="88">
        <v>38.047286583187599</v>
      </c>
      <c r="X33" s="89">
        <v>30.928077296700554</v>
      </c>
      <c r="Y33" s="90">
        <v>37.880723103441845</v>
      </c>
      <c r="Z33" s="91">
        <v>29.612357661139988</v>
      </c>
      <c r="AA33" s="92">
        <v>35.423564290568052</v>
      </c>
      <c r="AB33" s="93">
        <v>134.51296591019425</v>
      </c>
      <c r="AC33" s="94">
        <v>22.418881146116977</v>
      </c>
    </row>
    <row r="34" spans="20:29" ht="15" thickTop="1" x14ac:dyDescent="0.35">
      <c r="T34" t="s">
        <v>818</v>
      </c>
      <c r="U34" t="s">
        <v>829</v>
      </c>
      <c r="V34" s="79">
        <v>66.017241379310349</v>
      </c>
      <c r="W34" s="81">
        <v>90.724137931034477</v>
      </c>
      <c r="X34" s="82">
        <v>107.08620689655173</v>
      </c>
      <c r="Y34" s="83">
        <v>60.396551724137929</v>
      </c>
      <c r="Z34" s="84">
        <v>73.810344827586206</v>
      </c>
      <c r="AA34" s="85">
        <v>51.103448275862071</v>
      </c>
      <c r="AB34" s="86">
        <v>449.13793103448273</v>
      </c>
      <c r="AC34" s="53">
        <v>74.856034482758616</v>
      </c>
    </row>
    <row r="35" spans="20:29" ht="15" thickBot="1" x14ac:dyDescent="0.4">
      <c r="T35" s="95"/>
      <c r="U35" s="95" t="s">
        <v>792</v>
      </c>
      <c r="V35" s="87">
        <v>21.85959292353861</v>
      </c>
      <c r="W35" s="88">
        <v>34.857500943854497</v>
      </c>
      <c r="X35" s="89">
        <v>38.373640661796124</v>
      </c>
      <c r="Y35" s="90">
        <v>26.762725882703286</v>
      </c>
      <c r="Z35" s="91">
        <v>36.74113183204976</v>
      </c>
      <c r="AA35" s="92">
        <v>28.121097564847354</v>
      </c>
      <c r="AB35" s="93">
        <v>100.99530096344543</v>
      </c>
      <c r="AC35" s="94">
        <v>16.832746483394473</v>
      </c>
    </row>
    <row r="36" spans="20:29" ht="15" thickTop="1" x14ac:dyDescent="0.35">
      <c r="T36" t="s">
        <v>819</v>
      </c>
      <c r="U36" t="s">
        <v>829</v>
      </c>
      <c r="V36" s="79">
        <v>64.959183673469383</v>
      </c>
      <c r="W36" s="81">
        <v>92.65306122448979</v>
      </c>
      <c r="X36" s="82">
        <v>116.61224489795919</v>
      </c>
      <c r="Y36" s="83">
        <v>72.102040816326536</v>
      </c>
      <c r="Z36" s="84">
        <v>83.163265306122454</v>
      </c>
      <c r="AA36" s="85">
        <v>57.102040816326529</v>
      </c>
      <c r="AB36" s="86">
        <v>486.59183673469386</v>
      </c>
      <c r="AC36" s="53">
        <v>81.099183673469383</v>
      </c>
    </row>
    <row r="37" spans="20:29" ht="15" thickBot="1" x14ac:dyDescent="0.4">
      <c r="T37" s="95"/>
      <c r="U37" s="95" t="s">
        <v>792</v>
      </c>
      <c r="V37" s="87">
        <v>17.162166704306156</v>
      </c>
      <c r="W37" s="88">
        <v>32.409843553829035</v>
      </c>
      <c r="X37" s="89">
        <v>39.200242519727368</v>
      </c>
      <c r="Y37" s="90">
        <v>33.278023840791683</v>
      </c>
      <c r="Z37" s="91">
        <v>28.151633270244066</v>
      </c>
      <c r="AA37" s="92">
        <v>27.277314214348511</v>
      </c>
      <c r="AB37" s="93">
        <v>103.70348723792327</v>
      </c>
      <c r="AC37" s="94">
        <v>17.284173376812987</v>
      </c>
    </row>
    <row r="38" spans="20:29" ht="15" thickTop="1" x14ac:dyDescent="0.35">
      <c r="T38" t="s">
        <v>810</v>
      </c>
      <c r="U38" t="s">
        <v>829</v>
      </c>
      <c r="V38" s="79">
        <v>70.864000000000004</v>
      </c>
      <c r="W38" s="81">
        <v>73.72</v>
      </c>
      <c r="X38" s="82">
        <v>74.168000000000006</v>
      </c>
      <c r="Y38" s="83">
        <v>74.343999999999994</v>
      </c>
      <c r="Z38" s="84">
        <v>70.152000000000001</v>
      </c>
      <c r="AA38" s="85">
        <v>64.64</v>
      </c>
      <c r="AB38" s="86">
        <v>427.88799999999998</v>
      </c>
      <c r="AC38" s="53">
        <v>71.314399999999992</v>
      </c>
    </row>
    <row r="39" spans="20:29" ht="15" thickBot="1" x14ac:dyDescent="0.4">
      <c r="T39" s="95"/>
      <c r="U39" s="95" t="s">
        <v>792</v>
      </c>
      <c r="V39" s="87">
        <v>27.149628405940383</v>
      </c>
      <c r="W39" s="88">
        <v>28.24221274343002</v>
      </c>
      <c r="X39" s="89">
        <v>28.101410824415566</v>
      </c>
      <c r="Y39" s="90">
        <v>28.485452993731105</v>
      </c>
      <c r="Z39" s="91">
        <v>27.523027309110898</v>
      </c>
      <c r="AA39" s="92">
        <v>22.422411023996332</v>
      </c>
      <c r="AB39" s="93">
        <v>111.60299857227216</v>
      </c>
      <c r="AC39" s="94">
        <v>18.600512930839418</v>
      </c>
    </row>
    <row r="40" spans="20:29" ht="15" thickTop="1" x14ac:dyDescent="0.35">
      <c r="T40" t="s">
        <v>827</v>
      </c>
      <c r="U40" t="s">
        <v>829</v>
      </c>
      <c r="V40" s="78">
        <v>67.750649350649354</v>
      </c>
      <c r="W40" s="46">
        <v>74.59480519480519</v>
      </c>
      <c r="X40" s="47">
        <v>67.563636363636363</v>
      </c>
      <c r="Y40" s="48">
        <v>68.246753246753244</v>
      </c>
      <c r="Z40" s="49">
        <v>67.940259740259734</v>
      </c>
      <c r="AA40" s="50">
        <v>65.779220779220779</v>
      </c>
      <c r="AB40" s="51">
        <v>411.87532467532469</v>
      </c>
      <c r="AC40" s="52">
        <v>68.645662337662273</v>
      </c>
    </row>
    <row r="41" spans="20:29" ht="15" thickBot="1" x14ac:dyDescent="0.4">
      <c r="T41" s="95"/>
      <c r="U41" s="96" t="s">
        <v>792</v>
      </c>
      <c r="V41" s="87">
        <v>28.078575682139974</v>
      </c>
      <c r="W41" s="88">
        <v>30.49456874500315</v>
      </c>
      <c r="X41" s="89">
        <v>28.363832737762319</v>
      </c>
      <c r="Y41" s="90">
        <v>30.957024918019684</v>
      </c>
      <c r="Z41" s="91">
        <v>27.217661716381141</v>
      </c>
      <c r="AA41" s="92">
        <v>29.450268540364231</v>
      </c>
      <c r="AB41" s="93">
        <v>114.86318872431565</v>
      </c>
      <c r="AC41" s="94">
        <v>19.144004749645433</v>
      </c>
    </row>
    <row r="42" spans="20:29" ht="15" thickTop="1" x14ac:dyDescent="0.35"/>
  </sheetData>
  <mergeCells count="2">
    <mergeCell ref="K1:Q1"/>
    <mergeCell ref="B1:H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Refined Compare</vt:lpstr>
      <vt:lpstr>All Mons Stats</vt:lpstr>
      <vt:lpstr>All Stats</vt:lpstr>
      <vt:lpstr>Stats by Type (Updated Gen 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DEBRULER, Adam (Milton)</dc:creator>
  <cp:lastModifiedBy>Debruler, Adam</cp:lastModifiedBy>
  <dcterms:created xsi:type="dcterms:W3CDTF">2016-08-23T16:41:16Z</dcterms:created>
  <dcterms:modified xsi:type="dcterms:W3CDTF">2018-09-12T13:30:38Z</dcterms:modified>
</cp:coreProperties>
</file>